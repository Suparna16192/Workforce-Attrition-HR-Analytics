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516" yWindow="600" windowWidth="15996" windowHeight="7092" tabRatio="839" firstSheet="1" activeTab="3"/>
  </bookViews>
  <sheets>
    <sheet name="Base_Data_Attrition_Assignment." sheetId="1" r:id="rId1"/>
    <sheet name="Work_data" sheetId="2" r:id="rId2"/>
    <sheet name="Sheet3" sheetId="4" r:id="rId3"/>
    <sheet name="Dashboard" sheetId="12" r:id="rId4"/>
    <sheet name="Monthly Summary table" sheetId="3" r:id="rId5"/>
    <sheet name="Sub-departments" sheetId="5" r:id="rId6"/>
    <sheet name="Sales - English - India" sheetId="6" r:id="rId7"/>
    <sheet name="Sales - India" sheetId="7" r:id="rId8"/>
    <sheet name="Sales - ROW - GCC" sheetId="9" r:id="rId9"/>
    <sheet name="Sales - ROW - ANZ" sheetId="8" r:id="rId10"/>
    <sheet name="WFH Analysis" sheetId="10" r:id="rId11"/>
    <sheet name="WFO Analysis" sheetId="11" r:id="rId12"/>
    <sheet name="Top exit reason" sheetId="13" r:id="rId13"/>
    <sheet name="Tenure Bucket" sheetId="15" r:id="rId14"/>
    <sheet name="WFH vs WHO" sheetId="14" r:id="rId15"/>
  </sheets>
  <calcPr calcId="144525"/>
  <pivotCaches>
    <pivotCache cacheId="0" r:id="rId16"/>
    <pivotCache cacheId="1" r:id="rId17"/>
  </pivotCaches>
</workbook>
</file>

<file path=xl/calcChain.xml><?xml version="1.0" encoding="utf-8"?>
<calcChain xmlns="http://schemas.openxmlformats.org/spreadsheetml/2006/main">
  <c r="I6" i="12" l="1"/>
  <c r="D8" i="3"/>
  <c r="F6" i="12"/>
  <c r="D6" i="12"/>
  <c r="B6" i="12"/>
  <c r="B5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2" i="2"/>
  <c r="M4" i="3"/>
  <c r="M3" i="3"/>
  <c r="M2" i="3"/>
  <c r="L4" i="3"/>
  <c r="L3" i="3"/>
  <c r="L2" i="3"/>
  <c r="D13" i="11"/>
  <c r="C13" i="11"/>
  <c r="B13" i="11"/>
  <c r="D12" i="11"/>
  <c r="C12" i="11"/>
  <c r="B12" i="11"/>
  <c r="D11" i="11"/>
  <c r="D10" i="11"/>
  <c r="C11" i="11"/>
  <c r="C10" i="11"/>
  <c r="B11" i="11"/>
  <c r="B10" i="11"/>
  <c r="B8" i="11"/>
  <c r="B9" i="11" s="1"/>
  <c r="D9" i="11"/>
  <c r="C9" i="11"/>
  <c r="D8" i="11"/>
  <c r="C8" i="11"/>
  <c r="C7" i="11"/>
  <c r="D7" i="11"/>
  <c r="B7" i="11"/>
  <c r="D6" i="11"/>
  <c r="C6" i="11"/>
  <c r="B6" i="11"/>
  <c r="D5" i="11"/>
  <c r="C5" i="11"/>
  <c r="B5" i="11"/>
  <c r="B4" i="11"/>
  <c r="B5" i="10"/>
  <c r="B6" i="10" s="1"/>
  <c r="B12" i="10" s="1"/>
  <c r="C5" i="10"/>
  <c r="C6" i="10" s="1"/>
  <c r="C12" i="10" s="1"/>
  <c r="D5" i="10"/>
  <c r="D6" i="10" s="1"/>
  <c r="D12" i="10" s="1"/>
  <c r="B7" i="10"/>
  <c r="C7" i="10"/>
  <c r="D7" i="10"/>
  <c r="B8" i="10"/>
  <c r="C8" i="10"/>
  <c r="D8" i="10"/>
  <c r="B10" i="10"/>
  <c r="C10" i="10"/>
  <c r="D10" i="10"/>
  <c r="B11" i="10"/>
  <c r="C11" i="10"/>
  <c r="C13" i="10" s="1"/>
  <c r="D11" i="10"/>
  <c r="B4" i="10"/>
  <c r="D4" i="11"/>
  <c r="C4" i="11"/>
  <c r="B9" i="8"/>
  <c r="B10" i="8" s="1"/>
  <c r="B8" i="9"/>
  <c r="B6" i="9"/>
  <c r="B7" i="9" s="1"/>
  <c r="D4" i="10"/>
  <c r="C4" i="10"/>
  <c r="B5" i="7"/>
  <c r="B7" i="7" s="1"/>
  <c r="B14" i="7" s="1"/>
  <c r="D14" i="9"/>
  <c r="C14" i="9"/>
  <c r="D13" i="9"/>
  <c r="C13" i="9"/>
  <c r="D12" i="9"/>
  <c r="C12" i="9"/>
  <c r="C11" i="9"/>
  <c r="B12" i="9"/>
  <c r="B11" i="9"/>
  <c r="D11" i="9"/>
  <c r="B9" i="9"/>
  <c r="D10" i="9"/>
  <c r="C10" i="9"/>
  <c r="D9" i="9"/>
  <c r="C9" i="9"/>
  <c r="D8" i="9"/>
  <c r="C8" i="9"/>
  <c r="D7" i="9"/>
  <c r="C7" i="9"/>
  <c r="D6" i="9"/>
  <c r="C6" i="9"/>
  <c r="B5" i="9"/>
  <c r="C5" i="9"/>
  <c r="D5" i="9"/>
  <c r="D14" i="8"/>
  <c r="C14" i="8"/>
  <c r="B14" i="8"/>
  <c r="D13" i="8"/>
  <c r="C13" i="8"/>
  <c r="B13" i="8"/>
  <c r="D12" i="8"/>
  <c r="C12" i="8"/>
  <c r="B12" i="8"/>
  <c r="B11" i="8"/>
  <c r="D11" i="8"/>
  <c r="C11" i="8"/>
  <c r="D10" i="8"/>
  <c r="C10" i="8"/>
  <c r="D9" i="8"/>
  <c r="C9" i="8"/>
  <c r="D8" i="8"/>
  <c r="C8" i="8"/>
  <c r="B8" i="8"/>
  <c r="D7" i="8"/>
  <c r="C7" i="8"/>
  <c r="B7" i="8"/>
  <c r="D6" i="8"/>
  <c r="C6" i="8"/>
  <c r="B6" i="8"/>
  <c r="D5" i="8"/>
  <c r="C5" i="8"/>
  <c r="B5" i="8"/>
  <c r="D14" i="7"/>
  <c r="C14" i="7"/>
  <c r="D13" i="7"/>
  <c r="C13" i="7"/>
  <c r="D12" i="7"/>
  <c r="C12" i="7"/>
  <c r="C11" i="7"/>
  <c r="B12" i="7"/>
  <c r="B11" i="7"/>
  <c r="D11" i="7"/>
  <c r="D9" i="7"/>
  <c r="D10" i="7" s="1"/>
  <c r="C9" i="7"/>
  <c r="C10" i="7" s="1"/>
  <c r="B9" i="7"/>
  <c r="B8" i="7"/>
  <c r="D8" i="7"/>
  <c r="C8" i="7"/>
  <c r="D7" i="7"/>
  <c r="C7" i="7"/>
  <c r="D6" i="7"/>
  <c r="C6" i="7"/>
  <c r="B6" i="7"/>
  <c r="B5" i="6"/>
  <c r="D5" i="7"/>
  <c r="C5" i="7"/>
  <c r="B12" i="6"/>
  <c r="C12" i="6"/>
  <c r="D12" i="6"/>
  <c r="D11" i="6"/>
  <c r="C11" i="6"/>
  <c r="B11" i="6"/>
  <c r="B9" i="6"/>
  <c r="D9" i="6"/>
  <c r="C9" i="6"/>
  <c r="D8" i="6"/>
  <c r="C8" i="6"/>
  <c r="B8" i="6"/>
  <c r="D6" i="6"/>
  <c r="C6" i="6"/>
  <c r="B6" i="6"/>
  <c r="D5" i="6"/>
  <c r="C5" i="6"/>
  <c r="C7" i="6" s="1"/>
  <c r="D12" i="3"/>
  <c r="C12" i="3"/>
  <c r="B12" i="3"/>
  <c r="D11" i="3"/>
  <c r="C11" i="3"/>
  <c r="B11" i="3"/>
  <c r="C10" i="3"/>
  <c r="D10" i="3"/>
  <c r="D9" i="3"/>
  <c r="D7" i="3"/>
  <c r="C9" i="3"/>
  <c r="B10" i="3"/>
  <c r="B9" i="3"/>
  <c r="B7" i="3"/>
  <c r="B8" i="3" s="1"/>
  <c r="C8" i="3"/>
  <c r="C7" i="3"/>
  <c r="D6" i="3"/>
  <c r="C6" i="3"/>
  <c r="B6" i="3"/>
  <c r="D5" i="3"/>
  <c r="C5" i="3"/>
  <c r="D4" i="3"/>
  <c r="C4" i="3"/>
  <c r="B4" i="3"/>
  <c r="D3" i="3"/>
  <c r="C3" i="3"/>
  <c r="B3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2" i="2"/>
  <c r="B9" i="10" l="1"/>
  <c r="B13" i="10"/>
  <c r="C9" i="10"/>
  <c r="D9" i="10"/>
  <c r="D13" i="10"/>
  <c r="B14" i="9"/>
  <c r="B13" i="9"/>
  <c r="B10" i="9"/>
  <c r="B13" i="7"/>
  <c r="B10" i="7"/>
  <c r="D7" i="6"/>
  <c r="D14" i="6" s="1"/>
  <c r="B7" i="6"/>
  <c r="B14" i="6" s="1"/>
  <c r="C10" i="6"/>
  <c r="C14" i="6"/>
  <c r="C13" i="6"/>
  <c r="B13" i="6" l="1"/>
  <c r="B10" i="6"/>
  <c r="D10" i="6"/>
  <c r="D13" i="6"/>
</calcChain>
</file>

<file path=xl/sharedStrings.xml><?xml version="1.0" encoding="utf-8"?>
<sst xmlns="http://schemas.openxmlformats.org/spreadsheetml/2006/main" count="16822" uniqueCount="976">
  <si>
    <t>Employee ID</t>
  </si>
  <si>
    <t>Business Unit</t>
  </si>
  <si>
    <t>Department</t>
  </si>
  <si>
    <t>Sub Department</t>
  </si>
  <si>
    <t>Reporting Director</t>
  </si>
  <si>
    <t>Location</t>
  </si>
  <si>
    <t>Work Mode (WFO/WFH)</t>
  </si>
  <si>
    <t>Date of Joining</t>
  </si>
  <si>
    <t>Date of Exit</t>
  </si>
  <si>
    <t>Employment Status</t>
  </si>
  <si>
    <t>Exit Type (Voluntary/Involuntary)</t>
  </si>
  <si>
    <t>Exit Reason Category</t>
  </si>
  <si>
    <t>Tenure in Days (as on 30-Jun-2026 / at exit)</t>
  </si>
  <si>
    <t>EMP1644</t>
  </si>
  <si>
    <t>Exploring Infinities - Sales</t>
  </si>
  <si>
    <t>SALES</t>
  </si>
  <si>
    <t>Sales - English - India</t>
  </si>
  <si>
    <t>Director 2</t>
  </si>
  <si>
    <t>Hyderabad</t>
  </si>
  <si>
    <t>WFH</t>
  </si>
  <si>
    <t>Relieved</t>
  </si>
  <si>
    <t>Voluntary</t>
  </si>
  <si>
    <t>Better Opportunity</t>
  </si>
  <si>
    <t>EMP1639</t>
  </si>
  <si>
    <t>Involuntary</t>
  </si>
  <si>
    <t>Attendance / Discipline</t>
  </si>
  <si>
    <t>EMP1656</t>
  </si>
  <si>
    <t>Active</t>
  </si>
  <si>
    <t>EMP1658</t>
  </si>
  <si>
    <t>EMP1692</t>
  </si>
  <si>
    <t>Family Reasons</t>
  </si>
  <si>
    <t>EMP1693</t>
  </si>
  <si>
    <t>EMP1694</t>
  </si>
  <si>
    <t>Relocation</t>
  </si>
  <si>
    <t>EMP1713</t>
  </si>
  <si>
    <t>EMP1636</t>
  </si>
  <si>
    <t>EMP1665</t>
  </si>
  <si>
    <t>Higher Studies</t>
  </si>
  <si>
    <t>EMP1711</t>
  </si>
  <si>
    <t>EMP1646</t>
  </si>
  <si>
    <t>EMP1676</t>
  </si>
  <si>
    <t>Role Redundancy</t>
  </si>
  <si>
    <t>EMP1678</t>
  </si>
  <si>
    <t>EMP1628</t>
  </si>
  <si>
    <t>Policy Violation</t>
  </si>
  <si>
    <t>EMP1648</t>
  </si>
  <si>
    <t>EMP1677</t>
  </si>
  <si>
    <t>EMP1686</t>
  </si>
  <si>
    <t>EMP1695</t>
  </si>
  <si>
    <t>EMP1702</t>
  </si>
  <si>
    <t>Personal Reasons</t>
  </si>
  <si>
    <t>EMP1706</t>
  </si>
  <si>
    <t>EMP1611</t>
  </si>
  <si>
    <t>EMP1661</t>
  </si>
  <si>
    <t>EMP1687</t>
  </si>
  <si>
    <t>Performance Related</t>
  </si>
  <si>
    <t>EMP1621</t>
  </si>
  <si>
    <t>EMP1613</t>
  </si>
  <si>
    <t>EMP1638</t>
  </si>
  <si>
    <t>EMP1650</t>
  </si>
  <si>
    <t>EMP1671</t>
  </si>
  <si>
    <t>Health Reasons</t>
  </si>
  <si>
    <t>EMP1664</t>
  </si>
  <si>
    <t>EMP1612</t>
  </si>
  <si>
    <t>EMP1682</t>
  </si>
  <si>
    <t>EMP1697</t>
  </si>
  <si>
    <t>EMP1640</t>
  </si>
  <si>
    <t>EMP1635</t>
  </si>
  <si>
    <t>EMP1652</t>
  </si>
  <si>
    <t>EMP1655</t>
  </si>
  <si>
    <t>EMP1662</t>
  </si>
  <si>
    <t>EMP1680</t>
  </si>
  <si>
    <t>EMP1684</t>
  </si>
  <si>
    <t>EMP1623</t>
  </si>
  <si>
    <t>EMP1709</t>
  </si>
  <si>
    <t>EMP1622</t>
  </si>
  <si>
    <t>EMP1654</t>
  </si>
  <si>
    <t>EMP1657</t>
  </si>
  <si>
    <t>EMP1666</t>
  </si>
  <si>
    <t>EMP1679</t>
  </si>
  <si>
    <t>EMP1690</t>
  </si>
  <si>
    <t>EMP1616</t>
  </si>
  <si>
    <t>EMP1619</t>
  </si>
  <si>
    <t>EMP1647</t>
  </si>
  <si>
    <t>EMP1668</t>
  </si>
  <si>
    <t>EMP1701</t>
  </si>
  <si>
    <t>EMP1699</t>
  </si>
  <si>
    <t>EMP1624</t>
  </si>
  <si>
    <t>EMP1626</t>
  </si>
  <si>
    <t>EMP1667</t>
  </si>
  <si>
    <t>EMP1689</t>
  </si>
  <si>
    <t>EMP1691</t>
  </si>
  <si>
    <t>EMP1700</t>
  </si>
  <si>
    <t>EMP1705</t>
  </si>
  <si>
    <t>EMP1609</t>
  </si>
  <si>
    <t>EMP1708</t>
  </si>
  <si>
    <t>EMP1643</t>
  </si>
  <si>
    <t>EMP1660</t>
  </si>
  <si>
    <t>EMP1663</t>
  </si>
  <si>
    <t>EMP1670</t>
  </si>
  <si>
    <t>EMP1683</t>
  </si>
  <si>
    <t>EMP1712</t>
  </si>
  <si>
    <t>EMP1659</t>
  </si>
  <si>
    <t>EMP1673</t>
  </si>
  <si>
    <t>EMP1675</t>
  </si>
  <si>
    <t>EMP1688</t>
  </si>
  <si>
    <t>EMP1703</t>
  </si>
  <si>
    <t>EMP1629</t>
  </si>
  <si>
    <t>EMP1608</t>
  </si>
  <si>
    <t>EMP1625</t>
  </si>
  <si>
    <t>EMP1617</t>
  </si>
  <si>
    <t>EMP1674</t>
  </si>
  <si>
    <t>EMP1696</t>
  </si>
  <si>
    <t>EMP1627</t>
  </si>
  <si>
    <t>EMP1710</t>
  </si>
  <si>
    <t>EMP1615</t>
  </si>
  <si>
    <t>EMP1610</t>
  </si>
  <si>
    <t>EMP1651</t>
  </si>
  <si>
    <t>EMP1653</t>
  </si>
  <si>
    <t>EMP1669</t>
  </si>
  <si>
    <t>EMP1685</t>
  </si>
  <si>
    <t>EMP1632</t>
  </si>
  <si>
    <t>EMP1634</t>
  </si>
  <si>
    <t>EMP1681</t>
  </si>
  <si>
    <t>EMP1698</t>
  </si>
  <si>
    <t>EMP1633</t>
  </si>
  <si>
    <t>EMP1614</t>
  </si>
  <si>
    <t>EMP1630</t>
  </si>
  <si>
    <t>EMP1672</t>
  </si>
  <si>
    <t>EMP1620</t>
  </si>
  <si>
    <t>EMP1642</t>
  </si>
  <si>
    <t>EMP1645</t>
  </si>
  <si>
    <t>EMP1618</t>
  </si>
  <si>
    <t>EMP1637</t>
  </si>
  <si>
    <t>EMP1707</t>
  </si>
  <si>
    <t>EMP1649</t>
  </si>
  <si>
    <t>EMP1704</t>
  </si>
  <si>
    <t>EMP1641</t>
  </si>
  <si>
    <t>EMP1715</t>
  </si>
  <si>
    <t>EMP1631</t>
  </si>
  <si>
    <t>EMP1714</t>
  </si>
  <si>
    <t>EMP1601</t>
  </si>
  <si>
    <t>WFO</t>
  </si>
  <si>
    <t>EMP1554</t>
  </si>
  <si>
    <t>EMP1549</t>
  </si>
  <si>
    <t>EMP1582</t>
  </si>
  <si>
    <t>EMP1587</t>
  </si>
  <si>
    <t>EMP1586</t>
  </si>
  <si>
    <t>EMP1551</t>
  </si>
  <si>
    <t>EMP1557</t>
  </si>
  <si>
    <t>EMP1580</t>
  </si>
  <si>
    <t>EMP1566</t>
  </si>
  <si>
    <t>EMP1596</t>
  </si>
  <si>
    <t>EMP1577</t>
  </si>
  <si>
    <t>EMP1547</t>
  </si>
  <si>
    <t>EMP1576</t>
  </si>
  <si>
    <t>EMP1559</t>
  </si>
  <si>
    <t>EMP1570</t>
  </si>
  <si>
    <t>EMP1579</t>
  </si>
  <si>
    <t>EMP1584</t>
  </si>
  <si>
    <t>EMP1590</t>
  </si>
  <si>
    <t>EMP1591</t>
  </si>
  <si>
    <t>EMP1578</t>
  </si>
  <si>
    <t>EMP1543</t>
  </si>
  <si>
    <t>EMP1606</t>
  </si>
  <si>
    <t>EMP1585</t>
  </si>
  <si>
    <t>EMP1588</t>
  </si>
  <si>
    <t>EMP1599</t>
  </si>
  <si>
    <t>EMP1560</t>
  </si>
  <si>
    <t>EMP1575</t>
  </si>
  <si>
    <t>EMP1567</t>
  </si>
  <si>
    <t>EMP1569</t>
  </si>
  <si>
    <t>EMP1571</t>
  </si>
  <si>
    <t>EMP1595</t>
  </si>
  <si>
    <t>EMP1563</t>
  </si>
  <si>
    <t>EMP1558</t>
  </si>
  <si>
    <t>EMP1607</t>
  </si>
  <si>
    <t>EMP1592</t>
  </si>
  <si>
    <t>EMP1598</t>
  </si>
  <si>
    <t>EMP1600</t>
  </si>
  <si>
    <t>EMP1574</t>
  </si>
  <si>
    <t>EMP1562</t>
  </si>
  <si>
    <t>EMP1564</t>
  </si>
  <si>
    <t>EMP1573</t>
  </si>
  <si>
    <t>EMP1583</t>
  </si>
  <si>
    <t>EMP1550</t>
  </si>
  <si>
    <t>EMP1544</t>
  </si>
  <si>
    <t>EMP1555</t>
  </si>
  <si>
    <t>EMP1593</t>
  </si>
  <si>
    <t>EMP1553</t>
  </si>
  <si>
    <t>EMP1556</t>
  </si>
  <si>
    <t>EMP1568</t>
  </si>
  <si>
    <t>EMP1545</t>
  </si>
  <si>
    <t>EMP1589</t>
  </si>
  <si>
    <t>EMP1594</t>
  </si>
  <si>
    <t>EMP1597</t>
  </si>
  <si>
    <t>EMP1565</t>
  </si>
  <si>
    <t>EMP1572</t>
  </si>
  <si>
    <t>EMP1602</t>
  </si>
  <si>
    <t>EMP1561</t>
  </si>
  <si>
    <t>EMP1552</t>
  </si>
  <si>
    <t>EMP1581</t>
  </si>
  <si>
    <t>EMP1548</t>
  </si>
  <si>
    <t>EMP1603</t>
  </si>
  <si>
    <t>EMP1546</t>
  </si>
  <si>
    <t>EMP1605</t>
  </si>
  <si>
    <t>EMP1604</t>
  </si>
  <si>
    <t>EMP1184</t>
  </si>
  <si>
    <t>Sales - India</t>
  </si>
  <si>
    <t>Director 1</t>
  </si>
  <si>
    <t>Bengaluru</t>
  </si>
  <si>
    <t>EMP1265</t>
  </si>
  <si>
    <t>EMP1272</t>
  </si>
  <si>
    <t>EMP1294</t>
  </si>
  <si>
    <t>EMP1309</t>
  </si>
  <si>
    <t>EMP1315</t>
  </si>
  <si>
    <t>EMP1342</t>
  </si>
  <si>
    <t>EMP1354</t>
  </si>
  <si>
    <t>EMP1161</t>
  </si>
  <si>
    <t>EMP1250</t>
  </si>
  <si>
    <t>EMP1255</t>
  </si>
  <si>
    <t>EMP1256</t>
  </si>
  <si>
    <t>EMP1233</t>
  </si>
  <si>
    <t>EMP1509</t>
  </si>
  <si>
    <t>EMP1516</t>
  </si>
  <si>
    <t>EMP1525</t>
  </si>
  <si>
    <t>EMP1536</t>
  </si>
  <si>
    <t>EMP1235</t>
  </si>
  <si>
    <t>EMP1382</t>
  </si>
  <si>
    <t>EMP1391</t>
  </si>
  <si>
    <t>EMP1441</t>
  </si>
  <si>
    <t>EMP1201</t>
  </si>
  <si>
    <t>EMP1155</t>
  </si>
  <si>
    <t>EMP1216</t>
  </si>
  <si>
    <t>EMP1323</t>
  </si>
  <si>
    <t>EMP1345</t>
  </si>
  <si>
    <t>EMP1352</t>
  </si>
  <si>
    <t>EMP1173</t>
  </si>
  <si>
    <t>EMP1249</t>
  </si>
  <si>
    <t>EMP1474</t>
  </si>
  <si>
    <t>EMP1210</t>
  </si>
  <si>
    <t>EMP1360</t>
  </si>
  <si>
    <t>EMP1370</t>
  </si>
  <si>
    <t>EMP1316</t>
  </si>
  <si>
    <t>EMP1340</t>
  </si>
  <si>
    <t>EMP1349</t>
  </si>
  <si>
    <t>EMP1181</t>
  </si>
  <si>
    <t>EMP1225</t>
  </si>
  <si>
    <t>EMP1175</t>
  </si>
  <si>
    <t>EMP1166</t>
  </si>
  <si>
    <t>EMP1532</t>
  </si>
  <si>
    <t>EMP1537</t>
  </si>
  <si>
    <t>EMP1229</t>
  </si>
  <si>
    <t>EMP1394</t>
  </si>
  <si>
    <t>EMP1429</t>
  </si>
  <si>
    <t>EMP1207</t>
  </si>
  <si>
    <t>EMP1464</t>
  </si>
  <si>
    <t>EMP1479</t>
  </si>
  <si>
    <t>EMP1488</t>
  </si>
  <si>
    <t>EMP1493</t>
  </si>
  <si>
    <t>EMP1193</t>
  </si>
  <si>
    <t>EMP1381</t>
  </si>
  <si>
    <t>EMP1398</t>
  </si>
  <si>
    <t>EMP1401</t>
  </si>
  <si>
    <t>EMP1239</t>
  </si>
  <si>
    <t>EMP1306</t>
  </si>
  <si>
    <t>EMP1319</t>
  </si>
  <si>
    <t>EMP1483</t>
  </si>
  <si>
    <t>EMP1528</t>
  </si>
  <si>
    <t>EMP1533</t>
  </si>
  <si>
    <t>EMP1171</t>
  </si>
  <si>
    <t>EMP1374</t>
  </si>
  <si>
    <t>EMP1404</t>
  </si>
  <si>
    <t>EMP1419</t>
  </si>
  <si>
    <t>EMP1427</t>
  </si>
  <si>
    <t>EMP1451</t>
  </si>
  <si>
    <t>EMP1253</t>
  </si>
  <si>
    <t>EMP1302</t>
  </si>
  <si>
    <t>EMP1322</t>
  </si>
  <si>
    <t>EMP1182</t>
  </si>
  <si>
    <t>EMP1517</t>
  </si>
  <si>
    <t>EMP1526</t>
  </si>
  <si>
    <t>EMP1388</t>
  </si>
  <si>
    <t>EMP1227</t>
  </si>
  <si>
    <t>EMP1257</t>
  </si>
  <si>
    <t>EMP1327</t>
  </si>
  <si>
    <t>EMP1209</t>
  </si>
  <si>
    <t>EMP1159</t>
  </si>
  <si>
    <t>EMP1482</t>
  </si>
  <si>
    <t>EMP1540</t>
  </si>
  <si>
    <t>EMP1221</t>
  </si>
  <si>
    <t>EMP1220</t>
  </si>
  <si>
    <t>EMP1361</t>
  </si>
  <si>
    <t>EMP1371</t>
  </si>
  <si>
    <t>EMP1421</t>
  </si>
  <si>
    <t>EMP1288</t>
  </si>
  <si>
    <t>EMP1290</t>
  </si>
  <si>
    <t>EMP1347</t>
  </si>
  <si>
    <t>EMP1198</t>
  </si>
  <si>
    <t>EMP1486</t>
  </si>
  <si>
    <t>EMP1497</t>
  </si>
  <si>
    <t>EMP1191</t>
  </si>
  <si>
    <t>EMP1386</t>
  </si>
  <si>
    <t>EMP1395</t>
  </si>
  <si>
    <t>EMP1416</t>
  </si>
  <si>
    <t>EMP1211</t>
  </si>
  <si>
    <t>EMP1291</t>
  </si>
  <si>
    <t>EMP1324</t>
  </si>
  <si>
    <t>EMP1334</t>
  </si>
  <si>
    <t>EMP1338</t>
  </si>
  <si>
    <t>EMP1232</t>
  </si>
  <si>
    <t>EMP1495</t>
  </si>
  <si>
    <t>EMP1515</t>
  </si>
  <si>
    <t>EMP1518</t>
  </si>
  <si>
    <t>EMP1372</t>
  </si>
  <si>
    <t>EMP1411</t>
  </si>
  <si>
    <t>EMP1430</t>
  </si>
  <si>
    <t>EMP1439</t>
  </si>
  <si>
    <t>EMP1156</t>
  </si>
  <si>
    <t>EMP1165</t>
  </si>
  <si>
    <t>EMP1274</t>
  </si>
  <si>
    <t>EMP1475</t>
  </si>
  <si>
    <t>EMP1477</t>
  </si>
  <si>
    <t>EMP1521</t>
  </si>
  <si>
    <t>EMP1195</t>
  </si>
  <si>
    <t>EMP1376</t>
  </si>
  <si>
    <t>EMP1389</t>
  </si>
  <si>
    <t>EMP1408</t>
  </si>
  <si>
    <t>EMP1442</t>
  </si>
  <si>
    <t>EMP1444</t>
  </si>
  <si>
    <t>EMP1205</t>
  </si>
  <si>
    <t>EMP1296</t>
  </si>
  <si>
    <t>EMP1326</t>
  </si>
  <si>
    <t>EMP1329</t>
  </si>
  <si>
    <t>EMP1330</t>
  </si>
  <si>
    <t>EMP1240</t>
  </si>
  <si>
    <t>EMP1462</t>
  </si>
  <si>
    <t>EMP1523</t>
  </si>
  <si>
    <t>EMP1192</t>
  </si>
  <si>
    <t>EMP1435</t>
  </si>
  <si>
    <t>EMP1456</t>
  </si>
  <si>
    <t>EMP1169</t>
  </si>
  <si>
    <t>EMP1273</t>
  </si>
  <si>
    <t>EMP1346</t>
  </si>
  <si>
    <t>EMP1202</t>
  </si>
  <si>
    <t>EMP1466</t>
  </si>
  <si>
    <t>EMP1478</t>
  </si>
  <si>
    <t>EMP1489</t>
  </si>
  <si>
    <t>EMP1492</t>
  </si>
  <si>
    <t>EMP1524</t>
  </si>
  <si>
    <t>EMP1241</t>
  </si>
  <si>
    <t>EMP1157</t>
  </si>
  <si>
    <t>EMP1363</t>
  </si>
  <si>
    <t>EMP1455</t>
  </si>
  <si>
    <t>EMP1260</t>
  </si>
  <si>
    <t>EMP1270</t>
  </si>
  <si>
    <t>EMP1276</t>
  </si>
  <si>
    <t>EMP1295</t>
  </si>
  <si>
    <t>EMP1300</t>
  </si>
  <si>
    <t>EMP1311</t>
  </si>
  <si>
    <t>EMP1325</t>
  </si>
  <si>
    <t>EMP1333</t>
  </si>
  <si>
    <t>EMP1238</t>
  </si>
  <si>
    <t>EMP1531</t>
  </si>
  <si>
    <t>EMP1541</t>
  </si>
  <si>
    <t>EMP1218</t>
  </si>
  <si>
    <t>EMP1420</t>
  </si>
  <si>
    <t>EMP1190</t>
  </si>
  <si>
    <t>EMP1259</t>
  </si>
  <si>
    <t>EMP1280</t>
  </si>
  <si>
    <t>EMP1292</t>
  </si>
  <si>
    <t>EMP1318</t>
  </si>
  <si>
    <t>EMP1337</t>
  </si>
  <si>
    <t>EMP1231</t>
  </si>
  <si>
    <t>EMP1465</t>
  </si>
  <si>
    <t>EMP1470</t>
  </si>
  <si>
    <t>EMP1499</t>
  </si>
  <si>
    <t>EMP1542</t>
  </si>
  <si>
    <t>EMP1359</t>
  </si>
  <si>
    <t>EMP1393</t>
  </si>
  <si>
    <t>EMP1412</t>
  </si>
  <si>
    <t>EMP1434</t>
  </si>
  <si>
    <t>EMP1200</t>
  </si>
  <si>
    <t>EMP1304</t>
  </si>
  <si>
    <t>EMP1321</t>
  </si>
  <si>
    <t>EMP1328</t>
  </si>
  <si>
    <t>EMP1204</t>
  </si>
  <si>
    <t>EMP1196</t>
  </si>
  <si>
    <t>EMP1358</t>
  </si>
  <si>
    <t>EMP1368</t>
  </si>
  <si>
    <t>EMP1377</t>
  </si>
  <si>
    <t>EMP1399</t>
  </si>
  <si>
    <t>EMP1417</t>
  </si>
  <si>
    <t>EMP1452</t>
  </si>
  <si>
    <t>EMP1271</t>
  </si>
  <si>
    <t>EMP1289</t>
  </si>
  <si>
    <t>EMP1293</t>
  </si>
  <si>
    <t>EMP1341</t>
  </si>
  <si>
    <t>EMP1185</t>
  </si>
  <si>
    <t>EMP1214</t>
  </si>
  <si>
    <t>EMP1168</t>
  </si>
  <si>
    <t>EMP1244</t>
  </si>
  <si>
    <t>EMP1485</t>
  </si>
  <si>
    <t>EMP1366</t>
  </si>
  <si>
    <t>EMP1380</t>
  </si>
  <si>
    <t>EMP1405</t>
  </si>
  <si>
    <t>EMP1414</t>
  </si>
  <si>
    <t>EMP1415</t>
  </si>
  <si>
    <t>EMP1449</t>
  </si>
  <si>
    <t>EMP1454</t>
  </si>
  <si>
    <t>EMP1208</t>
  </si>
  <si>
    <t>EMP1212</t>
  </si>
  <si>
    <t>EMP1481</t>
  </si>
  <si>
    <t>EMP1539</t>
  </si>
  <si>
    <t>EMP1172</t>
  </si>
  <si>
    <t>EMP1177</t>
  </si>
  <si>
    <t>EMP1362</t>
  </si>
  <si>
    <t>EMP1409</t>
  </si>
  <si>
    <t>EMP1424</t>
  </si>
  <si>
    <t>EMP1438</t>
  </si>
  <si>
    <t>EMP1228</t>
  </si>
  <si>
    <t>EMP1281</t>
  </si>
  <si>
    <t>EMP1284</t>
  </si>
  <si>
    <t>EMP1308</t>
  </si>
  <si>
    <t>EMP1344</t>
  </si>
  <si>
    <t>EMP1460</t>
  </si>
  <si>
    <t>EMP1461</t>
  </si>
  <si>
    <t>EMP1491</t>
  </si>
  <si>
    <t>EMP1501</t>
  </si>
  <si>
    <t>EMP1508</t>
  </si>
  <si>
    <t>EMP1215</t>
  </si>
  <si>
    <t>EMP1357</t>
  </si>
  <si>
    <t>EMP1373</t>
  </si>
  <si>
    <t>EMP1390</t>
  </si>
  <si>
    <t>EMP1392</t>
  </si>
  <si>
    <t>EMP1418</t>
  </si>
  <si>
    <t>EMP1453</t>
  </si>
  <si>
    <t>EMP1457</t>
  </si>
  <si>
    <t>EMP1263</t>
  </si>
  <si>
    <t>EMP1269</t>
  </si>
  <si>
    <t>EMP1312</t>
  </si>
  <si>
    <t>EMP1313</t>
  </si>
  <si>
    <t>EMP1217</t>
  </si>
  <si>
    <t>EMP1174</t>
  </si>
  <si>
    <t>EMP1252</t>
  </si>
  <si>
    <t>EMP1459</t>
  </si>
  <si>
    <t>EMP1480</t>
  </si>
  <si>
    <t>EMP1496</t>
  </si>
  <si>
    <t>EMP1529</t>
  </si>
  <si>
    <t>EMP1242</t>
  </si>
  <si>
    <t>EMP1446</t>
  </si>
  <si>
    <t>EMP1447</t>
  </si>
  <si>
    <t>EMP1163</t>
  </si>
  <si>
    <t>EMP1248</t>
  </si>
  <si>
    <t>EMP1286</t>
  </si>
  <si>
    <t>EMP1307</t>
  </si>
  <si>
    <t>EMP1176</t>
  </si>
  <si>
    <t>EMP1219</t>
  </si>
  <si>
    <t>EMP1476</t>
  </si>
  <si>
    <t>EMP1504</t>
  </si>
  <si>
    <t>EMP1505</t>
  </si>
  <si>
    <t>EMP1510</t>
  </si>
  <si>
    <t>EMP1246</t>
  </si>
  <si>
    <t>EMP1236</t>
  </si>
  <si>
    <t>EMP1364</t>
  </si>
  <si>
    <t>EMP1384</t>
  </si>
  <si>
    <t>EMP1423</t>
  </si>
  <si>
    <t>EMP1317</t>
  </si>
  <si>
    <t>EMP1348</t>
  </si>
  <si>
    <t>EMP1351</t>
  </si>
  <si>
    <t>EMP1237</t>
  </si>
  <si>
    <t>EMP1507</t>
  </si>
  <si>
    <t>EMP1535</t>
  </si>
  <si>
    <t>EMP1230</t>
  </si>
  <si>
    <t>EMP1367</t>
  </si>
  <si>
    <t>EMP1383</t>
  </si>
  <si>
    <t>EMP1402</t>
  </si>
  <si>
    <t>EMP1297</t>
  </si>
  <si>
    <t>EMP1298</t>
  </si>
  <si>
    <t>EMP1314</t>
  </si>
  <si>
    <t>EMP1160</t>
  </si>
  <si>
    <t>EMP1194</t>
  </si>
  <si>
    <t>EMP1245</t>
  </si>
  <si>
    <t>EMP1206</t>
  </si>
  <si>
    <t>EMP1203</t>
  </si>
  <si>
    <t>EMP1463</t>
  </si>
  <si>
    <t>EMP1468</t>
  </si>
  <si>
    <t>EMP1484</t>
  </si>
  <si>
    <t>EMP1506</t>
  </si>
  <si>
    <t>EMP1512</t>
  </si>
  <si>
    <t>EMP1530</t>
  </si>
  <si>
    <t>EMP1223</t>
  </si>
  <si>
    <t>EMP1355</t>
  </si>
  <si>
    <t>EMP1448</t>
  </si>
  <si>
    <t>EMP1164</t>
  </si>
  <si>
    <t>EMP1183</t>
  </si>
  <si>
    <t>EMP1264</t>
  </si>
  <si>
    <t>EMP1167</t>
  </si>
  <si>
    <t>EMP1186</t>
  </si>
  <si>
    <t>EMP1514</t>
  </si>
  <si>
    <t>EMP1519</t>
  </si>
  <si>
    <t>EMP1213</t>
  </si>
  <si>
    <t>EMP1379</t>
  </si>
  <si>
    <t>EMP1387</t>
  </si>
  <si>
    <t>EMP1407</t>
  </si>
  <si>
    <t>EMP1410</t>
  </si>
  <si>
    <t>EMP1222</t>
  </si>
  <si>
    <t>EMP1187</t>
  </si>
  <si>
    <t>EMP1282</t>
  </si>
  <si>
    <t>EMP1283</t>
  </si>
  <si>
    <t>EMP1301</t>
  </si>
  <si>
    <t>EMP1343</t>
  </si>
  <si>
    <t>EMP1180</t>
  </si>
  <si>
    <t>EMP1170</t>
  </si>
  <si>
    <t>EMP1473</t>
  </si>
  <si>
    <t>EMP1534</t>
  </si>
  <si>
    <t>EMP1538</t>
  </si>
  <si>
    <t>EMP1425</t>
  </si>
  <si>
    <t>EMP1443</t>
  </si>
  <si>
    <t>EMP1226</t>
  </si>
  <si>
    <t>EMP1262</t>
  </si>
  <si>
    <t>EMP1268</t>
  </si>
  <si>
    <t>EMP1275</t>
  </si>
  <si>
    <t>EMP1331</t>
  </si>
  <si>
    <t>EMP1335</t>
  </si>
  <si>
    <t>EMP1350</t>
  </si>
  <si>
    <t>EMP1353</t>
  </si>
  <si>
    <t>EMP1469</t>
  </si>
  <si>
    <t>EMP1494</t>
  </si>
  <si>
    <t>EMP1502</t>
  </si>
  <si>
    <t>EMP1520</t>
  </si>
  <si>
    <t>EMP1365</t>
  </si>
  <si>
    <t>EMP1369</t>
  </si>
  <si>
    <t>EMP1431</t>
  </si>
  <si>
    <t>EMP1458</t>
  </si>
  <si>
    <t>EMP1285</t>
  </si>
  <si>
    <t>EMP1299</t>
  </si>
  <si>
    <t>EMP1188</t>
  </si>
  <si>
    <t>EMP1197</t>
  </si>
  <si>
    <t>EMP1189</t>
  </si>
  <si>
    <t>EMP1498</t>
  </si>
  <si>
    <t>EMP1385</t>
  </si>
  <si>
    <t>EMP1432</t>
  </si>
  <si>
    <t>EMP1437</t>
  </si>
  <si>
    <t>EMP1258</t>
  </si>
  <si>
    <t>EMP1279</t>
  </si>
  <si>
    <t>EMP1303</t>
  </si>
  <si>
    <t>EMP1336</t>
  </si>
  <si>
    <t>EMP1339</t>
  </si>
  <si>
    <t>EMP1254</t>
  </si>
  <si>
    <t>EMP1503</t>
  </si>
  <si>
    <t>EMP1513</t>
  </si>
  <si>
    <t>EMP1234</t>
  </si>
  <si>
    <t>EMP1396</t>
  </si>
  <si>
    <t>EMP1403</t>
  </si>
  <si>
    <t>EMP1413</t>
  </si>
  <si>
    <t>EMP1440</t>
  </si>
  <si>
    <t>EMP1445</t>
  </si>
  <si>
    <t>EMP1266</t>
  </si>
  <si>
    <t>EMP1277</t>
  </si>
  <si>
    <t>EMP1320</t>
  </si>
  <si>
    <t>EMP1247</t>
  </si>
  <si>
    <t>EMP1224</t>
  </si>
  <si>
    <t>EMP1251</t>
  </si>
  <si>
    <t>EMP1467</t>
  </si>
  <si>
    <t>EMP1471</t>
  </si>
  <si>
    <t>EMP1487</t>
  </si>
  <si>
    <t>EMP1490</t>
  </si>
  <si>
    <t>EMP1500</t>
  </si>
  <si>
    <t>EMP1527</t>
  </si>
  <si>
    <t>EMP1356</t>
  </si>
  <si>
    <t>EMP1428</t>
  </si>
  <si>
    <t>EMP1433</t>
  </si>
  <si>
    <t>EMP1450</t>
  </si>
  <si>
    <t>EMP1243</t>
  </si>
  <si>
    <t>EMP1261</t>
  </si>
  <si>
    <t>EMP1267</t>
  </si>
  <si>
    <t>EMP1278</t>
  </si>
  <si>
    <t>EMP1287</t>
  </si>
  <si>
    <t>EMP1332</t>
  </si>
  <si>
    <t>EMP1158</t>
  </si>
  <si>
    <t>EMP1378</t>
  </si>
  <si>
    <t>EMP1426</t>
  </si>
  <si>
    <t>EMP1199</t>
  </si>
  <si>
    <t>EMP1305</t>
  </si>
  <si>
    <t>EMP1310</t>
  </si>
  <si>
    <t>EMP1178</t>
  </si>
  <si>
    <t>EMP1472</t>
  </si>
  <si>
    <t>EMP1511</t>
  </si>
  <si>
    <t>EMP1522</t>
  </si>
  <si>
    <t>EMP1162</t>
  </si>
  <si>
    <t>EMP1179</t>
  </si>
  <si>
    <t>EMP1375</t>
  </si>
  <si>
    <t>EMP1397</t>
  </si>
  <si>
    <t>EMP1406</t>
  </si>
  <si>
    <t>EMP1422</t>
  </si>
  <si>
    <t>EMP1436</t>
  </si>
  <si>
    <t>EMP1400</t>
  </si>
  <si>
    <t>EMP1138</t>
  </si>
  <si>
    <t>EMP1069</t>
  </si>
  <si>
    <t>EMP1079</t>
  </si>
  <si>
    <t>EMP1027</t>
  </si>
  <si>
    <t>EMP1146</t>
  </si>
  <si>
    <t>EMP1154</t>
  </si>
  <si>
    <t>EMP1063</t>
  </si>
  <si>
    <t>EMP1078</t>
  </si>
  <si>
    <t>EMP1084</t>
  </si>
  <si>
    <t>EMP1031</t>
  </si>
  <si>
    <t>EMP1054</t>
  </si>
  <si>
    <t>EMP1140</t>
  </si>
  <si>
    <t>EMP1101</t>
  </si>
  <si>
    <t>EMP1088</t>
  </si>
  <si>
    <t>EMP1038</t>
  </si>
  <si>
    <t>EMP1139</t>
  </si>
  <si>
    <t>EMP1122</t>
  </si>
  <si>
    <t>EMP1123</t>
  </si>
  <si>
    <t>EMP1016</t>
  </si>
  <si>
    <t>EMP1043</t>
  </si>
  <si>
    <t>EMP1074</t>
  </si>
  <si>
    <t>EMP1144</t>
  </si>
  <si>
    <t>EMP1151</t>
  </si>
  <si>
    <t>EMP1153</t>
  </si>
  <si>
    <t>EMP1064</t>
  </si>
  <si>
    <t>EMP1109</t>
  </si>
  <si>
    <t>EMP1023</t>
  </si>
  <si>
    <t>EMP1095</t>
  </si>
  <si>
    <t>EMP1131</t>
  </si>
  <si>
    <t>EMP1006</t>
  </si>
  <si>
    <t>EMP1057</t>
  </si>
  <si>
    <t>EMP1076</t>
  </si>
  <si>
    <t>EMP1098</t>
  </si>
  <si>
    <t>EMP1107</t>
  </si>
  <si>
    <t>EMP1121</t>
  </si>
  <si>
    <t>EMP1013</t>
  </si>
  <si>
    <t>EMP1030</t>
  </si>
  <si>
    <t>EMP1081</t>
  </si>
  <si>
    <t>EMP1086</t>
  </si>
  <si>
    <t>EMP1103</t>
  </si>
  <si>
    <t>EMP1116</t>
  </si>
  <si>
    <t>EMP1090</t>
  </si>
  <si>
    <t>EMP1061</t>
  </si>
  <si>
    <t>EMP1130</t>
  </si>
  <si>
    <t>EMP1104</t>
  </si>
  <si>
    <t>EMP1083</t>
  </si>
  <si>
    <t>EMP1066</t>
  </si>
  <si>
    <t>EMP1055</t>
  </si>
  <si>
    <t>EMP1067</t>
  </si>
  <si>
    <t>EMP1100</t>
  </si>
  <si>
    <t>EMP1026</t>
  </si>
  <si>
    <t>EMP1094</t>
  </si>
  <si>
    <t>EMP1096</t>
  </si>
  <si>
    <t>EMP1097</t>
  </si>
  <si>
    <t>EMP1148</t>
  </si>
  <si>
    <t>EMP1126</t>
  </si>
  <si>
    <t>EMP1089</t>
  </si>
  <si>
    <t>EMP1011</t>
  </si>
  <si>
    <t>EMP1003</t>
  </si>
  <si>
    <t>EMP1009</t>
  </si>
  <si>
    <t>EMP1065</t>
  </si>
  <si>
    <t>EMP1008</t>
  </si>
  <si>
    <t>EMP1071</t>
  </si>
  <si>
    <t>EMP1014</t>
  </si>
  <si>
    <t>EMP1024</t>
  </si>
  <si>
    <t>EMP1052</t>
  </si>
  <si>
    <t>EMP1136</t>
  </si>
  <si>
    <t>EMP1152</t>
  </si>
  <si>
    <t>EMP1120</t>
  </si>
  <si>
    <t>EMP1125</t>
  </si>
  <si>
    <t>EMP1127</t>
  </si>
  <si>
    <t>EMP1128</t>
  </si>
  <si>
    <t>EMP1091</t>
  </si>
  <si>
    <t>EMP1004</t>
  </si>
  <si>
    <t>EMP1012</t>
  </si>
  <si>
    <t>EMP1133</t>
  </si>
  <si>
    <t>EMP1025</t>
  </si>
  <si>
    <t>EMP1018</t>
  </si>
  <si>
    <t>EMP1058</t>
  </si>
  <si>
    <t>EMP1106</t>
  </si>
  <si>
    <t>EMP1115</t>
  </si>
  <si>
    <t>EMP1118</t>
  </si>
  <si>
    <t>EMP1022</t>
  </si>
  <si>
    <t>EMP1019</t>
  </si>
  <si>
    <t>EMP1051</t>
  </si>
  <si>
    <t>EMP1040</t>
  </si>
  <si>
    <t>EMP1017</t>
  </si>
  <si>
    <t>EMP1102</t>
  </si>
  <si>
    <t>EMP1033</t>
  </si>
  <si>
    <t>EMP1059</t>
  </si>
  <si>
    <t>EMP1134</t>
  </si>
  <si>
    <t>EMP1137</t>
  </si>
  <si>
    <t>EMP1145</t>
  </si>
  <si>
    <t>EMP1150</t>
  </si>
  <si>
    <t>EMP1073</t>
  </si>
  <si>
    <t>EMP1108</t>
  </si>
  <si>
    <t>EMP1070</t>
  </si>
  <si>
    <t>EMP1075</t>
  </si>
  <si>
    <t>EMP1053</t>
  </si>
  <si>
    <t>EMP1036</t>
  </si>
  <si>
    <t>EMP1149</t>
  </si>
  <si>
    <t>EMP1113</t>
  </si>
  <si>
    <t>EMP1114</t>
  </si>
  <si>
    <t>EMP1047</t>
  </si>
  <si>
    <t>EMP1092</t>
  </si>
  <si>
    <t>EMP1129</t>
  </si>
  <si>
    <t>EMP1046</t>
  </si>
  <si>
    <t>EMP1005</t>
  </si>
  <si>
    <t>EMP1020</t>
  </si>
  <si>
    <t>EMP1080</t>
  </si>
  <si>
    <t>EMP1010</t>
  </si>
  <si>
    <t>EMP1050</t>
  </si>
  <si>
    <t>EMP1049</t>
  </si>
  <si>
    <t>EMP1037</t>
  </si>
  <si>
    <t>EMP1105</t>
  </si>
  <si>
    <t>EMP1124</t>
  </si>
  <si>
    <t>EMP1032</t>
  </si>
  <si>
    <t>EMP1077</t>
  </si>
  <si>
    <t>EMP1060</t>
  </si>
  <si>
    <t>EMP1135</t>
  </si>
  <si>
    <t>EMP1142</t>
  </si>
  <si>
    <t>EMP1041</t>
  </si>
  <si>
    <t>EMP1035</t>
  </si>
  <si>
    <t>EMP1045</t>
  </si>
  <si>
    <t>EMP1062</t>
  </si>
  <si>
    <t>EMP1042</t>
  </si>
  <si>
    <t>EMP1039</t>
  </si>
  <si>
    <t>EMP1044</t>
  </si>
  <si>
    <t>EMP1132</t>
  </si>
  <si>
    <t>EMP1110</t>
  </si>
  <si>
    <t>EMP1001</t>
  </si>
  <si>
    <t>EMP1007</t>
  </si>
  <si>
    <t>EMP1082</t>
  </si>
  <si>
    <t>EMP1029</t>
  </si>
  <si>
    <t>EMP1048</t>
  </si>
  <si>
    <t>EMP1056</t>
  </si>
  <si>
    <t>EMP1117</t>
  </si>
  <si>
    <t>EMP1119</t>
  </si>
  <si>
    <t>EMP1093</t>
  </si>
  <si>
    <t>EMP1002</t>
  </si>
  <si>
    <t>EMP1147</t>
  </si>
  <si>
    <t>EMP1085</t>
  </si>
  <si>
    <t>EMP1087</t>
  </si>
  <si>
    <t>EMP1099</t>
  </si>
  <si>
    <t>EMP1141</t>
  </si>
  <si>
    <t>EMP1143</t>
  </si>
  <si>
    <t>EMP1112</t>
  </si>
  <si>
    <t>EMP1028</t>
  </si>
  <si>
    <t>EMP1034</t>
  </si>
  <si>
    <t>EMP1021</t>
  </si>
  <si>
    <t>EMP1072</t>
  </si>
  <si>
    <t>EMP1111</t>
  </si>
  <si>
    <t>EMP1015</t>
  </si>
  <si>
    <t>EMP1068</t>
  </si>
  <si>
    <t>EMP1720</t>
  </si>
  <si>
    <t>Sales - ROW - ANZ</t>
  </si>
  <si>
    <t>Director 3</t>
  </si>
  <si>
    <t>Remote - Australia/NZ</t>
  </si>
  <si>
    <t>EMP1764</t>
  </si>
  <si>
    <t>EMP1738</t>
  </si>
  <si>
    <t>EMP1723</t>
  </si>
  <si>
    <t>EMP1718</t>
  </si>
  <si>
    <t>EMP1781</t>
  </si>
  <si>
    <t>EMP1783</t>
  </si>
  <si>
    <t>EMP1716</t>
  </si>
  <si>
    <t>EMP1734</t>
  </si>
  <si>
    <t>EMP1757</t>
  </si>
  <si>
    <t>EMP1785</t>
  </si>
  <si>
    <t>EMP1770</t>
  </si>
  <si>
    <t>EMP1728</t>
  </si>
  <si>
    <t>EMP1787</t>
  </si>
  <si>
    <t>EMP1779</t>
  </si>
  <si>
    <t>EMP1754</t>
  </si>
  <si>
    <t>EMP1760</t>
  </si>
  <si>
    <t>EMP1786</t>
  </si>
  <si>
    <t>EMP1763</t>
  </si>
  <si>
    <t>EMP1755</t>
  </si>
  <si>
    <t>EMP1762</t>
  </si>
  <si>
    <t>EMP1745</t>
  </si>
  <si>
    <t>EMP1753</t>
  </si>
  <si>
    <t>EMP1724</t>
  </si>
  <si>
    <t>EMP1777</t>
  </si>
  <si>
    <t>EMP1780</t>
  </si>
  <si>
    <t>EMP1732</t>
  </si>
  <si>
    <t>EMP1747</t>
  </si>
  <si>
    <t>EMP1740</t>
  </si>
  <si>
    <t>EMP1761</t>
  </si>
  <si>
    <t>EMP1729</t>
  </si>
  <si>
    <t>EMP1741</t>
  </si>
  <si>
    <t>EMP1717</t>
  </si>
  <si>
    <t>EMP1774</t>
  </si>
  <si>
    <t>EMP1759</t>
  </si>
  <si>
    <t>EMP1722</t>
  </si>
  <si>
    <t>EMP1784</t>
  </si>
  <si>
    <t>EMP1765</t>
  </si>
  <si>
    <t>EMP1721</t>
  </si>
  <si>
    <t>EMP1766</t>
  </si>
  <si>
    <t>EMP1737</t>
  </si>
  <si>
    <t>EMP1749</t>
  </si>
  <si>
    <t>EMP1788</t>
  </si>
  <si>
    <t>EMP1771</t>
  </si>
  <si>
    <t>EMP1719</t>
  </si>
  <si>
    <t>EMP1735</t>
  </si>
  <si>
    <t>EMP1751</t>
  </si>
  <si>
    <t>EMP1758</t>
  </si>
  <si>
    <t>EMP1744</t>
  </si>
  <si>
    <t>EMP1736</t>
  </si>
  <si>
    <t>EMP1746</t>
  </si>
  <si>
    <t>EMP1730</t>
  </si>
  <si>
    <t>EMP1726</t>
  </si>
  <si>
    <t>EMP1748</t>
  </si>
  <si>
    <t>EMP1768</t>
  </si>
  <si>
    <t>EMP1773</t>
  </si>
  <si>
    <t>EMP1750</t>
  </si>
  <si>
    <t>EMP1727</t>
  </si>
  <si>
    <t>EMP1731</t>
  </si>
  <si>
    <t>EMP1775</t>
  </si>
  <si>
    <t>EMP1772</t>
  </si>
  <si>
    <t>EMP1752</t>
  </si>
  <si>
    <t>EMP1725</t>
  </si>
  <si>
    <t>EMP1776</t>
  </si>
  <si>
    <t>EMP1756</t>
  </si>
  <si>
    <t>EMP1767</t>
  </si>
  <si>
    <t>EMP1739</t>
  </si>
  <si>
    <t>EMP1742</t>
  </si>
  <si>
    <t>EMP1733</t>
  </si>
  <si>
    <t>EMP1743</t>
  </si>
  <si>
    <t>EMP1769</t>
  </si>
  <si>
    <t>EMP1782</t>
  </si>
  <si>
    <t>EMP1778</t>
  </si>
  <si>
    <t>EMP1855</t>
  </si>
  <si>
    <t>Sales - ROW - GCC</t>
  </si>
  <si>
    <t>Remote - GCC</t>
  </si>
  <si>
    <t>EMP1815</t>
  </si>
  <si>
    <t>EMP1881</t>
  </si>
  <si>
    <t>EMP1890</t>
  </si>
  <si>
    <t>EMP1813</t>
  </si>
  <si>
    <t>EMP1824</t>
  </si>
  <si>
    <t>EMP1833</t>
  </si>
  <si>
    <t>EMP1840</t>
  </si>
  <si>
    <t>EMP1841</t>
  </si>
  <si>
    <t>EMP1854</t>
  </si>
  <si>
    <t>EMP1859</t>
  </si>
  <si>
    <t>EMP1853</t>
  </si>
  <si>
    <t>EMP1790</t>
  </si>
  <si>
    <t>EMP1843</t>
  </si>
  <si>
    <t>EMP1848</t>
  </si>
  <si>
    <t>EMP1867</t>
  </si>
  <si>
    <t>EMP1873</t>
  </si>
  <si>
    <t>EMP1828</t>
  </si>
  <si>
    <t>EMP1820</t>
  </si>
  <si>
    <t>EMP1798</t>
  </si>
  <si>
    <t>EMP1876</t>
  </si>
  <si>
    <t>EMP1807</t>
  </si>
  <si>
    <t>EMP1810</t>
  </si>
  <si>
    <t>EMP1885</t>
  </si>
  <si>
    <t>EMP1892</t>
  </si>
  <si>
    <t>EMP1893</t>
  </si>
  <si>
    <t>EMP1838</t>
  </si>
  <si>
    <t>EMP1808</t>
  </si>
  <si>
    <t>EMP1870</t>
  </si>
  <si>
    <t>EMP1842</t>
  </si>
  <si>
    <t>EMP1796</t>
  </si>
  <si>
    <t>EMP1894</t>
  </si>
  <si>
    <t>EMP1871</t>
  </si>
  <si>
    <t>EMP1822</t>
  </si>
  <si>
    <t>EMP1836</t>
  </si>
  <si>
    <t>EMP1856</t>
  </si>
  <si>
    <t>EMP1827</t>
  </si>
  <si>
    <t>EMP1799</t>
  </si>
  <si>
    <t>EMP1869</t>
  </si>
  <si>
    <t>EMP1851</t>
  </si>
  <si>
    <t>EMP1812</t>
  </si>
  <si>
    <t>EMP1825</t>
  </si>
  <si>
    <t>EMP1852</t>
  </si>
  <si>
    <t>EMP1805</t>
  </si>
  <si>
    <t>EMP1826</t>
  </si>
  <si>
    <t>EMP1832</t>
  </si>
  <si>
    <t>EMP1844</t>
  </si>
  <si>
    <t>EMP1850</t>
  </si>
  <si>
    <t>EMP1789</t>
  </si>
  <si>
    <t>EMP1880</t>
  </si>
  <si>
    <t>EMP1889</t>
  </si>
  <si>
    <t>EMP1795</t>
  </si>
  <si>
    <t>EMP1794</t>
  </si>
  <si>
    <t>EMP1879</t>
  </si>
  <si>
    <t>EMP1888</t>
  </si>
  <si>
    <t>EMP1864</t>
  </si>
  <si>
    <t>EMP1875</t>
  </si>
  <si>
    <t>EMP1800</t>
  </si>
  <si>
    <t>EMP1829</t>
  </si>
  <si>
    <t>EMP1886</t>
  </si>
  <si>
    <t>EMP1817</t>
  </si>
  <si>
    <t>EMP1792</t>
  </si>
  <si>
    <t>EMP1866</t>
  </si>
  <si>
    <t>EMP1801</t>
  </si>
  <si>
    <t>EMP1816</t>
  </si>
  <si>
    <t>EMP1821</t>
  </si>
  <si>
    <t>EMP1797</t>
  </si>
  <si>
    <t>EMP1791</t>
  </si>
  <si>
    <t>EMP1887</t>
  </si>
  <si>
    <t>EMP1835</t>
  </si>
  <si>
    <t>EMP1804</t>
  </si>
  <si>
    <t>EMP1883</t>
  </si>
  <si>
    <t>EMP1819</t>
  </si>
  <si>
    <t>EMP1847</t>
  </si>
  <si>
    <t>EMP1877</t>
  </si>
  <si>
    <t>EMP1868</t>
  </si>
  <si>
    <t>EMP1818</t>
  </si>
  <si>
    <t>EMP1831</t>
  </si>
  <si>
    <t>EMP1793</t>
  </si>
  <si>
    <t>EMP1878</t>
  </si>
  <si>
    <t>EMP1865</t>
  </si>
  <si>
    <t>EMP1872</t>
  </si>
  <si>
    <t>EMP1839</t>
  </si>
  <si>
    <t>EMP1845</t>
  </si>
  <si>
    <t>EMP1814</t>
  </si>
  <si>
    <t>EMP1891</t>
  </si>
  <si>
    <t>EMP1896</t>
  </si>
  <si>
    <t>EMP1858</t>
  </si>
  <si>
    <t>EMP1874</t>
  </si>
  <si>
    <t>EMP1849</t>
  </si>
  <si>
    <t>EMP1809</t>
  </si>
  <si>
    <t>EMP1882</t>
  </si>
  <si>
    <t>EMP1834</t>
  </si>
  <si>
    <t>EMP1895</t>
  </si>
  <si>
    <t>EMP1837</t>
  </si>
  <si>
    <t>EMP1846</t>
  </si>
  <si>
    <t>EMP1897</t>
  </si>
  <si>
    <t>EMP1862</t>
  </si>
  <si>
    <t>EMP1863</t>
  </si>
  <si>
    <t>EMP1823</t>
  </si>
  <si>
    <t>EMP1802</t>
  </si>
  <si>
    <t>EMP1857</t>
  </si>
  <si>
    <t>EMP1860</t>
  </si>
  <si>
    <t>EMP1830</t>
  </si>
  <si>
    <t>EMP1803</t>
  </si>
  <si>
    <t>EMP1861</t>
  </si>
  <si>
    <t>EMP1806</t>
  </si>
  <si>
    <t>EMP1811</t>
  </si>
  <si>
    <t>EMP1884</t>
  </si>
  <si>
    <t>Exit _status</t>
  </si>
  <si>
    <t>Added Helper columns</t>
  </si>
  <si>
    <t>changed data type to short date for "Date of joining" and "Date of exit" columns</t>
  </si>
  <si>
    <t>Actions taken:</t>
  </si>
  <si>
    <t>Row Labels</t>
  </si>
  <si>
    <t>Grand Total</t>
  </si>
  <si>
    <t>Count of Employee ID</t>
  </si>
  <si>
    <t>Join_month</t>
  </si>
  <si>
    <t>exit_month</t>
  </si>
  <si>
    <t>Voluntary_exit</t>
  </si>
  <si>
    <t>Involuntary_exit</t>
  </si>
  <si>
    <t>Metric</t>
  </si>
  <si>
    <t>Column Labels</t>
  </si>
  <si>
    <t>Opening Headcount</t>
  </si>
  <si>
    <t>Closing Headcount</t>
  </si>
  <si>
    <t>Average Headcount</t>
  </si>
  <si>
    <t>Joiners</t>
  </si>
  <si>
    <t>Exits</t>
  </si>
  <si>
    <t>Attrition %</t>
  </si>
  <si>
    <t>Voluntary exits</t>
  </si>
  <si>
    <t>Involuntary exits</t>
  </si>
  <si>
    <t>Voluntary attrition %</t>
  </si>
  <si>
    <t>Involuntary attrition %</t>
  </si>
  <si>
    <t>Monthly Summary Table</t>
  </si>
  <si>
    <t>Sub-Departments :</t>
  </si>
  <si>
    <t>Analysis for --</t>
  </si>
  <si>
    <t xml:space="preserve">Analysis by Work-Mode </t>
  </si>
  <si>
    <t>Tenure Bucket</t>
  </si>
  <si>
    <t>Emplpyee Attrition Dashboard</t>
  </si>
  <si>
    <t>MIS Analysis</t>
  </si>
  <si>
    <t xml:space="preserve">April - June 2026 ||            </t>
  </si>
  <si>
    <t>June's Attrition %</t>
  </si>
  <si>
    <t>0-90</t>
  </si>
  <si>
    <t>180-365</t>
  </si>
  <si>
    <t>90-180</t>
  </si>
  <si>
    <t>above 1 year</t>
  </si>
  <si>
    <t>Contribution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</si>
</sst>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-mmm\-yyyy"/>
    <numFmt numFmtId="165" formatCode="d\-mmm\-yyyy"/>
    <numFmt numFmtId="166" formatCode="d\-mmmm\-yyyy"/>
    <numFmt numFmtId="167" formatCode="dd\-mmmm\-yyyy"/>
    <numFmt numFmtId="168" formatCode="0.0%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7" tint="-0.249977111117893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b/>
      <sz val="16"/>
      <color theme="9" tint="-0.249977111117893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theme="4" tint="-0.249977111117893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sz val="20"/>
      <color rgb="FF000000"/>
      <name val="Arial"/>
      <family val="2"/>
      <scheme val="minor"/>
    </font>
    <font>
      <sz val="2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0" borderId="4" xfId="0" applyFont="1" applyBorder="1" applyAlignment="1"/>
    <xf numFmtId="0" fontId="4" fillId="3" borderId="3" xfId="0" applyFont="1" applyFill="1" applyBorder="1" applyAlignment="1"/>
    <xf numFmtId="17" fontId="4" fillId="3" borderId="3" xfId="0" applyNumberFormat="1" applyFont="1" applyFill="1" applyBorder="1" applyAlignment="1"/>
    <xf numFmtId="0" fontId="0" fillId="4" borderId="3" xfId="0" applyFont="1" applyFill="1" applyBorder="1" applyAlignment="1"/>
    <xf numFmtId="0" fontId="0" fillId="0" borderId="3" xfId="0" applyFont="1" applyBorder="1" applyAlignment="1"/>
    <xf numFmtId="0" fontId="5" fillId="2" borderId="1" xfId="0" applyFont="1" applyFill="1" applyBorder="1" applyAlignment="1">
      <alignment horizontal="left"/>
    </xf>
    <xf numFmtId="10" fontId="0" fillId="0" borderId="0" xfId="1" applyNumberFormat="1" applyFont="1" applyAlignment="1"/>
    <xf numFmtId="168" fontId="0" fillId="0" borderId="3" xfId="1" applyNumberFormat="1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left"/>
    </xf>
    <xf numFmtId="0" fontId="8" fillId="0" borderId="0" xfId="0" applyFont="1" applyAlignment="1"/>
    <xf numFmtId="0" fontId="10" fillId="0" borderId="4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5" fillId="2" borderId="2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14" fillId="0" borderId="0" xfId="0" applyFont="1" applyAlignment="1"/>
    <xf numFmtId="0" fontId="15" fillId="0" borderId="0" xfId="0" applyFont="1" applyAlignment="1"/>
    <xf numFmtId="168" fontId="0" fillId="0" borderId="0" xfId="1" applyNumberFormat="1" applyFont="1" applyAlignment="1"/>
    <xf numFmtId="0" fontId="6" fillId="5" borderId="3" xfId="0" applyFont="1" applyFill="1" applyBorder="1" applyAlignment="1"/>
    <xf numFmtId="0" fontId="6" fillId="5" borderId="0" xfId="0" applyFont="1" applyFill="1" applyAlignment="1"/>
    <xf numFmtId="0" fontId="9" fillId="0" borderId="0" xfId="0" applyFont="1" applyAlignment="1"/>
    <xf numFmtId="0" fontId="9" fillId="0" borderId="8" xfId="0" applyFont="1" applyBorder="1" applyAlignment="1"/>
    <xf numFmtId="9" fontId="9" fillId="0" borderId="9" xfId="1" applyFont="1" applyBorder="1" applyAlignment="1"/>
    <xf numFmtId="0" fontId="9" fillId="0" borderId="10" xfId="0" applyFont="1" applyBorder="1" applyAlignment="1"/>
    <xf numFmtId="0" fontId="9" fillId="0" borderId="4" xfId="0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0" fontId="9" fillId="0" borderId="5" xfId="0" applyFont="1" applyBorder="1" applyAlignment="1"/>
    <xf numFmtId="0" fontId="9" fillId="0" borderId="7" xfId="0" applyFont="1" applyBorder="1" applyAlignment="1"/>
    <xf numFmtId="10" fontId="0" fillId="0" borderId="0" xfId="0" applyNumberFormat="1" applyFont="1" applyAlignment="1"/>
    <xf numFmtId="168" fontId="0" fillId="0" borderId="0" xfId="1" applyNumberFormat="1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IN" sz="1400" b="0"/>
              <a:t>Monthly</a:t>
            </a:r>
            <a:r>
              <a:rPr lang="en-IN" sz="1400" b="0" baseline="0"/>
              <a:t> Attrition trend - Voluntary vs Involuntary</a:t>
            </a:r>
            <a:endParaRPr lang="en-IN" sz="1400" b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 table'!$L$1</c:f>
              <c:strCache>
                <c:ptCount val="1"/>
                <c:pt idx="0">
                  <c:v>Voluntary attrition %</c:v>
                </c:pt>
              </c:strCache>
            </c:strRef>
          </c:tx>
          <c:cat>
            <c:numRef>
              <c:f>'Monthly Summary table'!$K$2:$K$5</c:f>
              <c:numCache>
                <c:formatCode>mmm\-yy</c:formatCode>
                <c:ptCount val="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'Monthly Summary table'!$L$2:$L$5</c:f>
              <c:numCache>
                <c:formatCode>0.0%</c:formatCode>
                <c:ptCount val="4"/>
                <c:pt idx="0">
                  <c:v>0.2675496688741722</c:v>
                </c:pt>
                <c:pt idx="1">
                  <c:v>0.24040920716112532</c:v>
                </c:pt>
                <c:pt idx="2">
                  <c:v>0.27065527065527067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Summary table'!$M$1</c:f>
              <c:strCache>
                <c:ptCount val="1"/>
                <c:pt idx="0">
                  <c:v>Involuntary attrition %</c:v>
                </c:pt>
              </c:strCache>
            </c:strRef>
          </c:tx>
          <c:cat>
            <c:numRef>
              <c:f>'Monthly Summary table'!$K$2:$K$5</c:f>
              <c:numCache>
                <c:formatCode>mmm\-yy</c:formatCode>
                <c:ptCount val="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'Monthly Summary table'!$M$2:$M$5</c:f>
              <c:numCache>
                <c:formatCode>0.0%</c:formatCode>
                <c:ptCount val="4"/>
                <c:pt idx="0">
                  <c:v>0.20132450331125828</c:v>
                </c:pt>
                <c:pt idx="1">
                  <c:v>0.29411764705882354</c:v>
                </c:pt>
                <c:pt idx="2">
                  <c:v>0.2621082621082621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75040"/>
        <c:axId val="241576576"/>
      </c:lineChart>
      <c:dateAx>
        <c:axId val="241575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41576576"/>
        <c:crosses val="autoZero"/>
        <c:auto val="1"/>
        <c:lblOffset val="100"/>
        <c:baseTimeUnit val="months"/>
      </c:dateAx>
      <c:valAx>
        <c:axId val="241576576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241575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Sub-Department</a:t>
            </a:r>
            <a:r>
              <a:rPr lang="en-IN" baseline="0"/>
              <a:t> Attrition %</a:t>
            </a:r>
            <a:endParaRPr lang="en-IN"/>
          </a:p>
        </c:rich>
      </c:tx>
      <c:layout>
        <c:manualLayout>
          <c:xMode val="edge"/>
          <c:yMode val="edge"/>
          <c:x val="0.12285436723007026"/>
          <c:y val="5.094295645476748E-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'Sub-departments'!$A$2</c:f>
              <c:strCache>
                <c:ptCount val="1"/>
                <c:pt idx="0">
                  <c:v>Sales - English - India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'Sub-departments'!$B$2:$D$2</c:f>
              <c:numCache>
                <c:formatCode>0.0%</c:formatCode>
                <c:ptCount val="3"/>
                <c:pt idx="0">
                  <c:v>0.52849740932642486</c:v>
                </c:pt>
                <c:pt idx="1">
                  <c:v>0.73493975903614461</c:v>
                </c:pt>
                <c:pt idx="2">
                  <c:v>0.27450980392156865</c:v>
                </c:pt>
              </c:numCache>
            </c:numRef>
          </c:val>
        </c:ser>
        <c:ser>
          <c:idx val="1"/>
          <c:order val="1"/>
          <c:tx>
            <c:strRef>
              <c:f>'Sub-departments'!$A$3</c:f>
              <c:strCache>
                <c:ptCount val="1"/>
                <c:pt idx="0">
                  <c:v>Sales - India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'Sub-departments'!$B$3:$D$3</c:f>
              <c:numCache>
                <c:formatCode>0.0%</c:formatCode>
                <c:ptCount val="3"/>
                <c:pt idx="0">
                  <c:v>0.46075949367088609</c:v>
                </c:pt>
                <c:pt idx="1">
                  <c:v>0.50900900900900903</c:v>
                </c:pt>
                <c:pt idx="2">
                  <c:v>0.61503416856492032</c:v>
                </c:pt>
              </c:numCache>
            </c:numRef>
          </c:val>
        </c:ser>
        <c:ser>
          <c:idx val="2"/>
          <c:order val="2"/>
          <c:tx>
            <c:strRef>
              <c:f>'Sub-departments'!$A$4</c:f>
              <c:strCache>
                <c:ptCount val="1"/>
                <c:pt idx="0">
                  <c:v>Sales - ROW - ANZ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'Sub-departments'!$B$4:$D$4</c:f>
              <c:numCache>
                <c:formatCode>0.0%</c:formatCode>
                <c:ptCount val="3"/>
                <c:pt idx="0">
                  <c:v>0.4</c:v>
                </c:pt>
                <c:pt idx="1">
                  <c:v>0.42666666666666669</c:v>
                </c:pt>
                <c:pt idx="2">
                  <c:v>0.35820895522388058</c:v>
                </c:pt>
              </c:numCache>
            </c:numRef>
          </c:val>
        </c:ser>
        <c:ser>
          <c:idx val="3"/>
          <c:order val="3"/>
          <c:tx>
            <c:strRef>
              <c:f>'Sub-departments'!$A$5</c:f>
              <c:strCache>
                <c:ptCount val="1"/>
                <c:pt idx="0">
                  <c:v>Sales - ROW - GCC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'Sub-departments'!$B$5:$D$5</c:f>
              <c:numCache>
                <c:formatCode>0.0%</c:formatCode>
                <c:ptCount val="3"/>
                <c:pt idx="0">
                  <c:v>0.43478260869565216</c:v>
                </c:pt>
                <c:pt idx="1">
                  <c:v>0.39175257731958762</c:v>
                </c:pt>
                <c:pt idx="2">
                  <c:v>0.55319148936170215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616000"/>
        <c:axId val="241617536"/>
      </c:barChart>
      <c:dateAx>
        <c:axId val="241616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41617536"/>
        <c:crosses val="autoZero"/>
        <c:auto val="1"/>
        <c:lblOffset val="100"/>
        <c:baseTimeUnit val="months"/>
      </c:dateAx>
      <c:valAx>
        <c:axId val="241617536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241616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WFH</a:t>
            </a:r>
            <a:r>
              <a:rPr lang="en-IN" baseline="0"/>
              <a:t> vs WFO Attrition Analysis</a:t>
            </a:r>
            <a:endParaRPr lang="en-IN"/>
          </a:p>
        </c:rich>
      </c:tx>
      <c:layout>
        <c:manualLayout>
          <c:xMode val="edge"/>
          <c:yMode val="edge"/>
          <c:x val="0.14490966754155732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'WFH vs WHO'!$A$3</c:f>
              <c:strCache>
                <c:ptCount val="1"/>
                <c:pt idx="0">
                  <c:v>WFH</c:v>
                </c:pt>
              </c:strCache>
            </c:strRef>
          </c:tx>
          <c:cat>
            <c:numRef>
              <c:f>'WFH vs WHO'!$B$2:$D$2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'WFH vs WHO'!$B$3:$D$3</c:f>
              <c:numCache>
                <c:formatCode>0.0%</c:formatCode>
                <c:ptCount val="3"/>
                <c:pt idx="0">
                  <c:v>0.54263565891472865</c:v>
                </c:pt>
                <c:pt idx="1">
                  <c:v>0.5311942959001783</c:v>
                </c:pt>
                <c:pt idx="2">
                  <c:v>0.6262230919765166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'WFH vs WHO'!$A$4</c:f>
              <c:strCache>
                <c:ptCount val="1"/>
                <c:pt idx="0">
                  <c:v>WFO</c:v>
                </c:pt>
              </c:strCache>
            </c:strRef>
          </c:tx>
          <c:cat>
            <c:numRef>
              <c:f>'WFH vs WHO'!$B$2:$D$2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'WFH vs WHO'!$B$4:$D$4</c:f>
              <c:numCache>
                <c:formatCode>0.0%</c:formatCode>
                <c:ptCount val="3"/>
                <c:pt idx="0">
                  <c:v>0.30962343096234307</c:v>
                </c:pt>
                <c:pt idx="1">
                  <c:v>0.54298642533936647</c:v>
                </c:pt>
                <c:pt idx="2">
                  <c:v>0.28272251308900526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630592"/>
        <c:axId val="242025600"/>
      </c:lineChart>
      <c:dateAx>
        <c:axId val="241630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42025600"/>
        <c:crosses val="autoZero"/>
        <c:auto val="1"/>
        <c:lblOffset val="100"/>
        <c:baseTimeUnit val="months"/>
      </c:dateAx>
      <c:valAx>
        <c:axId val="242025600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2416305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[Workforce-Attrition-Analytics.xlsx]Top exit reason!PivotTable5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exit reason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exit reason'!$B$3</c:f>
              <c:strCache>
                <c:ptCount val="1"/>
                <c:pt idx="0">
                  <c:v>Count of Employee ID</c:v>
                </c:pt>
              </c:strCache>
            </c:strRef>
          </c:tx>
          <c:invertIfNegative val="0"/>
          <c:cat>
            <c:strRef>
              <c:f>'Top exit reason'!$A$4:$A$14</c:f>
              <c:strCache>
                <c:ptCount val="10"/>
                <c:pt idx="0">
                  <c:v>Personal Reasons</c:v>
                </c:pt>
                <c:pt idx="1">
                  <c:v>Relocation</c:v>
                </c:pt>
                <c:pt idx="2">
                  <c:v>Health Reasons</c:v>
                </c:pt>
                <c:pt idx="3">
                  <c:v>Better Opportunity</c:v>
                </c:pt>
                <c:pt idx="4">
                  <c:v>Family Reasons</c:v>
                </c:pt>
                <c:pt idx="5">
                  <c:v>Higher Studies</c:v>
                </c:pt>
                <c:pt idx="6">
                  <c:v>Policy Violation</c:v>
                </c:pt>
                <c:pt idx="7">
                  <c:v>Attendance / Discipline</c:v>
                </c:pt>
                <c:pt idx="8">
                  <c:v>Role Redundancy</c:v>
                </c:pt>
                <c:pt idx="9">
                  <c:v>Performance Related</c:v>
                </c:pt>
              </c:strCache>
            </c:strRef>
          </c:cat>
          <c:val>
            <c:numRef>
              <c:f>'Top exit reason'!$B$4:$B$14</c:f>
              <c:numCache>
                <c:formatCode>General</c:formatCode>
                <c:ptCount val="10"/>
                <c:pt idx="0">
                  <c:v>43</c:v>
                </c:pt>
                <c:pt idx="1">
                  <c:v>44</c:v>
                </c:pt>
                <c:pt idx="2">
                  <c:v>47</c:v>
                </c:pt>
                <c:pt idx="3">
                  <c:v>49</c:v>
                </c:pt>
                <c:pt idx="4">
                  <c:v>50</c:v>
                </c:pt>
                <c:pt idx="5">
                  <c:v>57</c:v>
                </c:pt>
                <c:pt idx="6">
                  <c:v>58</c:v>
                </c:pt>
                <c:pt idx="7">
                  <c:v>70</c:v>
                </c:pt>
                <c:pt idx="8">
                  <c:v>72</c:v>
                </c:pt>
                <c:pt idx="9">
                  <c:v>83</c:v>
                </c:pt>
              </c:numCache>
            </c:numRef>
          </c:val>
        </c:ser>
        <c:ser>
          <c:idx val="1"/>
          <c:order val="1"/>
          <c:tx>
            <c:strRef>
              <c:f>'Top exit reason'!$C$3</c:f>
              <c:strCache>
                <c:ptCount val="1"/>
                <c:pt idx="0">
                  <c:v>Contribution %</c:v>
                </c:pt>
              </c:strCache>
            </c:strRef>
          </c:tx>
          <c:invertIfNegative val="0"/>
          <c:cat>
            <c:strRef>
              <c:f>'Top exit reason'!$A$4:$A$14</c:f>
              <c:strCache>
                <c:ptCount val="10"/>
                <c:pt idx="0">
                  <c:v>Personal Reasons</c:v>
                </c:pt>
                <c:pt idx="1">
                  <c:v>Relocation</c:v>
                </c:pt>
                <c:pt idx="2">
                  <c:v>Health Reasons</c:v>
                </c:pt>
                <c:pt idx="3">
                  <c:v>Better Opportunity</c:v>
                </c:pt>
                <c:pt idx="4">
                  <c:v>Family Reasons</c:v>
                </c:pt>
                <c:pt idx="5">
                  <c:v>Higher Studies</c:v>
                </c:pt>
                <c:pt idx="6">
                  <c:v>Policy Violation</c:v>
                </c:pt>
                <c:pt idx="7">
                  <c:v>Attendance / Discipline</c:v>
                </c:pt>
                <c:pt idx="8">
                  <c:v>Role Redundancy</c:v>
                </c:pt>
                <c:pt idx="9">
                  <c:v>Performance Related</c:v>
                </c:pt>
              </c:strCache>
            </c:strRef>
          </c:cat>
          <c:val>
            <c:numRef>
              <c:f>'Top exit reason'!$C$4:$C$14</c:f>
              <c:numCache>
                <c:formatCode>0.00%</c:formatCode>
                <c:ptCount val="10"/>
                <c:pt idx="0">
                  <c:v>7.5043630017452012E-2</c:v>
                </c:pt>
                <c:pt idx="1">
                  <c:v>7.6788830715532289E-2</c:v>
                </c:pt>
                <c:pt idx="2">
                  <c:v>8.2024432809773118E-2</c:v>
                </c:pt>
                <c:pt idx="3">
                  <c:v>8.5514834205933685E-2</c:v>
                </c:pt>
                <c:pt idx="4">
                  <c:v>8.7260034904013961E-2</c:v>
                </c:pt>
                <c:pt idx="5">
                  <c:v>9.947643979057591E-2</c:v>
                </c:pt>
                <c:pt idx="6">
                  <c:v>0.1012216404886562</c:v>
                </c:pt>
                <c:pt idx="7">
                  <c:v>0.12216404886561955</c:v>
                </c:pt>
                <c:pt idx="8">
                  <c:v>0.1256544502617801</c:v>
                </c:pt>
                <c:pt idx="9">
                  <c:v>0.14485165794066318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53888"/>
        <c:axId val="242055424"/>
      </c:barChart>
      <c:catAx>
        <c:axId val="242053888"/>
        <c:scaling>
          <c:orientation val="minMax"/>
        </c:scaling>
        <c:delete val="0"/>
        <c:axPos val="l"/>
        <c:majorTickMark val="out"/>
        <c:minorTickMark val="none"/>
        <c:tickLblPos val="nextTo"/>
        <c:crossAx val="242055424"/>
        <c:crosses val="autoZero"/>
        <c:auto val="1"/>
        <c:lblAlgn val="ctr"/>
        <c:lblOffset val="100"/>
        <c:noMultiLvlLbl val="0"/>
      </c:catAx>
      <c:valAx>
        <c:axId val="2420554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42053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[Workforce-Attrition-Analytics.xlsx]Tenure Bucket!PivotTable6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Attrition</a:t>
            </a:r>
            <a:r>
              <a:rPr lang="en-IN" baseline="0"/>
              <a:t> by tenure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'Tenure Bucket'!$B$3:$B$4</c:f>
              <c:strCache>
                <c:ptCount val="1"/>
                <c:pt idx="0">
                  <c:v>0-90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Bucket'!$B$5:$B$15</c:f>
              <c:numCache>
                <c:formatCode>General</c:formatCode>
                <c:ptCount val="10"/>
                <c:pt idx="0">
                  <c:v>22</c:v>
                </c:pt>
                <c:pt idx="1">
                  <c:v>42</c:v>
                </c:pt>
                <c:pt idx="2">
                  <c:v>45</c:v>
                </c:pt>
                <c:pt idx="3">
                  <c:v>44</c:v>
                </c:pt>
                <c:pt idx="4">
                  <c:v>55</c:v>
                </c:pt>
                <c:pt idx="5">
                  <c:v>33</c:v>
                </c:pt>
                <c:pt idx="6">
                  <c:v>39</c:v>
                </c:pt>
                <c:pt idx="7">
                  <c:v>26</c:v>
                </c:pt>
                <c:pt idx="8">
                  <c:v>41</c:v>
                </c:pt>
                <c:pt idx="9">
                  <c:v>36</c:v>
                </c:pt>
              </c:numCache>
            </c:numRef>
          </c:val>
        </c:ser>
        <c:ser>
          <c:idx val="1"/>
          <c:order val="1"/>
          <c:tx>
            <c:strRef>
              <c:f>'Tenure Bucket'!$C$3:$C$4</c:f>
              <c:strCache>
                <c:ptCount val="1"/>
                <c:pt idx="0">
                  <c:v>180-365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Bucket'!$C$5:$C$15</c:f>
              <c:numCache>
                <c:formatCode>General</c:formatCode>
                <c:ptCount val="10"/>
                <c:pt idx="0">
                  <c:v>27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25</c:v>
                </c:pt>
                <c:pt idx="6">
                  <c:v>1</c:v>
                </c:pt>
                <c:pt idx="7">
                  <c:v>14</c:v>
                </c:pt>
                <c:pt idx="8">
                  <c:v>3</c:v>
                </c:pt>
                <c:pt idx="9">
                  <c:v>23</c:v>
                </c:pt>
              </c:numCache>
            </c:numRef>
          </c:val>
        </c:ser>
        <c:ser>
          <c:idx val="2"/>
          <c:order val="2"/>
          <c:tx>
            <c:strRef>
              <c:f>'Tenure Bucket'!$D$3:$D$4</c:f>
              <c:strCache>
                <c:ptCount val="1"/>
                <c:pt idx="0">
                  <c:v>90-180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Bucket'!$D$5:$D$15</c:f>
              <c:numCache>
                <c:formatCode>General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5">
                  <c:v>11</c:v>
                </c:pt>
                <c:pt idx="6">
                  <c:v>2</c:v>
                </c:pt>
                <c:pt idx="7">
                  <c:v>8</c:v>
                </c:pt>
                <c:pt idx="9">
                  <c:v>5</c:v>
                </c:pt>
              </c:numCache>
            </c:numRef>
          </c:val>
        </c:ser>
        <c:ser>
          <c:idx val="3"/>
          <c:order val="3"/>
          <c:tx>
            <c:strRef>
              <c:f>'Tenure Bucket'!$E$3:$E$4</c:f>
              <c:strCache>
                <c:ptCount val="1"/>
                <c:pt idx="0">
                  <c:v>above 1 year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Bucket'!$E$5:$E$15</c:f>
              <c:numCache>
                <c:formatCode>General</c:formatCode>
                <c:ptCount val="10"/>
                <c:pt idx="0">
                  <c:v>16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5">
                  <c:v>14</c:v>
                </c:pt>
                <c:pt idx="6">
                  <c:v>1</c:v>
                </c:pt>
                <c:pt idx="7">
                  <c:v>10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07520"/>
        <c:axId val="242109056"/>
      </c:areaChart>
      <c:catAx>
        <c:axId val="242107520"/>
        <c:scaling>
          <c:orientation val="minMax"/>
        </c:scaling>
        <c:delete val="0"/>
        <c:axPos val="b"/>
        <c:majorTickMark val="none"/>
        <c:minorTickMark val="none"/>
        <c:tickLblPos val="nextTo"/>
        <c:crossAx val="242109056"/>
        <c:crosses val="autoZero"/>
        <c:auto val="1"/>
        <c:lblAlgn val="ctr"/>
        <c:lblOffset val="100"/>
        <c:noMultiLvlLbl val="0"/>
      </c:catAx>
      <c:valAx>
        <c:axId val="242109056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42107520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</a:t>
            </a:r>
            <a:r>
              <a:rPr lang="en-IN" baseline="0"/>
              <a:t> Attrition trend - Voluntary vs Involuntary</a:t>
            </a:r>
            <a:endParaRPr lang="en-IN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 table'!$L$1</c:f>
              <c:strCache>
                <c:ptCount val="1"/>
                <c:pt idx="0">
                  <c:v>Voluntary attrition %</c:v>
                </c:pt>
              </c:strCache>
            </c:strRef>
          </c:tx>
          <c:cat>
            <c:numRef>
              <c:f>'Monthly Summary table'!$K$2:$K$5</c:f>
              <c:numCache>
                <c:formatCode>mmm\-yy</c:formatCode>
                <c:ptCount val="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'Monthly Summary table'!$L$2:$L$5</c:f>
              <c:numCache>
                <c:formatCode>0.0%</c:formatCode>
                <c:ptCount val="4"/>
                <c:pt idx="0">
                  <c:v>0.2675496688741722</c:v>
                </c:pt>
                <c:pt idx="1">
                  <c:v>0.24040920716112532</c:v>
                </c:pt>
                <c:pt idx="2">
                  <c:v>0.27065527065527067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Summary table'!$M$1</c:f>
              <c:strCache>
                <c:ptCount val="1"/>
                <c:pt idx="0">
                  <c:v>Involuntary attrition %</c:v>
                </c:pt>
              </c:strCache>
            </c:strRef>
          </c:tx>
          <c:cat>
            <c:numRef>
              <c:f>'Monthly Summary table'!$K$2:$K$5</c:f>
              <c:numCache>
                <c:formatCode>mmm\-yy</c:formatCode>
                <c:ptCount val="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'Monthly Summary table'!$M$2:$M$5</c:f>
              <c:numCache>
                <c:formatCode>0.0%</c:formatCode>
                <c:ptCount val="4"/>
                <c:pt idx="0">
                  <c:v>0.20132450331125828</c:v>
                </c:pt>
                <c:pt idx="1">
                  <c:v>0.29411764705882354</c:v>
                </c:pt>
                <c:pt idx="2">
                  <c:v>0.2621082621082621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44384"/>
        <c:axId val="242145920"/>
      </c:lineChart>
      <c:dateAx>
        <c:axId val="2421443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42145920"/>
        <c:crosses val="autoZero"/>
        <c:auto val="1"/>
        <c:lblOffset val="100"/>
        <c:baseTimeUnit val="months"/>
      </c:dateAx>
      <c:valAx>
        <c:axId val="242145920"/>
        <c:scaling>
          <c:orientation val="minMax"/>
        </c:scaling>
        <c:delete val="0"/>
        <c:axPos val="l"/>
        <c:majorGridlines/>
        <c:title>
          <c:overlay val="0"/>
        </c:title>
        <c:numFmt formatCode="0.0%" sourceLinked="1"/>
        <c:majorTickMark val="none"/>
        <c:minorTickMark val="none"/>
        <c:tickLblPos val="nextTo"/>
        <c:crossAx val="242144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Sub-Department</a:t>
            </a:r>
            <a:r>
              <a:rPr lang="en-IN" baseline="0"/>
              <a:t> Attrition %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'Sub-departments'!$A$2</c:f>
              <c:strCache>
                <c:ptCount val="1"/>
                <c:pt idx="0">
                  <c:v>Sales - English - India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'Sub-departments'!$B$2:$D$2</c:f>
              <c:numCache>
                <c:formatCode>0.0%</c:formatCode>
                <c:ptCount val="3"/>
                <c:pt idx="0">
                  <c:v>0.52849740932642486</c:v>
                </c:pt>
                <c:pt idx="1">
                  <c:v>0.73493975903614461</c:v>
                </c:pt>
                <c:pt idx="2">
                  <c:v>0.27450980392156865</c:v>
                </c:pt>
              </c:numCache>
            </c:numRef>
          </c:val>
        </c:ser>
        <c:ser>
          <c:idx val="1"/>
          <c:order val="1"/>
          <c:tx>
            <c:strRef>
              <c:f>'Sub-departments'!$A$3</c:f>
              <c:strCache>
                <c:ptCount val="1"/>
                <c:pt idx="0">
                  <c:v>Sales - India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'Sub-departments'!$B$3:$D$3</c:f>
              <c:numCache>
                <c:formatCode>0.0%</c:formatCode>
                <c:ptCount val="3"/>
                <c:pt idx="0">
                  <c:v>0.46075949367088609</c:v>
                </c:pt>
                <c:pt idx="1">
                  <c:v>0.50900900900900903</c:v>
                </c:pt>
                <c:pt idx="2">
                  <c:v>0.61503416856492032</c:v>
                </c:pt>
              </c:numCache>
            </c:numRef>
          </c:val>
        </c:ser>
        <c:ser>
          <c:idx val="2"/>
          <c:order val="2"/>
          <c:tx>
            <c:strRef>
              <c:f>'Sub-departments'!$A$4</c:f>
              <c:strCache>
                <c:ptCount val="1"/>
                <c:pt idx="0">
                  <c:v>Sales - ROW - ANZ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'Sub-departments'!$B$4:$D$4</c:f>
              <c:numCache>
                <c:formatCode>0.0%</c:formatCode>
                <c:ptCount val="3"/>
                <c:pt idx="0">
                  <c:v>0.4</c:v>
                </c:pt>
                <c:pt idx="1">
                  <c:v>0.42666666666666669</c:v>
                </c:pt>
                <c:pt idx="2">
                  <c:v>0.35820895522388058</c:v>
                </c:pt>
              </c:numCache>
            </c:numRef>
          </c:val>
        </c:ser>
        <c:ser>
          <c:idx val="3"/>
          <c:order val="3"/>
          <c:tx>
            <c:strRef>
              <c:f>'Sub-departments'!$A$5</c:f>
              <c:strCache>
                <c:ptCount val="1"/>
                <c:pt idx="0">
                  <c:v>Sales - ROW - GCC</c:v>
                </c:pt>
              </c:strCache>
            </c:strRef>
          </c:tx>
          <c:invertIfNegative val="0"/>
          <c:cat>
            <c:numRef>
              <c:f>'Sub-departments'!$B$1:$D$1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'Sub-departments'!$B$5:$D$5</c:f>
              <c:numCache>
                <c:formatCode>0.0%</c:formatCode>
                <c:ptCount val="3"/>
                <c:pt idx="0">
                  <c:v>0.43478260869565216</c:v>
                </c:pt>
                <c:pt idx="1">
                  <c:v>0.39175257731958762</c:v>
                </c:pt>
                <c:pt idx="2">
                  <c:v>0.55319148936170215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370624"/>
        <c:axId val="241372160"/>
      </c:barChart>
      <c:dateAx>
        <c:axId val="2413706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41372160"/>
        <c:crosses val="autoZero"/>
        <c:auto val="1"/>
        <c:lblOffset val="100"/>
        <c:baseTimeUnit val="months"/>
      </c:dateAx>
      <c:valAx>
        <c:axId val="241372160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241370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[Workforce-Attrition-Analytics.xlsx]Top exit reason!PivotTable5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exit reason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exit reason'!$B$3</c:f>
              <c:strCache>
                <c:ptCount val="1"/>
                <c:pt idx="0">
                  <c:v>Count of Employee ID</c:v>
                </c:pt>
              </c:strCache>
            </c:strRef>
          </c:tx>
          <c:invertIfNegative val="0"/>
          <c:cat>
            <c:strRef>
              <c:f>'Top exit reason'!$A$4:$A$14</c:f>
              <c:strCache>
                <c:ptCount val="10"/>
                <c:pt idx="0">
                  <c:v>Personal Reasons</c:v>
                </c:pt>
                <c:pt idx="1">
                  <c:v>Relocation</c:v>
                </c:pt>
                <c:pt idx="2">
                  <c:v>Health Reasons</c:v>
                </c:pt>
                <c:pt idx="3">
                  <c:v>Better Opportunity</c:v>
                </c:pt>
                <c:pt idx="4">
                  <c:v>Family Reasons</c:v>
                </c:pt>
                <c:pt idx="5">
                  <c:v>Higher Studies</c:v>
                </c:pt>
                <c:pt idx="6">
                  <c:v>Policy Violation</c:v>
                </c:pt>
                <c:pt idx="7">
                  <c:v>Attendance / Discipline</c:v>
                </c:pt>
                <c:pt idx="8">
                  <c:v>Role Redundancy</c:v>
                </c:pt>
                <c:pt idx="9">
                  <c:v>Performance Related</c:v>
                </c:pt>
              </c:strCache>
            </c:strRef>
          </c:cat>
          <c:val>
            <c:numRef>
              <c:f>'Top exit reason'!$B$4:$B$14</c:f>
              <c:numCache>
                <c:formatCode>General</c:formatCode>
                <c:ptCount val="10"/>
                <c:pt idx="0">
                  <c:v>43</c:v>
                </c:pt>
                <c:pt idx="1">
                  <c:v>44</c:v>
                </c:pt>
                <c:pt idx="2">
                  <c:v>47</c:v>
                </c:pt>
                <c:pt idx="3">
                  <c:v>49</c:v>
                </c:pt>
                <c:pt idx="4">
                  <c:v>50</c:v>
                </c:pt>
                <c:pt idx="5">
                  <c:v>57</c:v>
                </c:pt>
                <c:pt idx="6">
                  <c:v>58</c:v>
                </c:pt>
                <c:pt idx="7">
                  <c:v>70</c:v>
                </c:pt>
                <c:pt idx="8">
                  <c:v>72</c:v>
                </c:pt>
                <c:pt idx="9">
                  <c:v>83</c:v>
                </c:pt>
              </c:numCache>
            </c:numRef>
          </c:val>
        </c:ser>
        <c:ser>
          <c:idx val="1"/>
          <c:order val="1"/>
          <c:tx>
            <c:strRef>
              <c:f>'Top exit reason'!$C$3</c:f>
              <c:strCache>
                <c:ptCount val="1"/>
                <c:pt idx="0">
                  <c:v>Contribution %</c:v>
                </c:pt>
              </c:strCache>
            </c:strRef>
          </c:tx>
          <c:invertIfNegative val="0"/>
          <c:cat>
            <c:strRef>
              <c:f>'Top exit reason'!$A$4:$A$14</c:f>
              <c:strCache>
                <c:ptCount val="10"/>
                <c:pt idx="0">
                  <c:v>Personal Reasons</c:v>
                </c:pt>
                <c:pt idx="1">
                  <c:v>Relocation</c:v>
                </c:pt>
                <c:pt idx="2">
                  <c:v>Health Reasons</c:v>
                </c:pt>
                <c:pt idx="3">
                  <c:v>Better Opportunity</c:v>
                </c:pt>
                <c:pt idx="4">
                  <c:v>Family Reasons</c:v>
                </c:pt>
                <c:pt idx="5">
                  <c:v>Higher Studies</c:v>
                </c:pt>
                <c:pt idx="6">
                  <c:v>Policy Violation</c:v>
                </c:pt>
                <c:pt idx="7">
                  <c:v>Attendance / Discipline</c:v>
                </c:pt>
                <c:pt idx="8">
                  <c:v>Role Redundancy</c:v>
                </c:pt>
                <c:pt idx="9">
                  <c:v>Performance Related</c:v>
                </c:pt>
              </c:strCache>
            </c:strRef>
          </c:cat>
          <c:val>
            <c:numRef>
              <c:f>'Top exit reason'!$C$4:$C$14</c:f>
              <c:numCache>
                <c:formatCode>0.00%</c:formatCode>
                <c:ptCount val="10"/>
                <c:pt idx="0">
                  <c:v>7.5043630017452012E-2</c:v>
                </c:pt>
                <c:pt idx="1">
                  <c:v>7.6788830715532289E-2</c:v>
                </c:pt>
                <c:pt idx="2">
                  <c:v>8.2024432809773118E-2</c:v>
                </c:pt>
                <c:pt idx="3">
                  <c:v>8.5514834205933685E-2</c:v>
                </c:pt>
                <c:pt idx="4">
                  <c:v>8.7260034904013961E-2</c:v>
                </c:pt>
                <c:pt idx="5">
                  <c:v>9.947643979057591E-2</c:v>
                </c:pt>
                <c:pt idx="6">
                  <c:v>0.1012216404886562</c:v>
                </c:pt>
                <c:pt idx="7">
                  <c:v>0.12216404886561955</c:v>
                </c:pt>
                <c:pt idx="8">
                  <c:v>0.1256544502617801</c:v>
                </c:pt>
                <c:pt idx="9">
                  <c:v>0.14485165794066318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272128"/>
        <c:axId val="244294400"/>
      </c:barChart>
      <c:catAx>
        <c:axId val="244272128"/>
        <c:scaling>
          <c:orientation val="minMax"/>
        </c:scaling>
        <c:delete val="0"/>
        <c:axPos val="l"/>
        <c:majorTickMark val="out"/>
        <c:minorTickMark val="none"/>
        <c:tickLblPos val="nextTo"/>
        <c:crossAx val="244294400"/>
        <c:crosses val="autoZero"/>
        <c:auto val="1"/>
        <c:lblAlgn val="ctr"/>
        <c:lblOffset val="100"/>
        <c:noMultiLvlLbl val="0"/>
      </c:catAx>
      <c:valAx>
        <c:axId val="2442944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44272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[Workforce-Attrition-Analytics.xlsx]Tenure Bucket!PivotTable6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Attrition</a:t>
            </a:r>
            <a:r>
              <a:rPr lang="en-IN" baseline="0"/>
              <a:t> by tenure</a:t>
            </a:r>
            <a:endParaRPr lang="en-IN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'Tenure Bucket'!$B$3:$B$4</c:f>
              <c:strCache>
                <c:ptCount val="1"/>
                <c:pt idx="0">
                  <c:v>0-90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Bucket'!$B$5:$B$15</c:f>
              <c:numCache>
                <c:formatCode>General</c:formatCode>
                <c:ptCount val="10"/>
                <c:pt idx="0">
                  <c:v>22</c:v>
                </c:pt>
                <c:pt idx="1">
                  <c:v>42</c:v>
                </c:pt>
                <c:pt idx="2">
                  <c:v>45</c:v>
                </c:pt>
                <c:pt idx="3">
                  <c:v>44</c:v>
                </c:pt>
                <c:pt idx="4">
                  <c:v>55</c:v>
                </c:pt>
                <c:pt idx="5">
                  <c:v>33</c:v>
                </c:pt>
                <c:pt idx="6">
                  <c:v>39</c:v>
                </c:pt>
                <c:pt idx="7">
                  <c:v>26</c:v>
                </c:pt>
                <c:pt idx="8">
                  <c:v>41</c:v>
                </c:pt>
                <c:pt idx="9">
                  <c:v>36</c:v>
                </c:pt>
              </c:numCache>
            </c:numRef>
          </c:val>
        </c:ser>
        <c:ser>
          <c:idx val="1"/>
          <c:order val="1"/>
          <c:tx>
            <c:strRef>
              <c:f>'Tenure Bucket'!$C$3:$C$4</c:f>
              <c:strCache>
                <c:ptCount val="1"/>
                <c:pt idx="0">
                  <c:v>180-365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Bucket'!$C$5:$C$15</c:f>
              <c:numCache>
                <c:formatCode>General</c:formatCode>
                <c:ptCount val="10"/>
                <c:pt idx="0">
                  <c:v>27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25</c:v>
                </c:pt>
                <c:pt idx="6">
                  <c:v>1</c:v>
                </c:pt>
                <c:pt idx="7">
                  <c:v>14</c:v>
                </c:pt>
                <c:pt idx="8">
                  <c:v>3</c:v>
                </c:pt>
                <c:pt idx="9">
                  <c:v>23</c:v>
                </c:pt>
              </c:numCache>
            </c:numRef>
          </c:val>
        </c:ser>
        <c:ser>
          <c:idx val="2"/>
          <c:order val="2"/>
          <c:tx>
            <c:strRef>
              <c:f>'Tenure Bucket'!$D$3:$D$4</c:f>
              <c:strCache>
                <c:ptCount val="1"/>
                <c:pt idx="0">
                  <c:v>90-180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Bucket'!$D$5:$D$15</c:f>
              <c:numCache>
                <c:formatCode>General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5">
                  <c:v>11</c:v>
                </c:pt>
                <c:pt idx="6">
                  <c:v>2</c:v>
                </c:pt>
                <c:pt idx="7">
                  <c:v>8</c:v>
                </c:pt>
                <c:pt idx="9">
                  <c:v>5</c:v>
                </c:pt>
              </c:numCache>
            </c:numRef>
          </c:val>
        </c:ser>
        <c:ser>
          <c:idx val="3"/>
          <c:order val="3"/>
          <c:tx>
            <c:strRef>
              <c:f>'Tenure Bucket'!$E$3:$E$4</c:f>
              <c:strCache>
                <c:ptCount val="1"/>
                <c:pt idx="0">
                  <c:v>above 1 year</c:v>
                </c:pt>
              </c:strCache>
            </c:strRef>
          </c:tx>
          <c:cat>
            <c:strRef>
              <c:f>'Tenure Bucket'!$A$5:$A$15</c:f>
              <c:strCache>
                <c:ptCount val="10"/>
                <c:pt idx="0">
                  <c:v>Attendance / Discipline</c:v>
                </c:pt>
                <c:pt idx="1">
                  <c:v>Better Opportunity</c:v>
                </c:pt>
                <c:pt idx="2">
                  <c:v>Family Reasons</c:v>
                </c:pt>
                <c:pt idx="3">
                  <c:v>Health Reasons</c:v>
                </c:pt>
                <c:pt idx="4">
                  <c:v>Higher Studies</c:v>
                </c:pt>
                <c:pt idx="5">
                  <c:v>Performance Related</c:v>
                </c:pt>
                <c:pt idx="6">
                  <c:v>Personal Reasons</c:v>
                </c:pt>
                <c:pt idx="7">
                  <c:v>Policy Violation</c:v>
                </c:pt>
                <c:pt idx="8">
                  <c:v>Relocation</c:v>
                </c:pt>
                <c:pt idx="9">
                  <c:v>Role Redundancy</c:v>
                </c:pt>
              </c:strCache>
            </c:strRef>
          </c:cat>
          <c:val>
            <c:numRef>
              <c:f>'Tenure Bucket'!$E$5:$E$15</c:f>
              <c:numCache>
                <c:formatCode>General</c:formatCode>
                <c:ptCount val="10"/>
                <c:pt idx="0">
                  <c:v>16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5">
                  <c:v>14</c:v>
                </c:pt>
                <c:pt idx="6">
                  <c:v>1</c:v>
                </c:pt>
                <c:pt idx="7">
                  <c:v>10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78464"/>
        <c:axId val="242496640"/>
      </c:areaChart>
      <c:catAx>
        <c:axId val="242478464"/>
        <c:scaling>
          <c:orientation val="minMax"/>
        </c:scaling>
        <c:delete val="0"/>
        <c:axPos val="b"/>
        <c:majorTickMark val="none"/>
        <c:minorTickMark val="none"/>
        <c:tickLblPos val="nextTo"/>
        <c:crossAx val="242496640"/>
        <c:crosses val="autoZero"/>
        <c:auto val="1"/>
        <c:lblAlgn val="ctr"/>
        <c:lblOffset val="100"/>
        <c:noMultiLvlLbl val="0"/>
      </c:catAx>
      <c:valAx>
        <c:axId val="242496640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42478464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WFH</a:t>
            </a:r>
            <a:r>
              <a:rPr lang="en-IN" baseline="0"/>
              <a:t> vs WFO Attrition Analysis</a:t>
            </a:r>
            <a:endParaRPr lang="en-I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'WFH vs WHO'!$A$3</c:f>
              <c:strCache>
                <c:ptCount val="1"/>
                <c:pt idx="0">
                  <c:v>WFH</c:v>
                </c:pt>
              </c:strCache>
            </c:strRef>
          </c:tx>
          <c:cat>
            <c:numRef>
              <c:f>'WFH vs WHO'!$B$2:$D$2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'WFH vs WHO'!$B$3:$D$3</c:f>
              <c:numCache>
                <c:formatCode>0.0%</c:formatCode>
                <c:ptCount val="3"/>
                <c:pt idx="0">
                  <c:v>0.54263565891472865</c:v>
                </c:pt>
                <c:pt idx="1">
                  <c:v>0.5311942959001783</c:v>
                </c:pt>
                <c:pt idx="2">
                  <c:v>0.6262230919765166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'WFH vs WHO'!$A$4</c:f>
              <c:strCache>
                <c:ptCount val="1"/>
                <c:pt idx="0">
                  <c:v>WFO</c:v>
                </c:pt>
              </c:strCache>
            </c:strRef>
          </c:tx>
          <c:cat>
            <c:numRef>
              <c:f>'WFH vs WHO'!$B$2:$D$2</c:f>
              <c:numCache>
                <c:formatCode>mmm\-yy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'WFH vs WHO'!$B$4:$D$4</c:f>
              <c:numCache>
                <c:formatCode>0.0%</c:formatCode>
                <c:ptCount val="3"/>
                <c:pt idx="0">
                  <c:v>0.30962343096234307</c:v>
                </c:pt>
                <c:pt idx="1">
                  <c:v>0.54298642533936647</c:v>
                </c:pt>
                <c:pt idx="2">
                  <c:v>0.28272251308900526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543232"/>
        <c:axId val="242561408"/>
      </c:lineChart>
      <c:dateAx>
        <c:axId val="2425432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242561408"/>
        <c:crosses val="autoZero"/>
        <c:auto val="1"/>
        <c:lblOffset val="100"/>
        <c:baseTimeUnit val="months"/>
      </c:dateAx>
      <c:valAx>
        <c:axId val="24256140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0.0%" sourceLinked="1"/>
        <c:majorTickMark val="none"/>
        <c:minorTickMark val="none"/>
        <c:tickLblPos val="nextTo"/>
        <c:crossAx val="24254323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6</xdr:row>
      <xdr:rowOff>121920</xdr:rowOff>
    </xdr:from>
    <xdr:to>
      <xdr:col>5</xdr:col>
      <xdr:colOff>1257300</xdr:colOff>
      <xdr:row>17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1447800</xdr:colOff>
      <xdr:row>6</xdr:row>
      <xdr:rowOff>129540</xdr:rowOff>
    </xdr:from>
    <xdr:to>
      <xdr:col>12</xdr:col>
      <xdr:colOff>236220</xdr:colOff>
      <xdr:row>17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17</xdr:row>
      <xdr:rowOff>160020</xdr:rowOff>
    </xdr:from>
    <xdr:to>
      <xdr:col>5</xdr:col>
      <xdr:colOff>1394460</xdr:colOff>
      <xdr:row>34</xdr:row>
      <xdr:rowOff>53340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373380</xdr:colOff>
      <xdr:row>34</xdr:row>
      <xdr:rowOff>60960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160020</xdr:colOff>
      <xdr:row>0</xdr:row>
      <xdr:rowOff>129540</xdr:rowOff>
    </xdr:from>
    <xdr:to>
      <xdr:col>21</xdr:col>
      <xdr:colOff>160020</xdr:colOff>
      <xdr:row>10</xdr:row>
      <xdr:rowOff>137160</xdr:rowOff>
    </xdr:to>
    <xdr:sp macro="" textlink="">
      <xdr:nvSpPr>
        <xdr:cNvPr id="19" name="Rectangle 18"/>
        <xdr:cNvSpPr/>
      </xdr:nvSpPr>
      <xdr:spPr>
        <a:xfrm>
          <a:off x="9136380" y="129540"/>
          <a:ext cx="4876800" cy="20269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Insights: </a:t>
          </a:r>
          <a:br>
            <a:rPr lang="en-IN" sz="1100"/>
          </a:br>
          <a:r>
            <a:rPr lang="en-IN" sz="1100"/>
            <a:t/>
          </a:r>
          <a:br>
            <a:rPr lang="en-IN" sz="1100"/>
          </a:br>
          <a:r>
            <a:rPr lang="en-IN" sz="1100"/>
            <a:t>1.</a:t>
          </a:r>
          <a:r>
            <a:rPr lang="en-IN"/>
            <a:t>Performance Related , Role Redundancy , Attendance/Discipline are the top 3 reasons contributing</a:t>
          </a:r>
          <a:r>
            <a:rPr lang="en-IN" baseline="0"/>
            <a:t> </a:t>
          </a:r>
          <a:r>
            <a:rPr lang="en-IN" sz="1100" baseline="0"/>
            <a:t>towards </a:t>
          </a:r>
          <a:r>
            <a:rPr lang="en-IN" b="1"/>
            <a:t>39.3% of all exits</a:t>
          </a:r>
          <a:r>
            <a:rPr lang="en-IN"/>
            <a:t>. </a:t>
          </a:r>
          <a:br>
            <a:rPr lang="en-IN"/>
          </a:br>
          <a:r>
            <a:rPr lang="en-IN"/>
            <a:t>72.60% of employees</a:t>
          </a:r>
          <a:r>
            <a:rPr lang="en-IN" baseline="0"/>
            <a:t> have exited in the first 6 months of tenure. </a:t>
          </a:r>
          <a:br>
            <a:rPr lang="en-IN" baseline="0"/>
          </a:br>
          <a:r>
            <a:rPr lang="en-IN" baseline="0"/>
            <a:t/>
          </a:r>
          <a:br>
            <a:rPr lang="en-IN" baseline="0"/>
          </a:br>
          <a:r>
            <a:rPr lang="en-IN" baseline="0"/>
            <a:t>2. </a:t>
          </a:r>
          <a:r>
            <a:rPr lang="en-IN"/>
            <a:t>WFH has consistently higher attrition than WFO and reaches </a:t>
          </a:r>
          <a:r>
            <a:rPr lang="en-IN" b="1"/>
            <a:t>62.6% in June</a:t>
          </a:r>
          <a:r>
            <a:rPr lang="en-IN"/>
            <a:t>. </a:t>
          </a:r>
          <a:br>
            <a:rPr lang="en-IN"/>
          </a:br>
          <a:r>
            <a:rPr lang="en-IN"/>
            <a:t/>
          </a:r>
          <a:br>
            <a:rPr lang="en-IN"/>
          </a:br>
          <a:r>
            <a:rPr lang="en-IN"/>
            <a:t>3. Overall attrition increased from </a:t>
          </a:r>
          <a:r>
            <a:rPr lang="en-IN" b="1"/>
            <a:t>46.9% in April to 53.5% in May</a:t>
          </a:r>
          <a:r>
            <a:rPr lang="en-IN"/>
            <a:t> and remained high at </a:t>
          </a:r>
          <a:r>
            <a:rPr lang="en-IN" b="1"/>
            <a:t>53.3% in June</a:t>
          </a:r>
          <a:r>
            <a:rPr lang="en-IN"/>
            <a:t>, indicating a persistent retention concern.</a:t>
          </a:r>
          <a:endParaRPr lang="en-IN" sz="1100"/>
        </a:p>
      </xdr:txBody>
    </xdr:sp>
    <xdr:clientData/>
  </xdr:twoCellAnchor>
  <xdr:twoCellAnchor>
    <xdr:from>
      <xdr:col>0</xdr:col>
      <xdr:colOff>99060</xdr:colOff>
      <xdr:row>35</xdr:row>
      <xdr:rowOff>0</xdr:rowOff>
    </xdr:from>
    <xdr:to>
      <xdr:col>12</xdr:col>
      <xdr:colOff>472440</xdr:colOff>
      <xdr:row>50</xdr:row>
      <xdr:rowOff>137160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205740</xdr:colOff>
      <xdr:row>12</xdr:row>
      <xdr:rowOff>160020</xdr:rowOff>
    </xdr:from>
    <xdr:to>
      <xdr:col>21</xdr:col>
      <xdr:colOff>243840</xdr:colOff>
      <xdr:row>26</xdr:row>
      <xdr:rowOff>91440</xdr:rowOff>
    </xdr:to>
    <xdr:sp macro="" textlink="">
      <xdr:nvSpPr>
        <xdr:cNvPr id="22" name="Rectangle 21"/>
        <xdr:cNvSpPr/>
      </xdr:nvSpPr>
      <xdr:spPr>
        <a:xfrm>
          <a:off x="9182100" y="2514600"/>
          <a:ext cx="4914900" cy="22783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Recomendations: </a:t>
          </a:r>
          <a:br>
            <a:rPr lang="en-IN" sz="1100"/>
          </a:br>
          <a:r>
            <a:rPr lang="en-IN" sz="1100"/>
            <a:t/>
          </a:r>
          <a:br>
            <a:rPr lang="en-IN" sz="1100"/>
          </a:br>
          <a:r>
            <a:rPr lang="en-IN" sz="1100"/>
            <a:t>1. </a:t>
          </a:r>
          <a:r>
            <a:rPr lang="en-IN"/>
            <a:t>Management should conduct a focused review of the key drivers of attrition, particularly within high-attrition teams and employee segments. The review should prioritize exit reasons, work mode and early-tenure employees to identify controllable causes and introduce targeted retention actions. </a:t>
          </a:r>
          <a:br>
            <a:rPr lang="en-IN"/>
          </a:br>
          <a:r>
            <a:rPr lang="en-IN"/>
            <a:t/>
          </a:r>
          <a:br>
            <a:rPr lang="en-IN"/>
          </a:br>
          <a:r>
            <a:rPr lang="en-IN"/>
            <a:t>2.Introduce a 60</a:t>
          </a:r>
          <a:r>
            <a:rPr lang="en-IN" baseline="0"/>
            <a:t> or </a:t>
          </a:r>
          <a:r>
            <a:rPr lang="en-IN"/>
            <a:t>90-day new-joiner retention program with manager check-ins, onboarding feedback and early engagement surveys to identify avoidable reasons for early exits.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7</xdr:row>
      <xdr:rowOff>49530</xdr:rowOff>
    </xdr:from>
    <xdr:to>
      <xdr:col>15</xdr:col>
      <xdr:colOff>457200</xdr:colOff>
      <xdr:row>23</xdr:row>
      <xdr:rowOff>110490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9</xdr:row>
      <xdr:rowOff>64770</xdr:rowOff>
    </xdr:from>
    <xdr:to>
      <xdr:col>14</xdr:col>
      <xdr:colOff>205740</xdr:colOff>
      <xdr:row>25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9</xdr:row>
      <xdr:rowOff>64770</xdr:rowOff>
    </xdr:from>
    <xdr:to>
      <xdr:col>13</xdr:col>
      <xdr:colOff>121920</xdr:colOff>
      <xdr:row>25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7</xdr:row>
      <xdr:rowOff>110490</xdr:rowOff>
    </xdr:from>
    <xdr:to>
      <xdr:col>12</xdr:col>
      <xdr:colOff>350520</xdr:colOff>
      <xdr:row>24</xdr:row>
      <xdr:rowOff>3810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9</xdr:row>
      <xdr:rowOff>64770</xdr:rowOff>
    </xdr:from>
    <xdr:to>
      <xdr:col>15</xdr:col>
      <xdr:colOff>365760</xdr:colOff>
      <xdr:row>25</xdr:row>
      <xdr:rowOff>125730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swadeep" refreshedDate="46245.32383912037" createdVersion="4" refreshedVersion="4" minRefreshableVersion="3" recordCount="898">
  <cacheSource type="worksheet">
    <worksheetSource ref="A1:R1048576" sheet="Work_data"/>
  </cacheSource>
  <cacheFields count="18">
    <cacheField name="Employee ID" numFmtId="0">
      <sharedItems containsBlank="1"/>
    </cacheField>
    <cacheField name="Business Unit" numFmtId="0">
      <sharedItems containsBlank="1"/>
    </cacheField>
    <cacheField name="Department" numFmtId="0">
      <sharedItems containsBlank="1"/>
    </cacheField>
    <cacheField name="Sub Department" numFmtId="0">
      <sharedItems containsBlank="1"/>
    </cacheField>
    <cacheField name="Reporting Director" numFmtId="0">
      <sharedItems containsBlank="1"/>
    </cacheField>
    <cacheField name="Location" numFmtId="0">
      <sharedItems containsBlank="1"/>
    </cacheField>
    <cacheField name="Work Mode (WFO/WFH)" numFmtId="0">
      <sharedItems containsBlank="1"/>
    </cacheField>
    <cacheField name="Date of Joining" numFmtId="14">
      <sharedItems containsNonDate="0" containsDate="1" containsString="0" containsBlank="1" minDate="2025-01-03T00:00:00" maxDate="2026-07-01T00:00:00"/>
    </cacheField>
    <cacheField name="Date of Exit" numFmtId="14">
      <sharedItems containsNonDate="0" containsDate="1" containsString="0" containsBlank="1" minDate="2026-04-01T00:00:00" maxDate="2026-07-01T00:00:00"/>
    </cacheField>
    <cacheField name="Employment Status" numFmtId="0">
      <sharedItems containsBlank="1"/>
    </cacheField>
    <cacheField name="Exit Type (Voluntary/Involuntary)" numFmtId="0">
      <sharedItems containsBlank="1"/>
    </cacheField>
    <cacheField name="Exit Reason Category" numFmtId="0">
      <sharedItems containsBlank="1" count="11">
        <s v="Better Opportunity"/>
        <s v="Attendance / Discipline"/>
        <m/>
        <s v="Family Reasons"/>
        <s v="Relocation"/>
        <s v="Higher Studies"/>
        <s v="Role Redundancy"/>
        <s v="Policy Violation"/>
        <s v="Personal Reasons"/>
        <s v="Performance Related"/>
        <s v="Health Reasons"/>
      </sharedItems>
    </cacheField>
    <cacheField name="Tenure in Days (as on 30-Jun-2026 / at exit)" numFmtId="0">
      <sharedItems containsString="0" containsBlank="1" containsNumber="1" containsInteger="1" minValue="0" maxValue="542"/>
    </cacheField>
    <cacheField name="Exit _status" numFmtId="0">
      <sharedItems containsString="0" containsBlank="1" containsNumber="1" containsInteger="1" minValue="0" maxValue="1"/>
    </cacheField>
    <cacheField name="Join_month" numFmtId="0">
      <sharedItems containsBlank="1"/>
    </cacheField>
    <cacheField name="exit_month" numFmtId="0">
      <sharedItems containsBlank="1"/>
    </cacheField>
    <cacheField name="Voluntary_exit" numFmtId="0">
      <sharedItems containsString="0" containsBlank="1" containsNumber="1" containsInteger="1" minValue="0" maxValue="1"/>
    </cacheField>
    <cacheField name="Involuntary_exi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iswadeep" refreshedDate="46245.37654085648" createdVersion="4" refreshedVersion="4" minRefreshableVersion="3" recordCount="898">
  <cacheSource type="worksheet">
    <worksheetSource ref="A1:S1048576" sheet="Work_data"/>
  </cacheSource>
  <cacheFields count="19">
    <cacheField name="Employee ID" numFmtId="0">
      <sharedItems containsBlank="1"/>
    </cacheField>
    <cacheField name="Business Unit" numFmtId="0">
      <sharedItems containsBlank="1"/>
    </cacheField>
    <cacheField name="Department" numFmtId="0">
      <sharedItems containsBlank="1"/>
    </cacheField>
    <cacheField name="Sub Department" numFmtId="0">
      <sharedItems containsBlank="1"/>
    </cacheField>
    <cacheField name="Reporting Director" numFmtId="0">
      <sharedItems containsBlank="1"/>
    </cacheField>
    <cacheField name="Location" numFmtId="0">
      <sharedItems containsBlank="1"/>
    </cacheField>
    <cacheField name="Work Mode (WFO/WFH)" numFmtId="0">
      <sharedItems containsBlank="1"/>
    </cacheField>
    <cacheField name="Date of Joining" numFmtId="14">
      <sharedItems containsNonDate="0" containsDate="1" containsString="0" containsBlank="1" minDate="2025-01-03T00:00:00" maxDate="2026-07-01T00:00:00"/>
    </cacheField>
    <cacheField name="Date of Exit" numFmtId="14">
      <sharedItems containsNonDate="0" containsDate="1" containsString="0" containsBlank="1" minDate="2026-04-01T00:00:00" maxDate="2026-07-01T00:00:00"/>
    </cacheField>
    <cacheField name="Employment Status" numFmtId="0">
      <sharedItems containsBlank="1"/>
    </cacheField>
    <cacheField name="Exit Type (Voluntary/Involuntary)" numFmtId="0">
      <sharedItems containsBlank="1"/>
    </cacheField>
    <cacheField name="Exit Reason Category" numFmtId="0">
      <sharedItems containsBlank="1" count="11">
        <s v="Better Opportunity"/>
        <s v="Attendance / Discipline"/>
        <m/>
        <s v="Family Reasons"/>
        <s v="Relocation"/>
        <s v="Higher Studies"/>
        <s v="Role Redundancy"/>
        <s v="Policy Violation"/>
        <s v="Personal Reasons"/>
        <s v="Performance Related"/>
        <s v="Health Reasons"/>
      </sharedItems>
    </cacheField>
    <cacheField name="Tenure in Days (as on 30-Jun-2026 / at exit)" numFmtId="0">
      <sharedItems containsString="0" containsBlank="1" containsNumber="1" containsInteger="1" minValue="0" maxValue="542"/>
    </cacheField>
    <cacheField name="Exit _status" numFmtId="0">
      <sharedItems containsString="0" containsBlank="1" containsNumber="1" containsInteger="1" minValue="0" maxValue="1"/>
    </cacheField>
    <cacheField name="Join_month" numFmtId="0">
      <sharedItems containsBlank="1"/>
    </cacheField>
    <cacheField name="exit_month" numFmtId="0">
      <sharedItems containsBlank="1"/>
    </cacheField>
    <cacheField name="Voluntary_exit" numFmtId="0">
      <sharedItems containsString="0" containsBlank="1" containsNumber="1" containsInteger="1" minValue="0" maxValue="1"/>
    </cacheField>
    <cacheField name="Involuntary_exit" numFmtId="0">
      <sharedItems containsString="0" containsBlank="1" containsNumber="1" containsInteger="1" minValue="0" maxValue="1"/>
    </cacheField>
    <cacheField name="Tenure Bucket" numFmtId="0">
      <sharedItems containsBlank="1" count="5">
        <s v="0-90"/>
        <s v="180-365"/>
        <s v="above 1 year"/>
        <s v="90-18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8">
  <r>
    <s v="EMP1644"/>
    <s v="Exploring Infinities - Sales"/>
    <s v="SALES"/>
    <s v="Sales - English - India"/>
    <s v="Director 2"/>
    <s v="Hyderabad"/>
    <s v="WFH"/>
    <d v="2026-04-01T00:00:00"/>
    <d v="2026-04-23T00:00:00"/>
    <s v="Relieved"/>
    <s v="Voluntary"/>
    <x v="0"/>
    <n v="22"/>
    <n v="1"/>
    <s v="04-2026"/>
    <s v="04-2026"/>
    <n v="1"/>
    <n v="0"/>
  </r>
  <r>
    <s v="EMP1639"/>
    <s v="Exploring Infinities - Sales"/>
    <s v="SALES"/>
    <s v="Sales - English - India"/>
    <s v="Director 2"/>
    <s v="Hyderabad"/>
    <s v="WFH"/>
    <d v="2025-12-01T00:00:00"/>
    <d v="2026-06-09T00:00:00"/>
    <s v="Relieved"/>
    <s v="Involuntary"/>
    <x v="1"/>
    <n v="190"/>
    <n v="1"/>
    <s v="12-2025"/>
    <s v="06-2026"/>
    <n v="0"/>
    <n v="1"/>
  </r>
  <r>
    <s v="EMP1656"/>
    <s v="Exploring Infinities - Sales"/>
    <s v="SALES"/>
    <s v="Sales - English - India"/>
    <s v="Director 2"/>
    <s v="Hyderabad"/>
    <s v="WFH"/>
    <d v="2026-04-02T00:00:00"/>
    <m/>
    <s v="Active"/>
    <m/>
    <x v="2"/>
    <n v="89"/>
    <n v="0"/>
    <s v="04-2026"/>
    <s v=""/>
    <n v="0"/>
    <n v="0"/>
  </r>
  <r>
    <s v="EMP1658"/>
    <s v="Exploring Infinities - Sales"/>
    <s v="SALES"/>
    <s v="Sales - English - India"/>
    <s v="Director 2"/>
    <s v="Hyderabad"/>
    <s v="WFH"/>
    <d v="2026-04-02T00:00:00"/>
    <m/>
    <s v="Active"/>
    <m/>
    <x v="2"/>
    <n v="89"/>
    <n v="0"/>
    <s v="04-2026"/>
    <s v=""/>
    <n v="0"/>
    <n v="0"/>
  </r>
  <r>
    <s v="EMP1692"/>
    <s v="Exploring Infinities - Sales"/>
    <s v="SALES"/>
    <s v="Sales - English - India"/>
    <s v="Director 2"/>
    <s v="Hyderabad"/>
    <s v="WFH"/>
    <d v="2026-04-02T00:00:00"/>
    <d v="2026-04-20T00:00:00"/>
    <s v="Relieved"/>
    <s v="Voluntary"/>
    <x v="3"/>
    <n v="18"/>
    <n v="1"/>
    <s v="04-2026"/>
    <s v="04-2026"/>
    <n v="1"/>
    <n v="0"/>
  </r>
  <r>
    <s v="EMP1693"/>
    <s v="Exploring Infinities - Sales"/>
    <s v="SALES"/>
    <s v="Sales - English - India"/>
    <s v="Director 2"/>
    <s v="Hyderabad"/>
    <s v="WFH"/>
    <d v="2026-04-02T00:00:00"/>
    <d v="2026-05-19T00:00:00"/>
    <s v="Relieved"/>
    <s v="Involuntary"/>
    <x v="1"/>
    <n v="47"/>
    <n v="1"/>
    <s v="04-2026"/>
    <s v="05-2026"/>
    <n v="0"/>
    <n v="1"/>
  </r>
  <r>
    <s v="EMP1694"/>
    <s v="Exploring Infinities - Sales"/>
    <s v="SALES"/>
    <s v="Sales - English - India"/>
    <s v="Director 2"/>
    <s v="Hyderabad"/>
    <s v="WFH"/>
    <d v="2026-04-02T00:00:00"/>
    <d v="2026-04-09T00:00:00"/>
    <s v="Relieved"/>
    <s v="Voluntary"/>
    <x v="4"/>
    <n v="7"/>
    <n v="1"/>
    <s v="04-2026"/>
    <s v="04-2026"/>
    <n v="1"/>
    <n v="0"/>
  </r>
  <r>
    <s v="EMP1713"/>
    <s v="Exploring Infinities - Sales"/>
    <s v="SALES"/>
    <s v="Sales - English - India"/>
    <s v="Director 2"/>
    <s v="Hyderabad"/>
    <s v="WFH"/>
    <d v="2026-06-02T00:00:00"/>
    <m/>
    <s v="Active"/>
    <m/>
    <x v="2"/>
    <n v="28"/>
    <n v="0"/>
    <s v="06-2026"/>
    <s v=""/>
    <n v="0"/>
    <n v="0"/>
  </r>
  <r>
    <s v="EMP1636"/>
    <s v="Exploring Infinities - Sales"/>
    <s v="SALES"/>
    <s v="Sales - English - India"/>
    <s v="Director 2"/>
    <s v="Hyderabad"/>
    <s v="WFH"/>
    <d v="2025-11-02T00:00:00"/>
    <m/>
    <s v="Active"/>
    <m/>
    <x v="2"/>
    <n v="240"/>
    <n v="0"/>
    <s v="11-2025"/>
    <s v=""/>
    <n v="0"/>
    <n v="0"/>
  </r>
  <r>
    <s v="EMP1665"/>
    <s v="Exploring Infinities - Sales"/>
    <s v="SALES"/>
    <s v="Sales - English - India"/>
    <s v="Director 2"/>
    <s v="Hyderabad"/>
    <s v="WFH"/>
    <d v="2026-04-03T00:00:00"/>
    <d v="2026-04-22T00:00:00"/>
    <s v="Relieved"/>
    <s v="Voluntary"/>
    <x v="5"/>
    <n v="19"/>
    <n v="1"/>
    <s v="04-2026"/>
    <s v="04-2026"/>
    <n v="1"/>
    <n v="0"/>
  </r>
  <r>
    <s v="EMP1711"/>
    <s v="Exploring Infinities - Sales"/>
    <s v="SALES"/>
    <s v="Sales - English - India"/>
    <s v="Director 2"/>
    <s v="Hyderabad"/>
    <s v="WFH"/>
    <d v="2026-06-03T00:00:00"/>
    <d v="2026-06-22T00:00:00"/>
    <s v="Relieved"/>
    <s v="Voluntary"/>
    <x v="3"/>
    <n v="19"/>
    <n v="1"/>
    <s v="06-2026"/>
    <s v="06-2026"/>
    <n v="1"/>
    <n v="0"/>
  </r>
  <r>
    <s v="EMP1646"/>
    <s v="Exploring Infinities - Sales"/>
    <s v="SALES"/>
    <s v="Sales - English - India"/>
    <s v="Director 2"/>
    <s v="Hyderabad"/>
    <s v="WFH"/>
    <d v="2026-04-04T00:00:00"/>
    <d v="2026-05-24T00:00:00"/>
    <s v="Relieved"/>
    <s v="Involuntary"/>
    <x v="1"/>
    <n v="50"/>
    <n v="1"/>
    <s v="04-2026"/>
    <s v="05-2026"/>
    <n v="0"/>
    <n v="1"/>
  </r>
  <r>
    <s v="EMP1676"/>
    <s v="Exploring Infinities - Sales"/>
    <s v="SALES"/>
    <s v="Sales - English - India"/>
    <s v="Director 2"/>
    <s v="Hyderabad"/>
    <s v="WFH"/>
    <d v="2026-04-04T00:00:00"/>
    <d v="2026-05-02T00:00:00"/>
    <s v="Relieved"/>
    <s v="Involuntary"/>
    <x v="6"/>
    <n v="28"/>
    <n v="1"/>
    <s v="04-2026"/>
    <s v="05-2026"/>
    <n v="0"/>
    <n v="1"/>
  </r>
  <r>
    <s v="EMP1678"/>
    <s v="Exploring Infinities - Sales"/>
    <s v="SALES"/>
    <s v="Sales - English - India"/>
    <s v="Director 2"/>
    <s v="Hyderabad"/>
    <s v="WFH"/>
    <d v="2026-04-04T00:00:00"/>
    <d v="2026-04-19T00:00:00"/>
    <s v="Relieved"/>
    <s v="Voluntary"/>
    <x v="5"/>
    <n v="15"/>
    <n v="1"/>
    <s v="04-2026"/>
    <s v="04-2026"/>
    <n v="1"/>
    <n v="0"/>
  </r>
  <r>
    <s v="EMP1628"/>
    <s v="Exploring Infinities - Sales"/>
    <s v="SALES"/>
    <s v="Sales - English - India"/>
    <s v="Director 2"/>
    <s v="Hyderabad"/>
    <s v="WFH"/>
    <d v="2025-05-04T00:00:00"/>
    <d v="2026-05-22T00:00:00"/>
    <s v="Relieved"/>
    <s v="Involuntary"/>
    <x v="7"/>
    <n v="383"/>
    <n v="1"/>
    <s v="05-2025"/>
    <s v="05-2026"/>
    <n v="0"/>
    <n v="1"/>
  </r>
  <r>
    <s v="EMP1648"/>
    <s v="Exploring Infinities - Sales"/>
    <s v="SALES"/>
    <s v="Sales - English - India"/>
    <s v="Director 2"/>
    <s v="Hyderabad"/>
    <s v="WFH"/>
    <d v="2026-04-05T00:00:00"/>
    <m/>
    <s v="Active"/>
    <m/>
    <x v="2"/>
    <n v="86"/>
    <n v="0"/>
    <s v="04-2026"/>
    <s v=""/>
    <n v="0"/>
    <n v="0"/>
  </r>
  <r>
    <s v="EMP1677"/>
    <s v="Exploring Infinities - Sales"/>
    <s v="SALES"/>
    <s v="Sales - English - India"/>
    <s v="Director 2"/>
    <s v="Hyderabad"/>
    <s v="WFH"/>
    <d v="2026-04-05T00:00:00"/>
    <d v="2026-04-14T00:00:00"/>
    <s v="Relieved"/>
    <s v="Voluntary"/>
    <x v="3"/>
    <n v="9"/>
    <n v="1"/>
    <s v="04-2026"/>
    <s v="04-2026"/>
    <n v="1"/>
    <n v="0"/>
  </r>
  <r>
    <s v="EMP1686"/>
    <s v="Exploring Infinities - Sales"/>
    <s v="SALES"/>
    <s v="Sales - English - India"/>
    <s v="Director 2"/>
    <s v="Hyderabad"/>
    <s v="WFH"/>
    <d v="2026-04-05T00:00:00"/>
    <m/>
    <s v="Active"/>
    <m/>
    <x v="2"/>
    <n v="86"/>
    <n v="0"/>
    <s v="04-2026"/>
    <s v=""/>
    <n v="0"/>
    <n v="0"/>
  </r>
  <r>
    <s v="EMP1695"/>
    <s v="Exploring Infinities - Sales"/>
    <s v="SALES"/>
    <s v="Sales - English - India"/>
    <s v="Director 2"/>
    <s v="Hyderabad"/>
    <s v="WFH"/>
    <d v="2026-04-05T00:00:00"/>
    <d v="2026-04-21T00:00:00"/>
    <s v="Relieved"/>
    <s v="Voluntary"/>
    <x v="0"/>
    <n v="16"/>
    <n v="1"/>
    <s v="04-2026"/>
    <s v="04-2026"/>
    <n v="1"/>
    <n v="0"/>
  </r>
  <r>
    <s v="EMP1702"/>
    <s v="Exploring Infinities - Sales"/>
    <s v="SALES"/>
    <s v="Sales - English - India"/>
    <s v="Director 2"/>
    <s v="Hyderabad"/>
    <s v="WFH"/>
    <d v="2026-04-05T00:00:00"/>
    <d v="2026-04-08T00:00:00"/>
    <s v="Relieved"/>
    <s v="Voluntary"/>
    <x v="8"/>
    <n v="3"/>
    <n v="1"/>
    <s v="04-2026"/>
    <s v="04-2026"/>
    <n v="1"/>
    <n v="0"/>
  </r>
  <r>
    <s v="EMP1706"/>
    <s v="Exploring Infinities - Sales"/>
    <s v="SALES"/>
    <s v="Sales - English - India"/>
    <s v="Director 2"/>
    <s v="Hyderabad"/>
    <s v="WFH"/>
    <d v="2026-04-05T00:00:00"/>
    <d v="2026-04-08T00:00:00"/>
    <s v="Relieved"/>
    <s v="Voluntary"/>
    <x v="3"/>
    <n v="3"/>
    <n v="1"/>
    <s v="04-2026"/>
    <s v="04-2026"/>
    <n v="1"/>
    <n v="0"/>
  </r>
  <r>
    <s v="EMP1611"/>
    <s v="Exploring Infinities - Sales"/>
    <s v="SALES"/>
    <s v="Sales - English - India"/>
    <s v="Director 2"/>
    <s v="Hyderabad"/>
    <s v="WFH"/>
    <d v="2026-01-05T00:00:00"/>
    <d v="2026-05-25T00:00:00"/>
    <s v="Relieved"/>
    <s v="Involuntary"/>
    <x v="1"/>
    <n v="140"/>
    <n v="1"/>
    <s v="01-2026"/>
    <s v="05-2026"/>
    <n v="0"/>
    <n v="1"/>
  </r>
  <r>
    <s v="EMP1661"/>
    <s v="Exploring Infinities - Sales"/>
    <s v="SALES"/>
    <s v="Sales - English - India"/>
    <s v="Director 2"/>
    <s v="Hyderabad"/>
    <s v="WFH"/>
    <d v="2026-04-07T00:00:00"/>
    <m/>
    <s v="Active"/>
    <m/>
    <x v="2"/>
    <n v="84"/>
    <n v="0"/>
    <s v="04-2026"/>
    <s v=""/>
    <n v="0"/>
    <n v="0"/>
  </r>
  <r>
    <s v="EMP1687"/>
    <s v="Exploring Infinities - Sales"/>
    <s v="SALES"/>
    <s v="Sales - English - India"/>
    <s v="Director 2"/>
    <s v="Hyderabad"/>
    <s v="WFH"/>
    <d v="2026-04-07T00:00:00"/>
    <d v="2026-05-24T00:00:00"/>
    <s v="Relieved"/>
    <s v="Involuntary"/>
    <x v="9"/>
    <n v="47"/>
    <n v="1"/>
    <s v="04-2026"/>
    <s v="05-2026"/>
    <n v="0"/>
    <n v="1"/>
  </r>
  <r>
    <s v="EMP1621"/>
    <s v="Exploring Infinities - Sales"/>
    <s v="SALES"/>
    <s v="Sales - English - India"/>
    <s v="Director 2"/>
    <s v="Hyderabad"/>
    <s v="WFH"/>
    <d v="2025-06-07T00:00:00"/>
    <d v="2026-04-10T00:00:00"/>
    <s v="Relieved"/>
    <s v="Involuntary"/>
    <x v="6"/>
    <n v="307"/>
    <n v="1"/>
    <s v="06-2025"/>
    <s v="04-2026"/>
    <n v="0"/>
    <n v="1"/>
  </r>
  <r>
    <s v="EMP1613"/>
    <s v="Exploring Infinities - Sales"/>
    <s v="SALES"/>
    <s v="Sales - English - India"/>
    <s v="Director 2"/>
    <s v="Hyderabad"/>
    <s v="WFH"/>
    <d v="2025-04-08T00:00:00"/>
    <d v="2026-04-07T00:00:00"/>
    <s v="Relieved"/>
    <s v="Voluntary"/>
    <x v="0"/>
    <n v="364"/>
    <n v="1"/>
    <s v="04-2025"/>
    <s v="04-2026"/>
    <n v="1"/>
    <n v="0"/>
  </r>
  <r>
    <s v="EMP1638"/>
    <s v="Exploring Infinities - Sales"/>
    <s v="SALES"/>
    <s v="Sales - English - India"/>
    <s v="Director 2"/>
    <s v="Hyderabad"/>
    <s v="WFH"/>
    <d v="2026-03-08T00:00:00"/>
    <d v="2026-04-19T00:00:00"/>
    <s v="Relieved"/>
    <s v="Involuntary"/>
    <x v="9"/>
    <n v="42"/>
    <n v="1"/>
    <s v="03-2026"/>
    <s v="04-2026"/>
    <n v="0"/>
    <n v="1"/>
  </r>
  <r>
    <s v="EMP1650"/>
    <s v="Exploring Infinities - Sales"/>
    <s v="SALES"/>
    <s v="Sales - English - India"/>
    <s v="Director 2"/>
    <s v="Hyderabad"/>
    <s v="WFH"/>
    <d v="2026-04-09T00:00:00"/>
    <d v="2026-05-15T00:00:00"/>
    <s v="Relieved"/>
    <s v="Voluntary"/>
    <x v="3"/>
    <n v="36"/>
    <n v="1"/>
    <s v="04-2026"/>
    <s v="05-2026"/>
    <n v="1"/>
    <n v="0"/>
  </r>
  <r>
    <s v="EMP1671"/>
    <s v="Exploring Infinities - Sales"/>
    <s v="SALES"/>
    <s v="Sales - English - India"/>
    <s v="Director 2"/>
    <s v="Hyderabad"/>
    <s v="WFH"/>
    <d v="2026-04-09T00:00:00"/>
    <d v="2026-04-12T00:00:00"/>
    <s v="Relieved"/>
    <s v="Voluntary"/>
    <x v="10"/>
    <n v="3"/>
    <n v="1"/>
    <s v="04-2026"/>
    <s v="04-2026"/>
    <n v="1"/>
    <n v="0"/>
  </r>
  <r>
    <s v="EMP1664"/>
    <s v="Exploring Infinities - Sales"/>
    <s v="SALES"/>
    <s v="Sales - English - India"/>
    <s v="Director 2"/>
    <s v="Hyderabad"/>
    <s v="WFH"/>
    <d v="2026-04-10T00:00:00"/>
    <d v="2026-05-06T00:00:00"/>
    <s v="Relieved"/>
    <s v="Involuntary"/>
    <x v="7"/>
    <n v="26"/>
    <n v="1"/>
    <s v="04-2026"/>
    <s v="05-2026"/>
    <n v="0"/>
    <n v="1"/>
  </r>
  <r>
    <s v="EMP1612"/>
    <s v="Exploring Infinities - Sales"/>
    <s v="SALES"/>
    <s v="Sales - English - India"/>
    <s v="Director 2"/>
    <s v="Hyderabad"/>
    <s v="WFH"/>
    <d v="2025-06-10T00:00:00"/>
    <d v="2026-05-02T00:00:00"/>
    <s v="Relieved"/>
    <s v="Involuntary"/>
    <x v="1"/>
    <n v="326"/>
    <n v="1"/>
    <s v="06-2025"/>
    <s v="05-2026"/>
    <n v="0"/>
    <n v="1"/>
  </r>
  <r>
    <s v="EMP1682"/>
    <s v="Exploring Infinities - Sales"/>
    <s v="SALES"/>
    <s v="Sales - English - India"/>
    <s v="Director 2"/>
    <s v="Hyderabad"/>
    <s v="WFH"/>
    <d v="2026-04-11T00:00:00"/>
    <d v="2026-05-23T00:00:00"/>
    <s v="Relieved"/>
    <s v="Involuntary"/>
    <x v="6"/>
    <n v="42"/>
    <n v="1"/>
    <s v="04-2026"/>
    <s v="05-2026"/>
    <n v="0"/>
    <n v="1"/>
  </r>
  <r>
    <s v="EMP1697"/>
    <s v="Exploring Infinities - Sales"/>
    <s v="SALES"/>
    <s v="Sales - English - India"/>
    <s v="Director 2"/>
    <s v="Hyderabad"/>
    <s v="WFH"/>
    <d v="2026-04-11T00:00:00"/>
    <d v="2026-04-11T00:00:00"/>
    <s v="Relieved"/>
    <s v="Voluntary"/>
    <x v="8"/>
    <n v="0"/>
    <n v="1"/>
    <s v="04-2026"/>
    <s v="04-2026"/>
    <n v="1"/>
    <n v="0"/>
  </r>
  <r>
    <s v="EMP1640"/>
    <s v="Exploring Infinities - Sales"/>
    <s v="SALES"/>
    <s v="Sales - English - India"/>
    <s v="Director 2"/>
    <s v="Hyderabad"/>
    <s v="WFH"/>
    <d v="2025-12-11T00:00:00"/>
    <d v="2026-04-30T00:00:00"/>
    <s v="Relieved"/>
    <s v="Involuntary"/>
    <x v="7"/>
    <n v="140"/>
    <n v="1"/>
    <s v="12-2025"/>
    <s v="04-2026"/>
    <n v="0"/>
    <n v="1"/>
  </r>
  <r>
    <s v="EMP1635"/>
    <s v="Exploring Infinities - Sales"/>
    <s v="SALES"/>
    <s v="Sales - English - India"/>
    <s v="Director 2"/>
    <s v="Hyderabad"/>
    <s v="WFH"/>
    <d v="2025-09-11T00:00:00"/>
    <d v="2026-04-21T00:00:00"/>
    <s v="Relieved"/>
    <s v="Involuntary"/>
    <x v="1"/>
    <n v="222"/>
    <n v="1"/>
    <s v="09-2025"/>
    <s v="04-2026"/>
    <n v="0"/>
    <n v="1"/>
  </r>
  <r>
    <s v="EMP1652"/>
    <s v="Exploring Infinities - Sales"/>
    <s v="SALES"/>
    <s v="Sales - English - India"/>
    <s v="Director 2"/>
    <s v="Hyderabad"/>
    <s v="WFH"/>
    <d v="2026-04-12T00:00:00"/>
    <m/>
    <s v="Active"/>
    <m/>
    <x v="2"/>
    <n v="79"/>
    <n v="0"/>
    <s v="04-2026"/>
    <s v=""/>
    <n v="0"/>
    <n v="0"/>
  </r>
  <r>
    <s v="EMP1655"/>
    <s v="Exploring Infinities - Sales"/>
    <s v="SALES"/>
    <s v="Sales - English - India"/>
    <s v="Director 2"/>
    <s v="Hyderabad"/>
    <s v="WFH"/>
    <d v="2026-04-12T00:00:00"/>
    <d v="2026-05-31T00:00:00"/>
    <s v="Relieved"/>
    <s v="Voluntary"/>
    <x v="5"/>
    <n v="49"/>
    <n v="1"/>
    <s v="04-2026"/>
    <s v="05-2026"/>
    <n v="1"/>
    <n v="0"/>
  </r>
  <r>
    <s v="EMP1662"/>
    <s v="Exploring Infinities - Sales"/>
    <s v="SALES"/>
    <s v="Sales - English - India"/>
    <s v="Director 2"/>
    <s v="Hyderabad"/>
    <s v="WFH"/>
    <d v="2026-04-12T00:00:00"/>
    <d v="2026-05-22T00:00:00"/>
    <s v="Relieved"/>
    <s v="Involuntary"/>
    <x v="9"/>
    <n v="40"/>
    <n v="1"/>
    <s v="04-2026"/>
    <s v="05-2026"/>
    <n v="0"/>
    <n v="1"/>
  </r>
  <r>
    <s v="EMP1680"/>
    <s v="Exploring Infinities - Sales"/>
    <s v="SALES"/>
    <s v="Sales - English - India"/>
    <s v="Director 2"/>
    <s v="Hyderabad"/>
    <s v="WFH"/>
    <d v="2026-04-12T00:00:00"/>
    <m/>
    <s v="Active"/>
    <m/>
    <x v="2"/>
    <n v="79"/>
    <n v="0"/>
    <s v="04-2026"/>
    <s v=""/>
    <n v="0"/>
    <n v="0"/>
  </r>
  <r>
    <s v="EMP1684"/>
    <s v="Exploring Infinities - Sales"/>
    <s v="SALES"/>
    <s v="Sales - English - India"/>
    <s v="Director 2"/>
    <s v="Hyderabad"/>
    <s v="WFH"/>
    <d v="2026-04-12T00:00:00"/>
    <m/>
    <s v="Active"/>
    <m/>
    <x v="2"/>
    <n v="79"/>
    <n v="0"/>
    <s v="04-2026"/>
    <s v=""/>
    <n v="0"/>
    <n v="0"/>
  </r>
  <r>
    <s v="EMP1623"/>
    <s v="Exploring Infinities - Sales"/>
    <s v="SALES"/>
    <s v="Sales - English - India"/>
    <s v="Director 2"/>
    <s v="Hyderabad"/>
    <s v="WFH"/>
    <d v="2025-01-12T00:00:00"/>
    <d v="2026-04-14T00:00:00"/>
    <s v="Relieved"/>
    <s v="Involuntary"/>
    <x v="1"/>
    <n v="457"/>
    <n v="1"/>
    <s v="01-2025"/>
    <s v="04-2026"/>
    <n v="0"/>
    <n v="1"/>
  </r>
  <r>
    <s v="EMP1709"/>
    <s v="Exploring Infinities - Sales"/>
    <s v="SALES"/>
    <s v="Sales - English - India"/>
    <s v="Director 2"/>
    <s v="Hyderabad"/>
    <s v="WFH"/>
    <d v="2026-06-12T00:00:00"/>
    <d v="2026-06-18T00:00:00"/>
    <s v="Relieved"/>
    <s v="Voluntary"/>
    <x v="10"/>
    <n v="6"/>
    <n v="1"/>
    <s v="06-2026"/>
    <s v="06-2026"/>
    <n v="1"/>
    <n v="0"/>
  </r>
  <r>
    <s v="EMP1622"/>
    <s v="Exploring Infinities - Sales"/>
    <s v="SALES"/>
    <s v="Sales - English - India"/>
    <s v="Director 2"/>
    <s v="Hyderabad"/>
    <s v="WFH"/>
    <d v="2025-09-12T00:00:00"/>
    <m/>
    <s v="Active"/>
    <m/>
    <x v="2"/>
    <n v="291"/>
    <n v="0"/>
    <s v="09-2025"/>
    <s v=""/>
    <n v="0"/>
    <n v="0"/>
  </r>
  <r>
    <s v="EMP1654"/>
    <s v="Exploring Infinities - Sales"/>
    <s v="SALES"/>
    <s v="Sales - English - India"/>
    <s v="Director 2"/>
    <s v="Hyderabad"/>
    <s v="WFH"/>
    <d v="2026-04-13T00:00:00"/>
    <d v="2026-05-17T00:00:00"/>
    <s v="Relieved"/>
    <s v="Involuntary"/>
    <x v="6"/>
    <n v="34"/>
    <n v="1"/>
    <s v="04-2026"/>
    <s v="05-2026"/>
    <n v="0"/>
    <n v="1"/>
  </r>
  <r>
    <s v="EMP1657"/>
    <s v="Exploring Infinities - Sales"/>
    <s v="SALES"/>
    <s v="Sales - English - India"/>
    <s v="Director 2"/>
    <s v="Hyderabad"/>
    <s v="WFH"/>
    <d v="2026-04-13T00:00:00"/>
    <d v="2026-05-04T00:00:00"/>
    <s v="Relieved"/>
    <s v="Involuntary"/>
    <x v="1"/>
    <n v="21"/>
    <n v="1"/>
    <s v="04-2026"/>
    <s v="05-2026"/>
    <n v="0"/>
    <n v="1"/>
  </r>
  <r>
    <s v="EMP1666"/>
    <s v="Exploring Infinities - Sales"/>
    <s v="SALES"/>
    <s v="Sales - English - India"/>
    <s v="Director 2"/>
    <s v="Hyderabad"/>
    <s v="WFH"/>
    <d v="2026-04-13T00:00:00"/>
    <m/>
    <s v="Active"/>
    <m/>
    <x v="2"/>
    <n v="78"/>
    <n v="0"/>
    <s v="04-2026"/>
    <s v=""/>
    <n v="0"/>
    <n v="0"/>
  </r>
  <r>
    <s v="EMP1679"/>
    <s v="Exploring Infinities - Sales"/>
    <s v="SALES"/>
    <s v="Sales - English - India"/>
    <s v="Director 2"/>
    <s v="Hyderabad"/>
    <s v="WFH"/>
    <d v="2026-04-13T00:00:00"/>
    <d v="2026-04-30T00:00:00"/>
    <s v="Relieved"/>
    <s v="Voluntary"/>
    <x v="5"/>
    <n v="17"/>
    <n v="1"/>
    <s v="04-2026"/>
    <s v="04-2026"/>
    <n v="1"/>
    <n v="0"/>
  </r>
  <r>
    <s v="EMP1690"/>
    <s v="Exploring Infinities - Sales"/>
    <s v="SALES"/>
    <s v="Sales - English - India"/>
    <s v="Director 2"/>
    <s v="Hyderabad"/>
    <s v="WFH"/>
    <d v="2026-04-13T00:00:00"/>
    <d v="2026-04-24T00:00:00"/>
    <s v="Relieved"/>
    <s v="Voluntary"/>
    <x v="10"/>
    <n v="11"/>
    <n v="1"/>
    <s v="04-2026"/>
    <s v="04-2026"/>
    <n v="1"/>
    <n v="0"/>
  </r>
  <r>
    <s v="EMP1616"/>
    <s v="Exploring Infinities - Sales"/>
    <s v="SALES"/>
    <s v="Sales - English - India"/>
    <s v="Director 2"/>
    <s v="Hyderabad"/>
    <s v="WFH"/>
    <d v="2025-09-13T00:00:00"/>
    <d v="2026-04-01T00:00:00"/>
    <s v="Relieved"/>
    <s v="Involuntary"/>
    <x v="7"/>
    <n v="200"/>
    <n v="1"/>
    <s v="09-2025"/>
    <s v="04-2026"/>
    <n v="0"/>
    <n v="1"/>
  </r>
  <r>
    <s v="EMP1619"/>
    <s v="Exploring Infinities - Sales"/>
    <s v="SALES"/>
    <s v="Sales - English - India"/>
    <s v="Director 2"/>
    <s v="Hyderabad"/>
    <s v="WFH"/>
    <d v="2025-09-13T00:00:00"/>
    <d v="2026-04-06T00:00:00"/>
    <s v="Relieved"/>
    <s v="Involuntary"/>
    <x v="7"/>
    <n v="205"/>
    <n v="1"/>
    <s v="09-2025"/>
    <s v="04-2026"/>
    <n v="0"/>
    <n v="1"/>
  </r>
  <r>
    <s v="EMP1647"/>
    <s v="Exploring Infinities - Sales"/>
    <s v="SALES"/>
    <s v="Sales - English - India"/>
    <s v="Director 2"/>
    <s v="Hyderabad"/>
    <s v="WFH"/>
    <d v="2026-04-14T00:00:00"/>
    <d v="2026-06-08T00:00:00"/>
    <s v="Relieved"/>
    <s v="Involuntary"/>
    <x v="6"/>
    <n v="55"/>
    <n v="1"/>
    <s v="04-2026"/>
    <s v="06-2026"/>
    <n v="0"/>
    <n v="1"/>
  </r>
  <r>
    <s v="EMP1668"/>
    <s v="Exploring Infinities - Sales"/>
    <s v="SALES"/>
    <s v="Sales - English - India"/>
    <s v="Director 2"/>
    <s v="Hyderabad"/>
    <s v="WFH"/>
    <d v="2026-04-15T00:00:00"/>
    <d v="2026-05-14T00:00:00"/>
    <s v="Relieved"/>
    <s v="Involuntary"/>
    <x v="6"/>
    <n v="29"/>
    <n v="1"/>
    <s v="04-2026"/>
    <s v="05-2026"/>
    <n v="0"/>
    <n v="1"/>
  </r>
  <r>
    <s v="EMP1701"/>
    <s v="Exploring Infinities - Sales"/>
    <s v="SALES"/>
    <s v="Sales - English - India"/>
    <s v="Director 2"/>
    <s v="Hyderabad"/>
    <s v="WFH"/>
    <d v="2026-04-15T00:00:00"/>
    <d v="2026-04-22T00:00:00"/>
    <s v="Relieved"/>
    <s v="Voluntary"/>
    <x v="4"/>
    <n v="7"/>
    <n v="1"/>
    <s v="04-2026"/>
    <s v="04-2026"/>
    <n v="1"/>
    <n v="0"/>
  </r>
  <r>
    <s v="EMP1699"/>
    <s v="Exploring Infinities - Sales"/>
    <s v="SALES"/>
    <s v="Sales - English - India"/>
    <s v="Director 2"/>
    <s v="Hyderabad"/>
    <s v="WFH"/>
    <d v="2026-04-16T00:00:00"/>
    <d v="2026-05-27T00:00:00"/>
    <s v="Relieved"/>
    <s v="Involuntary"/>
    <x v="9"/>
    <n v="41"/>
    <n v="1"/>
    <s v="04-2026"/>
    <s v="05-2026"/>
    <n v="0"/>
    <n v="1"/>
  </r>
  <r>
    <s v="EMP1624"/>
    <s v="Exploring Infinities - Sales"/>
    <s v="SALES"/>
    <s v="Sales - English - India"/>
    <s v="Director 2"/>
    <s v="Hyderabad"/>
    <s v="WFH"/>
    <d v="2025-02-16T00:00:00"/>
    <d v="2026-04-27T00:00:00"/>
    <s v="Relieved"/>
    <s v="Involuntary"/>
    <x v="6"/>
    <n v="435"/>
    <n v="1"/>
    <s v="02-2025"/>
    <s v="04-2026"/>
    <n v="0"/>
    <n v="1"/>
  </r>
  <r>
    <s v="EMP1626"/>
    <s v="Exploring Infinities - Sales"/>
    <s v="SALES"/>
    <s v="Sales - English - India"/>
    <s v="Director 2"/>
    <s v="Hyderabad"/>
    <s v="WFH"/>
    <d v="2025-09-16T00:00:00"/>
    <d v="2026-06-30T00:00:00"/>
    <s v="Relieved"/>
    <s v="Involuntary"/>
    <x v="9"/>
    <n v="287"/>
    <n v="1"/>
    <s v="09-2025"/>
    <s v="06-2026"/>
    <n v="0"/>
    <n v="1"/>
  </r>
  <r>
    <s v="EMP1667"/>
    <s v="Exploring Infinities - Sales"/>
    <s v="SALES"/>
    <s v="Sales - English - India"/>
    <s v="Director 2"/>
    <s v="Hyderabad"/>
    <s v="WFH"/>
    <d v="2026-04-17T00:00:00"/>
    <d v="2026-05-15T00:00:00"/>
    <s v="Relieved"/>
    <s v="Involuntary"/>
    <x v="1"/>
    <n v="28"/>
    <n v="1"/>
    <s v="04-2026"/>
    <s v="05-2026"/>
    <n v="0"/>
    <n v="1"/>
  </r>
  <r>
    <s v="EMP1689"/>
    <s v="Exploring Infinities - Sales"/>
    <s v="SALES"/>
    <s v="Sales - English - India"/>
    <s v="Director 2"/>
    <s v="Hyderabad"/>
    <s v="WFH"/>
    <d v="2026-04-17T00:00:00"/>
    <d v="2026-05-20T00:00:00"/>
    <s v="Relieved"/>
    <s v="Voluntary"/>
    <x v="0"/>
    <n v="33"/>
    <n v="1"/>
    <s v="04-2026"/>
    <s v="05-2026"/>
    <n v="1"/>
    <n v="0"/>
  </r>
  <r>
    <s v="EMP1691"/>
    <s v="Exploring Infinities - Sales"/>
    <s v="SALES"/>
    <s v="Sales - English - India"/>
    <s v="Director 2"/>
    <s v="Hyderabad"/>
    <s v="WFH"/>
    <d v="2026-04-17T00:00:00"/>
    <d v="2026-05-18T00:00:00"/>
    <s v="Relieved"/>
    <s v="Involuntary"/>
    <x v="6"/>
    <n v="31"/>
    <n v="1"/>
    <s v="04-2026"/>
    <s v="05-2026"/>
    <n v="0"/>
    <n v="1"/>
  </r>
  <r>
    <s v="EMP1700"/>
    <s v="Exploring Infinities - Sales"/>
    <s v="SALES"/>
    <s v="Sales - English - India"/>
    <s v="Director 2"/>
    <s v="Hyderabad"/>
    <s v="WFH"/>
    <d v="2026-04-17T00:00:00"/>
    <m/>
    <s v="Active"/>
    <m/>
    <x v="2"/>
    <n v="74"/>
    <n v="0"/>
    <s v="04-2026"/>
    <s v=""/>
    <n v="0"/>
    <n v="0"/>
  </r>
  <r>
    <s v="EMP1705"/>
    <s v="Exploring Infinities - Sales"/>
    <s v="SALES"/>
    <s v="Sales - English - India"/>
    <s v="Director 2"/>
    <s v="Hyderabad"/>
    <s v="WFH"/>
    <d v="2026-04-17T00:00:00"/>
    <d v="2026-06-02T00:00:00"/>
    <s v="Relieved"/>
    <s v="Involuntary"/>
    <x v="6"/>
    <n v="46"/>
    <n v="1"/>
    <s v="04-2026"/>
    <s v="06-2026"/>
    <n v="0"/>
    <n v="1"/>
  </r>
  <r>
    <s v="EMP1609"/>
    <s v="Exploring Infinities - Sales"/>
    <s v="SALES"/>
    <s v="Sales - English - India"/>
    <s v="Director 2"/>
    <s v="Hyderabad"/>
    <s v="WFH"/>
    <d v="2025-06-17T00:00:00"/>
    <d v="2026-06-27T00:00:00"/>
    <s v="Relieved"/>
    <s v="Involuntary"/>
    <x v="1"/>
    <n v="375"/>
    <n v="1"/>
    <s v="06-2025"/>
    <s v="06-2026"/>
    <n v="0"/>
    <n v="1"/>
  </r>
  <r>
    <s v="EMP1708"/>
    <s v="Exploring Infinities - Sales"/>
    <s v="SALES"/>
    <s v="Sales - English - India"/>
    <s v="Director 2"/>
    <s v="Hyderabad"/>
    <s v="WFH"/>
    <d v="2026-05-17T00:00:00"/>
    <d v="2026-05-17T00:00:00"/>
    <s v="Relieved"/>
    <s v="Voluntary"/>
    <x v="4"/>
    <n v="0"/>
    <n v="1"/>
    <s v="05-2026"/>
    <s v="05-2026"/>
    <n v="1"/>
    <n v="0"/>
  </r>
  <r>
    <s v="EMP1643"/>
    <s v="Exploring Infinities - Sales"/>
    <s v="SALES"/>
    <s v="Sales - English - India"/>
    <s v="Director 2"/>
    <s v="Hyderabad"/>
    <s v="WFH"/>
    <d v="2026-04-18T00:00:00"/>
    <d v="2026-05-17T00:00:00"/>
    <s v="Relieved"/>
    <s v="Involuntary"/>
    <x v="6"/>
    <n v="29"/>
    <n v="1"/>
    <s v="04-2026"/>
    <s v="05-2026"/>
    <n v="0"/>
    <n v="1"/>
  </r>
  <r>
    <s v="EMP1660"/>
    <s v="Exploring Infinities - Sales"/>
    <s v="SALES"/>
    <s v="Sales - English - India"/>
    <s v="Director 2"/>
    <s v="Hyderabad"/>
    <s v="WFH"/>
    <d v="2026-04-18T00:00:00"/>
    <d v="2026-04-18T00:00:00"/>
    <s v="Relieved"/>
    <s v="Voluntary"/>
    <x v="3"/>
    <n v="0"/>
    <n v="1"/>
    <s v="04-2026"/>
    <s v="04-2026"/>
    <n v="1"/>
    <n v="0"/>
  </r>
  <r>
    <s v="EMP1663"/>
    <s v="Exploring Infinities - Sales"/>
    <s v="SALES"/>
    <s v="Sales - English - India"/>
    <s v="Director 2"/>
    <s v="Hyderabad"/>
    <s v="WFH"/>
    <d v="2026-04-18T00:00:00"/>
    <d v="2026-04-18T00:00:00"/>
    <s v="Relieved"/>
    <s v="Voluntary"/>
    <x v="4"/>
    <n v="0"/>
    <n v="1"/>
    <s v="04-2026"/>
    <s v="04-2026"/>
    <n v="1"/>
    <n v="0"/>
  </r>
  <r>
    <s v="EMP1670"/>
    <s v="Exploring Infinities - Sales"/>
    <s v="SALES"/>
    <s v="Sales - English - India"/>
    <s v="Director 2"/>
    <s v="Hyderabad"/>
    <s v="WFH"/>
    <d v="2026-04-18T00:00:00"/>
    <d v="2026-06-12T00:00:00"/>
    <s v="Relieved"/>
    <s v="Involuntary"/>
    <x v="1"/>
    <n v="55"/>
    <n v="1"/>
    <s v="04-2026"/>
    <s v="06-2026"/>
    <n v="0"/>
    <n v="1"/>
  </r>
  <r>
    <s v="EMP1683"/>
    <s v="Exploring Infinities - Sales"/>
    <s v="SALES"/>
    <s v="Sales - English - India"/>
    <s v="Director 2"/>
    <s v="Hyderabad"/>
    <s v="WFH"/>
    <d v="2026-04-18T00:00:00"/>
    <d v="2026-05-28T00:00:00"/>
    <s v="Relieved"/>
    <s v="Involuntary"/>
    <x v="6"/>
    <n v="40"/>
    <n v="1"/>
    <s v="04-2026"/>
    <s v="05-2026"/>
    <n v="0"/>
    <n v="1"/>
  </r>
  <r>
    <s v="EMP1712"/>
    <s v="Exploring Infinities - Sales"/>
    <s v="SALES"/>
    <s v="Sales - English - India"/>
    <s v="Director 2"/>
    <s v="Hyderabad"/>
    <s v="WFH"/>
    <d v="2026-06-18T00:00:00"/>
    <d v="2026-06-27T00:00:00"/>
    <s v="Relieved"/>
    <s v="Voluntary"/>
    <x v="8"/>
    <n v="9"/>
    <n v="1"/>
    <s v="06-2026"/>
    <s v="06-2026"/>
    <n v="1"/>
    <n v="0"/>
  </r>
  <r>
    <s v="EMP1659"/>
    <s v="Exploring Infinities - Sales"/>
    <s v="SALES"/>
    <s v="Sales - English - India"/>
    <s v="Director 2"/>
    <s v="Hyderabad"/>
    <s v="WFH"/>
    <d v="2026-04-19T00:00:00"/>
    <d v="2026-05-26T00:00:00"/>
    <s v="Relieved"/>
    <s v="Involuntary"/>
    <x v="9"/>
    <n v="37"/>
    <n v="1"/>
    <s v="04-2026"/>
    <s v="05-2026"/>
    <n v="0"/>
    <n v="1"/>
  </r>
  <r>
    <s v="EMP1673"/>
    <s v="Exploring Infinities - Sales"/>
    <s v="SALES"/>
    <s v="Sales - English - India"/>
    <s v="Director 2"/>
    <s v="Hyderabad"/>
    <s v="WFH"/>
    <d v="2026-04-20T00:00:00"/>
    <m/>
    <s v="Active"/>
    <m/>
    <x v="2"/>
    <n v="71"/>
    <n v="0"/>
    <s v="04-2026"/>
    <s v=""/>
    <n v="0"/>
    <n v="0"/>
  </r>
  <r>
    <s v="EMP1675"/>
    <s v="Exploring Infinities - Sales"/>
    <s v="SALES"/>
    <s v="Sales - English - India"/>
    <s v="Director 2"/>
    <s v="Hyderabad"/>
    <s v="WFH"/>
    <d v="2026-04-20T00:00:00"/>
    <m/>
    <s v="Active"/>
    <m/>
    <x v="2"/>
    <n v="71"/>
    <n v="0"/>
    <s v="04-2026"/>
    <s v=""/>
    <n v="0"/>
    <n v="0"/>
  </r>
  <r>
    <s v="EMP1688"/>
    <s v="Exploring Infinities - Sales"/>
    <s v="SALES"/>
    <s v="Sales - English - India"/>
    <s v="Director 2"/>
    <s v="Hyderabad"/>
    <s v="WFH"/>
    <d v="2026-04-20T00:00:00"/>
    <d v="2026-04-20T00:00:00"/>
    <s v="Relieved"/>
    <s v="Voluntary"/>
    <x v="5"/>
    <n v="0"/>
    <n v="1"/>
    <s v="04-2026"/>
    <s v="04-2026"/>
    <n v="1"/>
    <n v="0"/>
  </r>
  <r>
    <s v="EMP1703"/>
    <s v="Exploring Infinities - Sales"/>
    <s v="SALES"/>
    <s v="Sales - English - India"/>
    <s v="Director 2"/>
    <s v="Hyderabad"/>
    <s v="WFH"/>
    <d v="2026-04-20T00:00:00"/>
    <d v="2026-05-13T00:00:00"/>
    <s v="Relieved"/>
    <s v="Involuntary"/>
    <x v="7"/>
    <n v="23"/>
    <n v="1"/>
    <s v="04-2026"/>
    <s v="05-2026"/>
    <n v="0"/>
    <n v="1"/>
  </r>
  <r>
    <s v="EMP1629"/>
    <s v="Exploring Infinities - Sales"/>
    <s v="SALES"/>
    <s v="Sales - English - India"/>
    <s v="Director 2"/>
    <s v="Hyderabad"/>
    <s v="WFH"/>
    <d v="2025-04-21T00:00:00"/>
    <d v="2026-05-03T00:00:00"/>
    <s v="Relieved"/>
    <s v="Involuntary"/>
    <x v="6"/>
    <n v="377"/>
    <n v="1"/>
    <s v="04-2025"/>
    <s v="05-2026"/>
    <n v="0"/>
    <n v="1"/>
  </r>
  <r>
    <s v="EMP1608"/>
    <s v="Exploring Infinities - Sales"/>
    <s v="SALES"/>
    <s v="Sales - English - India"/>
    <s v="Director 2"/>
    <s v="Hyderabad"/>
    <s v="WFH"/>
    <d v="2026-02-21T00:00:00"/>
    <d v="2026-04-16T00:00:00"/>
    <s v="Relieved"/>
    <s v="Voluntary"/>
    <x v="3"/>
    <n v="54"/>
    <n v="1"/>
    <s v="02-2026"/>
    <s v="04-2026"/>
    <n v="1"/>
    <n v="0"/>
  </r>
  <r>
    <s v="EMP1625"/>
    <s v="Exploring Infinities - Sales"/>
    <s v="SALES"/>
    <s v="Sales - English - India"/>
    <s v="Director 2"/>
    <s v="Hyderabad"/>
    <s v="WFH"/>
    <d v="2025-07-21T00:00:00"/>
    <d v="2026-04-18T00:00:00"/>
    <s v="Relieved"/>
    <s v="Involuntary"/>
    <x v="9"/>
    <n v="271"/>
    <n v="1"/>
    <s v="07-2025"/>
    <s v="04-2026"/>
    <n v="0"/>
    <n v="1"/>
  </r>
  <r>
    <s v="EMP1617"/>
    <s v="Exploring Infinities - Sales"/>
    <s v="SALES"/>
    <s v="Sales - English - India"/>
    <s v="Director 2"/>
    <s v="Hyderabad"/>
    <s v="WFH"/>
    <d v="2025-09-21T00:00:00"/>
    <d v="2026-04-21T00:00:00"/>
    <s v="Relieved"/>
    <s v="Involuntary"/>
    <x v="6"/>
    <n v="212"/>
    <n v="1"/>
    <s v="09-2025"/>
    <s v="04-2026"/>
    <n v="0"/>
    <n v="1"/>
  </r>
  <r>
    <s v="EMP1674"/>
    <s v="Exploring Infinities - Sales"/>
    <s v="SALES"/>
    <s v="Sales - English - India"/>
    <s v="Director 2"/>
    <s v="Hyderabad"/>
    <s v="WFH"/>
    <d v="2026-04-22T00:00:00"/>
    <d v="2026-04-22T00:00:00"/>
    <s v="Relieved"/>
    <s v="Voluntary"/>
    <x v="8"/>
    <n v="0"/>
    <n v="1"/>
    <s v="04-2026"/>
    <s v="04-2026"/>
    <n v="1"/>
    <n v="0"/>
  </r>
  <r>
    <s v="EMP1696"/>
    <s v="Exploring Infinities - Sales"/>
    <s v="SALES"/>
    <s v="Sales - English - India"/>
    <s v="Director 2"/>
    <s v="Hyderabad"/>
    <s v="WFH"/>
    <d v="2026-04-23T00:00:00"/>
    <d v="2026-04-27T00:00:00"/>
    <s v="Relieved"/>
    <s v="Voluntary"/>
    <x v="4"/>
    <n v="4"/>
    <n v="1"/>
    <s v="04-2026"/>
    <s v="04-2026"/>
    <n v="1"/>
    <n v="0"/>
  </r>
  <r>
    <s v="EMP1627"/>
    <s v="Exploring Infinities - Sales"/>
    <s v="SALES"/>
    <s v="Sales - English - India"/>
    <s v="Director 2"/>
    <s v="Hyderabad"/>
    <s v="WFH"/>
    <d v="2025-08-23T00:00:00"/>
    <d v="2026-04-30T00:00:00"/>
    <s v="Relieved"/>
    <s v="Involuntary"/>
    <x v="9"/>
    <n v="250"/>
    <n v="1"/>
    <s v="08-2025"/>
    <s v="04-2026"/>
    <n v="0"/>
    <n v="1"/>
  </r>
  <r>
    <s v="EMP1710"/>
    <s v="Exploring Infinities - Sales"/>
    <s v="SALES"/>
    <s v="Sales - English - India"/>
    <s v="Director 2"/>
    <s v="Hyderabad"/>
    <s v="WFH"/>
    <d v="2026-06-23T00:00:00"/>
    <d v="2026-06-23T00:00:00"/>
    <s v="Relieved"/>
    <s v="Voluntary"/>
    <x v="10"/>
    <n v="0"/>
    <n v="1"/>
    <s v="06-2026"/>
    <s v="06-2026"/>
    <n v="1"/>
    <n v="0"/>
  </r>
  <r>
    <s v="EMP1615"/>
    <s v="Exploring Infinities - Sales"/>
    <s v="SALES"/>
    <s v="Sales - English - India"/>
    <s v="Director 2"/>
    <s v="Hyderabad"/>
    <s v="WFH"/>
    <d v="2025-03-23T00:00:00"/>
    <d v="2026-04-30T00:00:00"/>
    <s v="Relieved"/>
    <s v="Involuntary"/>
    <x v="1"/>
    <n v="403"/>
    <n v="1"/>
    <s v="03-2025"/>
    <s v="04-2026"/>
    <n v="0"/>
    <n v="1"/>
  </r>
  <r>
    <s v="EMP1610"/>
    <s v="Exploring Infinities - Sales"/>
    <s v="SALES"/>
    <s v="Sales - English - India"/>
    <s v="Director 2"/>
    <s v="Hyderabad"/>
    <s v="WFH"/>
    <d v="2025-10-23T00:00:00"/>
    <d v="2026-05-17T00:00:00"/>
    <s v="Relieved"/>
    <s v="Involuntary"/>
    <x v="7"/>
    <n v="206"/>
    <n v="1"/>
    <s v="10-2025"/>
    <s v="05-2026"/>
    <n v="0"/>
    <n v="1"/>
  </r>
  <r>
    <s v="EMP1651"/>
    <s v="Exploring Infinities - Sales"/>
    <s v="SALES"/>
    <s v="Sales - English - India"/>
    <s v="Director 2"/>
    <s v="Hyderabad"/>
    <s v="WFH"/>
    <d v="2026-04-24T00:00:00"/>
    <m/>
    <s v="Active"/>
    <m/>
    <x v="2"/>
    <n v="67"/>
    <n v="0"/>
    <s v="04-2026"/>
    <s v=""/>
    <n v="0"/>
    <n v="0"/>
  </r>
  <r>
    <s v="EMP1653"/>
    <s v="Exploring Infinities - Sales"/>
    <s v="SALES"/>
    <s v="Sales - English - India"/>
    <s v="Director 2"/>
    <s v="Hyderabad"/>
    <s v="WFH"/>
    <d v="2026-04-25T00:00:00"/>
    <d v="2026-05-08T00:00:00"/>
    <s v="Relieved"/>
    <s v="Voluntary"/>
    <x v="5"/>
    <n v="13"/>
    <n v="1"/>
    <s v="04-2026"/>
    <s v="05-2026"/>
    <n v="1"/>
    <n v="0"/>
  </r>
  <r>
    <s v="EMP1669"/>
    <s v="Exploring Infinities - Sales"/>
    <s v="SALES"/>
    <s v="Sales - English - India"/>
    <s v="Director 2"/>
    <s v="Hyderabad"/>
    <s v="WFH"/>
    <d v="2026-04-25T00:00:00"/>
    <d v="2026-05-03T00:00:00"/>
    <s v="Relieved"/>
    <s v="Involuntary"/>
    <x v="9"/>
    <n v="8"/>
    <n v="1"/>
    <s v="04-2026"/>
    <s v="05-2026"/>
    <n v="0"/>
    <n v="1"/>
  </r>
  <r>
    <s v="EMP1685"/>
    <s v="Exploring Infinities - Sales"/>
    <s v="SALES"/>
    <s v="Sales - English - India"/>
    <s v="Director 2"/>
    <s v="Hyderabad"/>
    <s v="WFH"/>
    <d v="2026-04-25T00:00:00"/>
    <d v="2026-04-25T00:00:00"/>
    <s v="Relieved"/>
    <s v="Voluntary"/>
    <x v="10"/>
    <n v="0"/>
    <n v="1"/>
    <s v="04-2026"/>
    <s v="04-2026"/>
    <n v="1"/>
    <n v="0"/>
  </r>
  <r>
    <s v="EMP1632"/>
    <s v="Exploring Infinities - Sales"/>
    <s v="SALES"/>
    <s v="Sales - English - India"/>
    <s v="Director 2"/>
    <s v="Hyderabad"/>
    <s v="WFH"/>
    <d v="2025-01-25T00:00:00"/>
    <d v="2026-04-29T00:00:00"/>
    <s v="Relieved"/>
    <s v="Involuntary"/>
    <x v="9"/>
    <n v="459"/>
    <n v="1"/>
    <s v="01-2025"/>
    <s v="04-2026"/>
    <n v="0"/>
    <n v="1"/>
  </r>
  <r>
    <s v="EMP1634"/>
    <s v="Exploring Infinities - Sales"/>
    <s v="SALES"/>
    <s v="Sales - English - India"/>
    <s v="Director 2"/>
    <s v="Hyderabad"/>
    <s v="WFH"/>
    <d v="2025-05-25T00:00:00"/>
    <d v="2026-04-29T00:00:00"/>
    <s v="Relieved"/>
    <s v="Involuntary"/>
    <x v="1"/>
    <n v="339"/>
    <n v="1"/>
    <s v="05-2025"/>
    <s v="04-2026"/>
    <n v="0"/>
    <n v="1"/>
  </r>
  <r>
    <s v="EMP1681"/>
    <s v="Exploring Infinities - Sales"/>
    <s v="SALES"/>
    <s v="Sales - English - India"/>
    <s v="Director 2"/>
    <s v="Hyderabad"/>
    <s v="WFH"/>
    <d v="2026-04-26T00:00:00"/>
    <d v="2026-05-16T00:00:00"/>
    <s v="Relieved"/>
    <s v="Voluntary"/>
    <x v="5"/>
    <n v="20"/>
    <n v="1"/>
    <s v="04-2026"/>
    <s v="05-2026"/>
    <n v="1"/>
    <n v="0"/>
  </r>
  <r>
    <s v="EMP1698"/>
    <s v="Exploring Infinities - Sales"/>
    <s v="SALES"/>
    <s v="Sales - English - India"/>
    <s v="Director 2"/>
    <s v="Hyderabad"/>
    <s v="WFH"/>
    <d v="2026-04-26T00:00:00"/>
    <d v="2026-06-20T00:00:00"/>
    <s v="Relieved"/>
    <s v="Involuntary"/>
    <x v="9"/>
    <n v="55"/>
    <n v="1"/>
    <s v="04-2026"/>
    <s v="06-2026"/>
    <n v="0"/>
    <n v="1"/>
  </r>
  <r>
    <s v="EMP1633"/>
    <s v="Exploring Infinities - Sales"/>
    <s v="SALES"/>
    <s v="Sales - English - India"/>
    <s v="Director 2"/>
    <s v="Hyderabad"/>
    <s v="WFH"/>
    <d v="2025-01-26T00:00:00"/>
    <d v="2026-04-11T00:00:00"/>
    <s v="Relieved"/>
    <s v="Voluntary"/>
    <x v="0"/>
    <n v="440"/>
    <n v="1"/>
    <s v="01-2025"/>
    <s v="04-2026"/>
    <n v="1"/>
    <n v="0"/>
  </r>
  <r>
    <s v="EMP1614"/>
    <s v="Exploring Infinities - Sales"/>
    <s v="SALES"/>
    <s v="Sales - English - India"/>
    <s v="Director 2"/>
    <s v="Hyderabad"/>
    <s v="WFH"/>
    <d v="2026-01-26T00:00:00"/>
    <d v="2026-05-19T00:00:00"/>
    <s v="Relieved"/>
    <s v="Involuntary"/>
    <x v="9"/>
    <n v="113"/>
    <n v="1"/>
    <s v="01-2026"/>
    <s v="05-2026"/>
    <n v="0"/>
    <n v="1"/>
  </r>
  <r>
    <s v="EMP1630"/>
    <s v="Exploring Infinities - Sales"/>
    <s v="SALES"/>
    <s v="Sales - English - India"/>
    <s v="Director 2"/>
    <s v="Hyderabad"/>
    <s v="WFH"/>
    <d v="2025-10-26T00:00:00"/>
    <d v="2026-04-26T00:00:00"/>
    <s v="Relieved"/>
    <s v="Involuntary"/>
    <x v="6"/>
    <n v="182"/>
    <n v="1"/>
    <s v="10-2025"/>
    <s v="04-2026"/>
    <n v="0"/>
    <n v="1"/>
  </r>
  <r>
    <s v="EMP1672"/>
    <s v="Exploring Infinities - Sales"/>
    <s v="SALES"/>
    <s v="Sales - English - India"/>
    <s v="Director 2"/>
    <s v="Hyderabad"/>
    <s v="WFH"/>
    <d v="2026-04-27T00:00:00"/>
    <d v="2026-05-15T00:00:00"/>
    <s v="Relieved"/>
    <s v="Involuntary"/>
    <x v="9"/>
    <n v="18"/>
    <n v="1"/>
    <s v="04-2026"/>
    <s v="05-2026"/>
    <n v="0"/>
    <n v="1"/>
  </r>
  <r>
    <s v="EMP1620"/>
    <s v="Exploring Infinities - Sales"/>
    <s v="SALES"/>
    <s v="Sales - English - India"/>
    <s v="Director 2"/>
    <s v="Hyderabad"/>
    <s v="WFH"/>
    <d v="2026-03-27T00:00:00"/>
    <m/>
    <s v="Active"/>
    <m/>
    <x v="2"/>
    <n v="95"/>
    <n v="0"/>
    <s v="03-2026"/>
    <s v=""/>
    <n v="0"/>
    <n v="0"/>
  </r>
  <r>
    <s v="EMP1642"/>
    <s v="Exploring Infinities - Sales"/>
    <s v="SALES"/>
    <s v="Sales - English - India"/>
    <s v="Director 2"/>
    <s v="Hyderabad"/>
    <s v="WFH"/>
    <d v="2025-05-27T00:00:00"/>
    <d v="2026-04-30T00:00:00"/>
    <s v="Relieved"/>
    <s v="Involuntary"/>
    <x v="9"/>
    <n v="338"/>
    <n v="1"/>
    <s v="05-2025"/>
    <s v="04-2026"/>
    <n v="0"/>
    <n v="1"/>
  </r>
  <r>
    <s v="EMP1645"/>
    <s v="Exploring Infinities - Sales"/>
    <s v="SALES"/>
    <s v="Sales - English - India"/>
    <s v="Director 2"/>
    <s v="Hyderabad"/>
    <s v="WFH"/>
    <d v="2026-04-28T00:00:00"/>
    <d v="2026-04-28T00:00:00"/>
    <s v="Relieved"/>
    <s v="Voluntary"/>
    <x v="8"/>
    <n v="0"/>
    <n v="1"/>
    <s v="04-2026"/>
    <s v="04-2026"/>
    <n v="1"/>
    <n v="0"/>
  </r>
  <r>
    <s v="EMP1618"/>
    <s v="Exploring Infinities - Sales"/>
    <s v="SALES"/>
    <s v="Sales - English - India"/>
    <s v="Director 2"/>
    <s v="Hyderabad"/>
    <s v="WFH"/>
    <d v="2025-08-28T00:00:00"/>
    <d v="2026-04-21T00:00:00"/>
    <s v="Relieved"/>
    <s v="Voluntary"/>
    <x v="8"/>
    <n v="236"/>
    <n v="1"/>
    <s v="08-2025"/>
    <s v="04-2026"/>
    <n v="1"/>
    <n v="0"/>
  </r>
  <r>
    <s v="EMP1637"/>
    <s v="Exploring Infinities - Sales"/>
    <s v="SALES"/>
    <s v="Sales - English - India"/>
    <s v="Director 2"/>
    <s v="Hyderabad"/>
    <s v="WFH"/>
    <d v="2026-03-28T00:00:00"/>
    <m/>
    <s v="Active"/>
    <m/>
    <x v="2"/>
    <n v="94"/>
    <n v="0"/>
    <s v="03-2026"/>
    <s v=""/>
    <n v="0"/>
    <n v="0"/>
  </r>
  <r>
    <s v="EMP1707"/>
    <s v="Exploring Infinities - Sales"/>
    <s v="SALES"/>
    <s v="Sales - English - India"/>
    <s v="Director 2"/>
    <s v="Hyderabad"/>
    <s v="WFH"/>
    <d v="2026-05-28T00:00:00"/>
    <d v="2026-05-28T00:00:00"/>
    <s v="Relieved"/>
    <s v="Voluntary"/>
    <x v="0"/>
    <n v="0"/>
    <n v="1"/>
    <s v="05-2026"/>
    <s v="05-2026"/>
    <n v="1"/>
    <n v="0"/>
  </r>
  <r>
    <s v="EMP1649"/>
    <s v="Exploring Infinities - Sales"/>
    <s v="SALES"/>
    <s v="Sales - English - India"/>
    <s v="Director 2"/>
    <s v="Hyderabad"/>
    <s v="WFH"/>
    <d v="2026-04-29T00:00:00"/>
    <m/>
    <s v="Active"/>
    <m/>
    <x v="2"/>
    <n v="62"/>
    <n v="0"/>
    <s v="04-2026"/>
    <s v=""/>
    <n v="0"/>
    <n v="0"/>
  </r>
  <r>
    <s v="EMP1704"/>
    <s v="Exploring Infinities - Sales"/>
    <s v="SALES"/>
    <s v="Sales - English - India"/>
    <s v="Director 2"/>
    <s v="Hyderabad"/>
    <s v="WFH"/>
    <d v="2026-04-29T00:00:00"/>
    <m/>
    <s v="Active"/>
    <m/>
    <x v="2"/>
    <n v="62"/>
    <n v="0"/>
    <s v="04-2026"/>
    <s v=""/>
    <n v="0"/>
    <n v="0"/>
  </r>
  <r>
    <s v="EMP1641"/>
    <s v="Exploring Infinities - Sales"/>
    <s v="SALES"/>
    <s v="Sales - English - India"/>
    <s v="Director 2"/>
    <s v="Hyderabad"/>
    <s v="WFH"/>
    <d v="2025-08-29T00:00:00"/>
    <d v="2026-05-25T00:00:00"/>
    <s v="Relieved"/>
    <s v="Involuntary"/>
    <x v="1"/>
    <n v="269"/>
    <n v="1"/>
    <s v="08-2025"/>
    <s v="05-2026"/>
    <n v="0"/>
    <n v="1"/>
  </r>
  <r>
    <s v="EMP1715"/>
    <s v="Exploring Infinities - Sales"/>
    <s v="SALES"/>
    <s v="Sales - English - India"/>
    <s v="Director 2"/>
    <s v="Hyderabad"/>
    <s v="WFH"/>
    <d v="2026-06-29T00:00:00"/>
    <d v="2026-06-29T00:00:00"/>
    <s v="Relieved"/>
    <s v="Voluntary"/>
    <x v="10"/>
    <n v="0"/>
    <n v="1"/>
    <s v="06-2026"/>
    <s v="06-2026"/>
    <n v="1"/>
    <n v="0"/>
  </r>
  <r>
    <s v="EMP1631"/>
    <s v="Exploring Infinities - Sales"/>
    <s v="SALES"/>
    <s v="Sales - English - India"/>
    <s v="Director 2"/>
    <s v="Hyderabad"/>
    <s v="WFH"/>
    <d v="2025-06-30T00:00:00"/>
    <d v="2026-04-30T00:00:00"/>
    <s v="Relieved"/>
    <s v="Voluntary"/>
    <x v="10"/>
    <n v="304"/>
    <n v="1"/>
    <s v="06-2025"/>
    <s v="04-2026"/>
    <n v="1"/>
    <n v="0"/>
  </r>
  <r>
    <s v="EMP1714"/>
    <s v="Exploring Infinities - Sales"/>
    <s v="SALES"/>
    <s v="Sales - English - India"/>
    <s v="Director 2"/>
    <s v="Hyderabad"/>
    <s v="WFH"/>
    <d v="2026-06-30T00:00:00"/>
    <d v="2026-06-30T00:00:00"/>
    <s v="Relieved"/>
    <s v="Voluntary"/>
    <x v="8"/>
    <n v="0"/>
    <n v="1"/>
    <s v="06-2026"/>
    <s v="06-2026"/>
    <n v="1"/>
    <n v="0"/>
  </r>
  <r>
    <s v="EMP1601"/>
    <s v="Exploring Infinities - Sales"/>
    <s v="SALES"/>
    <s v="Sales - English - India"/>
    <s v="Director 2"/>
    <s v="Hyderabad"/>
    <s v="WFO"/>
    <d v="2026-04-02T00:00:00"/>
    <d v="2026-04-15T00:00:00"/>
    <s v="Relieved"/>
    <s v="Voluntary"/>
    <x v="8"/>
    <n v="13"/>
    <n v="1"/>
    <s v="04-2026"/>
    <s v="04-2026"/>
    <n v="1"/>
    <n v="0"/>
  </r>
  <r>
    <s v="EMP1554"/>
    <s v="Exploring Infinities - Sales"/>
    <s v="SALES"/>
    <s v="Sales - English - India"/>
    <s v="Director 2"/>
    <s v="Hyderabad"/>
    <s v="WFO"/>
    <d v="2025-12-02T00:00:00"/>
    <m/>
    <s v="Active"/>
    <m/>
    <x v="2"/>
    <n v="210"/>
    <n v="0"/>
    <s v="12-2025"/>
    <s v=""/>
    <n v="0"/>
    <n v="0"/>
  </r>
  <r>
    <s v="EMP1549"/>
    <s v="Exploring Infinities - Sales"/>
    <s v="SALES"/>
    <s v="Sales - English - India"/>
    <s v="Director 2"/>
    <s v="Hyderabad"/>
    <s v="WFO"/>
    <d v="2025-07-02T00:00:00"/>
    <d v="2026-05-08T00:00:00"/>
    <s v="Relieved"/>
    <s v="Voluntary"/>
    <x v="0"/>
    <n v="310"/>
    <n v="1"/>
    <s v="07-2025"/>
    <s v="05-2026"/>
    <n v="1"/>
    <n v="0"/>
  </r>
  <r>
    <s v="EMP1582"/>
    <s v="Exploring Infinities - Sales"/>
    <s v="SALES"/>
    <s v="Sales - English - India"/>
    <s v="Director 2"/>
    <s v="Hyderabad"/>
    <s v="WFO"/>
    <d v="2025-04-03T00:00:00"/>
    <d v="2026-05-27T00:00:00"/>
    <s v="Relieved"/>
    <s v="Involuntary"/>
    <x v="9"/>
    <n v="419"/>
    <n v="1"/>
    <s v="04-2025"/>
    <s v="05-2026"/>
    <n v="0"/>
    <n v="1"/>
  </r>
  <r>
    <s v="EMP1587"/>
    <s v="Exploring Infinities - Sales"/>
    <s v="SALES"/>
    <s v="Sales - English - India"/>
    <s v="Director 2"/>
    <s v="Hyderabad"/>
    <s v="WFO"/>
    <d v="2026-04-03T00:00:00"/>
    <d v="2026-05-30T00:00:00"/>
    <s v="Relieved"/>
    <s v="Voluntary"/>
    <x v="3"/>
    <n v="57"/>
    <n v="1"/>
    <s v="04-2026"/>
    <s v="05-2026"/>
    <n v="1"/>
    <n v="0"/>
  </r>
  <r>
    <s v="EMP1586"/>
    <s v="Exploring Infinities - Sales"/>
    <s v="SALES"/>
    <s v="Sales - English - India"/>
    <s v="Director 2"/>
    <s v="Hyderabad"/>
    <s v="WFO"/>
    <d v="2026-04-04T00:00:00"/>
    <m/>
    <s v="Active"/>
    <m/>
    <x v="2"/>
    <n v="87"/>
    <n v="0"/>
    <s v="04-2026"/>
    <s v=""/>
    <n v="0"/>
    <n v="0"/>
  </r>
  <r>
    <s v="EMP1551"/>
    <s v="Exploring Infinities - Sales"/>
    <s v="SALES"/>
    <s v="Sales - English - India"/>
    <s v="Director 2"/>
    <s v="Hyderabad"/>
    <s v="WFO"/>
    <d v="2026-02-04T00:00:00"/>
    <m/>
    <s v="Active"/>
    <m/>
    <x v="2"/>
    <n v="146"/>
    <n v="0"/>
    <s v="02-2026"/>
    <s v=""/>
    <n v="0"/>
    <n v="0"/>
  </r>
  <r>
    <s v="EMP1557"/>
    <s v="Exploring Infinities - Sales"/>
    <s v="SALES"/>
    <s v="Sales - English - India"/>
    <s v="Director 2"/>
    <s v="Hyderabad"/>
    <s v="WFO"/>
    <d v="2025-03-05T00:00:00"/>
    <d v="2026-05-10T00:00:00"/>
    <s v="Relieved"/>
    <s v="Involuntary"/>
    <x v="6"/>
    <n v="431"/>
    <n v="1"/>
    <s v="03-2025"/>
    <s v="05-2026"/>
    <n v="0"/>
    <n v="1"/>
  </r>
  <r>
    <s v="EMP1580"/>
    <s v="Exploring Infinities - Sales"/>
    <s v="SALES"/>
    <s v="Sales - English - India"/>
    <s v="Director 2"/>
    <s v="Hyderabad"/>
    <s v="WFO"/>
    <d v="2025-11-05T00:00:00"/>
    <m/>
    <s v="Active"/>
    <m/>
    <x v="2"/>
    <n v="237"/>
    <n v="0"/>
    <s v="11-2025"/>
    <s v=""/>
    <n v="0"/>
    <n v="0"/>
  </r>
  <r>
    <s v="EMP1566"/>
    <s v="Exploring Infinities - Sales"/>
    <s v="SALES"/>
    <s v="Sales - English - India"/>
    <s v="Director 2"/>
    <s v="Hyderabad"/>
    <s v="WFO"/>
    <d v="2025-04-06T00:00:00"/>
    <d v="2026-05-20T00:00:00"/>
    <s v="Relieved"/>
    <s v="Involuntary"/>
    <x v="9"/>
    <n v="409"/>
    <n v="1"/>
    <s v="04-2025"/>
    <s v="05-2026"/>
    <n v="0"/>
    <n v="1"/>
  </r>
  <r>
    <s v="EMP1596"/>
    <s v="Exploring Infinities - Sales"/>
    <s v="SALES"/>
    <s v="Sales - English - India"/>
    <s v="Director 2"/>
    <s v="Hyderabad"/>
    <s v="WFO"/>
    <d v="2026-04-06T00:00:00"/>
    <d v="2026-05-29T00:00:00"/>
    <s v="Relieved"/>
    <s v="Voluntary"/>
    <x v="0"/>
    <n v="53"/>
    <n v="1"/>
    <s v="04-2026"/>
    <s v="05-2026"/>
    <n v="1"/>
    <n v="0"/>
  </r>
  <r>
    <s v="EMP1577"/>
    <s v="Exploring Infinities - Sales"/>
    <s v="SALES"/>
    <s v="Sales - English - India"/>
    <s v="Director 2"/>
    <s v="Hyderabad"/>
    <s v="WFO"/>
    <d v="2025-08-06T00:00:00"/>
    <m/>
    <s v="Active"/>
    <m/>
    <x v="2"/>
    <n v="328"/>
    <n v="0"/>
    <s v="08-2025"/>
    <s v=""/>
    <n v="0"/>
    <n v="0"/>
  </r>
  <r>
    <s v="EMP1547"/>
    <s v="Exploring Infinities - Sales"/>
    <s v="SALES"/>
    <s v="Sales - English - India"/>
    <s v="Director 2"/>
    <s v="Hyderabad"/>
    <s v="WFO"/>
    <d v="2025-04-08T00:00:00"/>
    <m/>
    <s v="Active"/>
    <m/>
    <x v="2"/>
    <n v="448"/>
    <n v="0"/>
    <s v="04-2025"/>
    <s v=""/>
    <n v="0"/>
    <n v="0"/>
  </r>
  <r>
    <s v="EMP1576"/>
    <s v="Exploring Infinities - Sales"/>
    <s v="SALES"/>
    <s v="Sales - English - India"/>
    <s v="Director 2"/>
    <s v="Hyderabad"/>
    <s v="WFO"/>
    <d v="2026-01-08T00:00:00"/>
    <d v="2026-04-23T00:00:00"/>
    <s v="Relieved"/>
    <s v="Involuntary"/>
    <x v="9"/>
    <n v="105"/>
    <n v="1"/>
    <s v="01-2026"/>
    <s v="04-2026"/>
    <n v="0"/>
    <n v="1"/>
  </r>
  <r>
    <s v="EMP1559"/>
    <s v="Exploring Infinities - Sales"/>
    <s v="SALES"/>
    <s v="Sales - English - India"/>
    <s v="Director 2"/>
    <s v="Hyderabad"/>
    <s v="WFO"/>
    <d v="2025-07-08T00:00:00"/>
    <m/>
    <s v="Active"/>
    <m/>
    <x v="2"/>
    <n v="357"/>
    <n v="0"/>
    <s v="07-2025"/>
    <s v=""/>
    <n v="0"/>
    <n v="0"/>
  </r>
  <r>
    <s v="EMP1570"/>
    <s v="Exploring Infinities - Sales"/>
    <s v="SALES"/>
    <s v="Sales - English - India"/>
    <s v="Director 2"/>
    <s v="Hyderabad"/>
    <s v="WFO"/>
    <d v="2025-07-08T00:00:00"/>
    <d v="2026-05-20T00:00:00"/>
    <s v="Relieved"/>
    <s v="Involuntary"/>
    <x v="9"/>
    <n v="316"/>
    <n v="1"/>
    <s v="07-2025"/>
    <s v="05-2026"/>
    <n v="0"/>
    <n v="1"/>
  </r>
  <r>
    <s v="EMP1579"/>
    <s v="Exploring Infinities - Sales"/>
    <s v="SALES"/>
    <s v="Sales - English - India"/>
    <s v="Director 2"/>
    <s v="Hyderabad"/>
    <s v="WFO"/>
    <d v="2025-08-09T00:00:00"/>
    <m/>
    <s v="Active"/>
    <m/>
    <x v="2"/>
    <n v="325"/>
    <n v="0"/>
    <s v="08-2025"/>
    <s v=""/>
    <n v="0"/>
    <n v="0"/>
  </r>
  <r>
    <s v="EMP1584"/>
    <s v="Exploring Infinities - Sales"/>
    <s v="SALES"/>
    <s v="Sales - English - India"/>
    <s v="Director 2"/>
    <s v="Hyderabad"/>
    <s v="WFO"/>
    <d v="2026-04-10T00:00:00"/>
    <m/>
    <s v="Active"/>
    <m/>
    <x v="2"/>
    <n v="81"/>
    <n v="0"/>
    <s v="04-2026"/>
    <s v=""/>
    <n v="0"/>
    <n v="0"/>
  </r>
  <r>
    <s v="EMP1590"/>
    <s v="Exploring Infinities - Sales"/>
    <s v="SALES"/>
    <s v="Sales - English - India"/>
    <s v="Director 2"/>
    <s v="Hyderabad"/>
    <s v="WFO"/>
    <d v="2026-04-10T00:00:00"/>
    <m/>
    <s v="Active"/>
    <m/>
    <x v="2"/>
    <n v="81"/>
    <n v="0"/>
    <s v="04-2026"/>
    <s v=""/>
    <n v="0"/>
    <n v="0"/>
  </r>
  <r>
    <s v="EMP1591"/>
    <s v="Exploring Infinities - Sales"/>
    <s v="SALES"/>
    <s v="Sales - English - India"/>
    <s v="Director 2"/>
    <s v="Hyderabad"/>
    <s v="WFO"/>
    <d v="2026-04-10T00:00:00"/>
    <d v="2026-04-15T00:00:00"/>
    <s v="Relieved"/>
    <s v="Voluntary"/>
    <x v="5"/>
    <n v="5"/>
    <n v="1"/>
    <s v="04-2026"/>
    <s v="04-2026"/>
    <n v="1"/>
    <n v="0"/>
  </r>
  <r>
    <s v="EMP1578"/>
    <s v="Exploring Infinities - Sales"/>
    <s v="SALES"/>
    <s v="Sales - English - India"/>
    <s v="Director 2"/>
    <s v="Hyderabad"/>
    <s v="WFO"/>
    <d v="2025-02-10T00:00:00"/>
    <d v="2026-05-17T00:00:00"/>
    <s v="Relieved"/>
    <s v="Involuntary"/>
    <x v="1"/>
    <n v="461"/>
    <n v="1"/>
    <s v="02-2025"/>
    <s v="05-2026"/>
    <n v="0"/>
    <n v="1"/>
  </r>
  <r>
    <s v="EMP1543"/>
    <s v="Exploring Infinities - Sales"/>
    <s v="SALES"/>
    <s v="Sales - English - India"/>
    <s v="Director 2"/>
    <s v="Hyderabad"/>
    <s v="WFO"/>
    <d v="2025-05-10T00:00:00"/>
    <d v="2026-05-28T00:00:00"/>
    <s v="Relieved"/>
    <s v="Voluntary"/>
    <x v="8"/>
    <n v="383"/>
    <n v="1"/>
    <s v="05-2025"/>
    <s v="05-2026"/>
    <n v="1"/>
    <n v="0"/>
  </r>
  <r>
    <s v="EMP1606"/>
    <s v="Exploring Infinities - Sales"/>
    <s v="SALES"/>
    <s v="Sales - English - India"/>
    <s v="Director 2"/>
    <s v="Hyderabad"/>
    <s v="WFO"/>
    <d v="2026-05-10T00:00:00"/>
    <d v="2026-05-10T00:00:00"/>
    <s v="Relieved"/>
    <s v="Voluntary"/>
    <x v="0"/>
    <n v="0"/>
    <n v="1"/>
    <s v="05-2026"/>
    <s v="05-2026"/>
    <n v="1"/>
    <n v="0"/>
  </r>
  <r>
    <s v="EMP1585"/>
    <s v="Exploring Infinities - Sales"/>
    <s v="SALES"/>
    <s v="Sales - English - India"/>
    <s v="Director 2"/>
    <s v="Hyderabad"/>
    <s v="WFO"/>
    <d v="2026-04-11T00:00:00"/>
    <m/>
    <s v="Active"/>
    <m/>
    <x v="2"/>
    <n v="80"/>
    <n v="0"/>
    <s v="04-2026"/>
    <s v=""/>
    <n v="0"/>
    <n v="0"/>
  </r>
  <r>
    <s v="EMP1588"/>
    <s v="Exploring Infinities - Sales"/>
    <s v="SALES"/>
    <s v="Sales - English - India"/>
    <s v="Director 2"/>
    <s v="Hyderabad"/>
    <s v="WFO"/>
    <d v="2026-04-11T00:00:00"/>
    <m/>
    <s v="Active"/>
    <m/>
    <x v="2"/>
    <n v="80"/>
    <n v="0"/>
    <s v="04-2026"/>
    <s v=""/>
    <n v="0"/>
    <n v="0"/>
  </r>
  <r>
    <s v="EMP1599"/>
    <s v="Exploring Infinities - Sales"/>
    <s v="SALES"/>
    <s v="Sales - English - India"/>
    <s v="Director 2"/>
    <s v="Hyderabad"/>
    <s v="WFO"/>
    <d v="2026-04-12T00:00:00"/>
    <d v="2026-05-16T00:00:00"/>
    <s v="Relieved"/>
    <s v="Involuntary"/>
    <x v="7"/>
    <n v="34"/>
    <n v="1"/>
    <s v="04-2026"/>
    <s v="05-2026"/>
    <n v="0"/>
    <n v="1"/>
  </r>
  <r>
    <s v="EMP1560"/>
    <s v="Exploring Infinities - Sales"/>
    <s v="SALES"/>
    <s v="Sales - English - India"/>
    <s v="Director 2"/>
    <s v="Hyderabad"/>
    <s v="WFO"/>
    <d v="2025-08-12T00:00:00"/>
    <d v="2026-05-03T00:00:00"/>
    <s v="Relieved"/>
    <s v="Involuntary"/>
    <x v="9"/>
    <n v="264"/>
    <n v="1"/>
    <s v="08-2025"/>
    <s v="05-2026"/>
    <n v="0"/>
    <n v="1"/>
  </r>
  <r>
    <s v="EMP1575"/>
    <s v="Exploring Infinities - Sales"/>
    <s v="SALES"/>
    <s v="Sales - English - India"/>
    <s v="Director 2"/>
    <s v="Hyderabad"/>
    <s v="WFO"/>
    <d v="2025-02-12T00:00:00"/>
    <d v="2026-05-03T00:00:00"/>
    <s v="Relieved"/>
    <s v="Involuntary"/>
    <x v="9"/>
    <n v="445"/>
    <n v="1"/>
    <s v="02-2025"/>
    <s v="05-2026"/>
    <n v="0"/>
    <n v="1"/>
  </r>
  <r>
    <s v="EMP1567"/>
    <s v="Exploring Infinities - Sales"/>
    <s v="SALES"/>
    <s v="Sales - English - India"/>
    <s v="Director 2"/>
    <s v="Hyderabad"/>
    <s v="WFO"/>
    <d v="2025-09-12T00:00:00"/>
    <m/>
    <s v="Active"/>
    <m/>
    <x v="2"/>
    <n v="291"/>
    <n v="0"/>
    <s v="09-2025"/>
    <s v=""/>
    <n v="0"/>
    <n v="0"/>
  </r>
  <r>
    <s v="EMP1569"/>
    <s v="Exploring Infinities - Sales"/>
    <s v="SALES"/>
    <s v="Sales - English - India"/>
    <s v="Director 2"/>
    <s v="Hyderabad"/>
    <s v="WFO"/>
    <d v="2025-09-12T00:00:00"/>
    <d v="2026-05-26T00:00:00"/>
    <s v="Relieved"/>
    <s v="Involuntary"/>
    <x v="6"/>
    <n v="256"/>
    <n v="1"/>
    <s v="09-2025"/>
    <s v="05-2026"/>
    <n v="0"/>
    <n v="1"/>
  </r>
  <r>
    <s v="EMP1571"/>
    <s v="Exploring Infinities - Sales"/>
    <s v="SALES"/>
    <s v="Sales - English - India"/>
    <s v="Director 2"/>
    <s v="Hyderabad"/>
    <s v="WFO"/>
    <d v="2026-02-13T00:00:00"/>
    <d v="2026-05-05T00:00:00"/>
    <s v="Relieved"/>
    <s v="Involuntary"/>
    <x v="7"/>
    <n v="81"/>
    <n v="1"/>
    <s v="02-2026"/>
    <s v="05-2026"/>
    <n v="0"/>
    <n v="1"/>
  </r>
  <r>
    <s v="EMP1595"/>
    <s v="Exploring Infinities - Sales"/>
    <s v="SALES"/>
    <s v="Sales - English - India"/>
    <s v="Director 2"/>
    <s v="Hyderabad"/>
    <s v="WFO"/>
    <d v="2026-04-14T00:00:00"/>
    <m/>
    <s v="Active"/>
    <m/>
    <x v="2"/>
    <n v="77"/>
    <n v="0"/>
    <s v="04-2026"/>
    <s v=""/>
    <n v="0"/>
    <n v="0"/>
  </r>
  <r>
    <s v="EMP1563"/>
    <s v="Exploring Infinities - Sales"/>
    <s v="SALES"/>
    <s v="Sales - English - India"/>
    <s v="Director 2"/>
    <s v="Hyderabad"/>
    <s v="WFO"/>
    <d v="2025-08-14T00:00:00"/>
    <d v="2026-05-19T00:00:00"/>
    <s v="Relieved"/>
    <s v="Involuntary"/>
    <x v="1"/>
    <n v="278"/>
    <n v="1"/>
    <s v="08-2025"/>
    <s v="05-2026"/>
    <n v="0"/>
    <n v="1"/>
  </r>
  <r>
    <s v="EMP1558"/>
    <s v="Exploring Infinities - Sales"/>
    <s v="SALES"/>
    <s v="Sales - English - India"/>
    <s v="Director 2"/>
    <s v="Hyderabad"/>
    <s v="WFO"/>
    <d v="2026-02-14T00:00:00"/>
    <m/>
    <s v="Active"/>
    <m/>
    <x v="2"/>
    <n v="136"/>
    <n v="0"/>
    <s v="02-2026"/>
    <s v=""/>
    <n v="0"/>
    <n v="0"/>
  </r>
  <r>
    <s v="EMP1607"/>
    <s v="Exploring Infinities - Sales"/>
    <s v="SALES"/>
    <s v="Sales - English - India"/>
    <s v="Director 2"/>
    <s v="Hyderabad"/>
    <s v="WFO"/>
    <d v="2026-06-14T00:00:00"/>
    <m/>
    <s v="Active"/>
    <m/>
    <x v="2"/>
    <n v="16"/>
    <n v="0"/>
    <s v="06-2026"/>
    <s v=""/>
    <n v="0"/>
    <n v="0"/>
  </r>
  <r>
    <s v="EMP1592"/>
    <s v="Exploring Infinities - Sales"/>
    <s v="SALES"/>
    <s v="Sales - English - India"/>
    <s v="Director 2"/>
    <s v="Hyderabad"/>
    <s v="WFO"/>
    <d v="2026-04-15T00:00:00"/>
    <d v="2026-04-29T00:00:00"/>
    <s v="Relieved"/>
    <s v="Voluntary"/>
    <x v="3"/>
    <n v="14"/>
    <n v="1"/>
    <s v="04-2026"/>
    <s v="04-2026"/>
    <n v="1"/>
    <n v="0"/>
  </r>
  <r>
    <s v="EMP1598"/>
    <s v="Exploring Infinities - Sales"/>
    <s v="SALES"/>
    <s v="Sales - English - India"/>
    <s v="Director 2"/>
    <s v="Hyderabad"/>
    <s v="WFO"/>
    <d v="2026-04-15T00:00:00"/>
    <d v="2026-05-31T00:00:00"/>
    <s v="Relieved"/>
    <s v="Involuntary"/>
    <x v="7"/>
    <n v="46"/>
    <n v="1"/>
    <s v="04-2026"/>
    <s v="05-2026"/>
    <n v="0"/>
    <n v="1"/>
  </r>
  <r>
    <s v="EMP1600"/>
    <s v="Exploring Infinities - Sales"/>
    <s v="SALES"/>
    <s v="Sales - English - India"/>
    <s v="Director 2"/>
    <s v="Hyderabad"/>
    <s v="WFO"/>
    <d v="2026-04-15T00:00:00"/>
    <d v="2026-05-31T00:00:00"/>
    <s v="Relieved"/>
    <s v="Voluntary"/>
    <x v="4"/>
    <n v="46"/>
    <n v="1"/>
    <s v="04-2026"/>
    <s v="05-2026"/>
    <n v="1"/>
    <n v="0"/>
  </r>
  <r>
    <s v="EMP1574"/>
    <s v="Exploring Infinities - Sales"/>
    <s v="SALES"/>
    <s v="Sales - English - India"/>
    <s v="Director 2"/>
    <s v="Hyderabad"/>
    <s v="WFO"/>
    <d v="2026-02-15T00:00:00"/>
    <d v="2026-04-26T00:00:00"/>
    <s v="Relieved"/>
    <s v="Voluntary"/>
    <x v="3"/>
    <n v="70"/>
    <n v="1"/>
    <s v="02-2026"/>
    <s v="04-2026"/>
    <n v="1"/>
    <n v="0"/>
  </r>
  <r>
    <s v="EMP1562"/>
    <s v="Exploring Infinities - Sales"/>
    <s v="SALES"/>
    <s v="Sales - English - India"/>
    <s v="Director 2"/>
    <s v="Hyderabad"/>
    <s v="WFO"/>
    <d v="2026-01-16T00:00:00"/>
    <d v="2026-05-16T00:00:00"/>
    <s v="Relieved"/>
    <s v="Involuntary"/>
    <x v="1"/>
    <n v="120"/>
    <n v="1"/>
    <s v="01-2026"/>
    <s v="05-2026"/>
    <n v="0"/>
    <n v="1"/>
  </r>
  <r>
    <s v="EMP1564"/>
    <s v="Exploring Infinities - Sales"/>
    <s v="SALES"/>
    <s v="Sales - English - India"/>
    <s v="Director 2"/>
    <s v="Hyderabad"/>
    <s v="WFO"/>
    <d v="2025-07-17T00:00:00"/>
    <d v="2026-04-28T00:00:00"/>
    <s v="Relieved"/>
    <s v="Voluntary"/>
    <x v="0"/>
    <n v="285"/>
    <n v="1"/>
    <s v="07-2025"/>
    <s v="04-2026"/>
    <n v="1"/>
    <n v="0"/>
  </r>
  <r>
    <s v="EMP1573"/>
    <s v="Exploring Infinities - Sales"/>
    <s v="SALES"/>
    <s v="Sales - English - India"/>
    <s v="Director 2"/>
    <s v="Hyderabad"/>
    <s v="WFO"/>
    <d v="2025-05-17T00:00:00"/>
    <d v="2026-05-27T00:00:00"/>
    <s v="Relieved"/>
    <s v="Involuntary"/>
    <x v="9"/>
    <n v="375"/>
    <n v="1"/>
    <s v="05-2025"/>
    <s v="05-2026"/>
    <n v="0"/>
    <n v="1"/>
  </r>
  <r>
    <s v="EMP1583"/>
    <s v="Exploring Infinities - Sales"/>
    <s v="SALES"/>
    <s v="Sales - English - India"/>
    <s v="Director 2"/>
    <s v="Hyderabad"/>
    <s v="WFO"/>
    <d v="2026-04-18T00:00:00"/>
    <m/>
    <s v="Active"/>
    <m/>
    <x v="2"/>
    <n v="73"/>
    <n v="0"/>
    <s v="04-2026"/>
    <s v=""/>
    <n v="0"/>
    <n v="0"/>
  </r>
  <r>
    <s v="EMP1550"/>
    <s v="Exploring Infinities - Sales"/>
    <s v="SALES"/>
    <s v="Sales - English - India"/>
    <s v="Director 2"/>
    <s v="Hyderabad"/>
    <s v="WFO"/>
    <d v="2026-03-18T00:00:00"/>
    <m/>
    <s v="Active"/>
    <m/>
    <x v="2"/>
    <n v="104"/>
    <n v="0"/>
    <s v="03-2026"/>
    <s v=""/>
    <n v="0"/>
    <n v="0"/>
  </r>
  <r>
    <s v="EMP1544"/>
    <s v="Exploring Infinities - Sales"/>
    <s v="SALES"/>
    <s v="Sales - English - India"/>
    <s v="Director 2"/>
    <s v="Hyderabad"/>
    <s v="WFO"/>
    <d v="2025-01-19T00:00:00"/>
    <m/>
    <s v="Active"/>
    <m/>
    <x v="2"/>
    <n v="527"/>
    <n v="0"/>
    <s v="01-2025"/>
    <s v=""/>
    <n v="0"/>
    <n v="0"/>
  </r>
  <r>
    <s v="EMP1555"/>
    <s v="Exploring Infinities - Sales"/>
    <s v="SALES"/>
    <s v="Sales - English - India"/>
    <s v="Director 2"/>
    <s v="Hyderabad"/>
    <s v="WFO"/>
    <d v="2025-06-19T00:00:00"/>
    <m/>
    <s v="Active"/>
    <m/>
    <x v="2"/>
    <n v="376"/>
    <n v="0"/>
    <s v="06-2025"/>
    <s v=""/>
    <n v="0"/>
    <n v="0"/>
  </r>
  <r>
    <s v="EMP1593"/>
    <s v="Exploring Infinities - Sales"/>
    <s v="SALES"/>
    <s v="Sales - English - India"/>
    <s v="Director 2"/>
    <s v="Hyderabad"/>
    <s v="WFO"/>
    <d v="2026-04-20T00:00:00"/>
    <m/>
    <s v="Active"/>
    <m/>
    <x v="2"/>
    <n v="71"/>
    <n v="0"/>
    <s v="04-2026"/>
    <s v=""/>
    <n v="0"/>
    <n v="0"/>
  </r>
  <r>
    <s v="EMP1553"/>
    <s v="Exploring Infinities - Sales"/>
    <s v="SALES"/>
    <s v="Sales - English - India"/>
    <s v="Director 2"/>
    <s v="Hyderabad"/>
    <s v="WFO"/>
    <d v="2026-03-20T00:00:00"/>
    <m/>
    <s v="Active"/>
    <m/>
    <x v="2"/>
    <n v="102"/>
    <n v="0"/>
    <s v="03-2026"/>
    <s v=""/>
    <n v="0"/>
    <n v="0"/>
  </r>
  <r>
    <s v="EMP1556"/>
    <s v="Exploring Infinities - Sales"/>
    <s v="SALES"/>
    <s v="Sales - English - India"/>
    <s v="Director 2"/>
    <s v="Hyderabad"/>
    <s v="WFO"/>
    <d v="2025-05-20T00:00:00"/>
    <d v="2026-04-18T00:00:00"/>
    <s v="Relieved"/>
    <s v="Involuntary"/>
    <x v="7"/>
    <n v="333"/>
    <n v="1"/>
    <s v="05-2025"/>
    <s v="04-2026"/>
    <n v="0"/>
    <n v="1"/>
  </r>
  <r>
    <s v="EMP1568"/>
    <s v="Exploring Infinities - Sales"/>
    <s v="SALES"/>
    <s v="Sales - English - India"/>
    <s v="Director 2"/>
    <s v="Hyderabad"/>
    <s v="WFO"/>
    <d v="2025-12-21T00:00:00"/>
    <m/>
    <s v="Active"/>
    <m/>
    <x v="2"/>
    <n v="191"/>
    <n v="0"/>
    <s v="12-2025"/>
    <s v=""/>
    <n v="0"/>
    <n v="0"/>
  </r>
  <r>
    <s v="EMP1545"/>
    <s v="Exploring Infinities - Sales"/>
    <s v="SALES"/>
    <s v="Sales - English - India"/>
    <s v="Director 2"/>
    <s v="Hyderabad"/>
    <s v="WFO"/>
    <d v="2026-01-21T00:00:00"/>
    <d v="2026-05-21T00:00:00"/>
    <s v="Relieved"/>
    <s v="Involuntary"/>
    <x v="7"/>
    <n v="120"/>
    <n v="1"/>
    <s v="01-2026"/>
    <s v="05-2026"/>
    <n v="0"/>
    <n v="1"/>
  </r>
  <r>
    <s v="EMP1589"/>
    <s v="Exploring Infinities - Sales"/>
    <s v="SALES"/>
    <s v="Sales - English - India"/>
    <s v="Director 2"/>
    <s v="Hyderabad"/>
    <s v="WFO"/>
    <d v="2026-04-22T00:00:00"/>
    <d v="2026-05-06T00:00:00"/>
    <s v="Relieved"/>
    <s v="Involuntary"/>
    <x v="6"/>
    <n v="14"/>
    <n v="1"/>
    <s v="04-2026"/>
    <s v="05-2026"/>
    <n v="0"/>
    <n v="1"/>
  </r>
  <r>
    <s v="EMP1594"/>
    <s v="Exploring Infinities - Sales"/>
    <s v="SALES"/>
    <s v="Sales - English - India"/>
    <s v="Director 2"/>
    <s v="Hyderabad"/>
    <s v="WFO"/>
    <d v="2026-04-23T00:00:00"/>
    <m/>
    <s v="Active"/>
    <m/>
    <x v="2"/>
    <n v="68"/>
    <n v="0"/>
    <s v="04-2026"/>
    <s v=""/>
    <n v="0"/>
    <n v="0"/>
  </r>
  <r>
    <s v="EMP1597"/>
    <s v="Exploring Infinities - Sales"/>
    <s v="SALES"/>
    <s v="Sales - English - India"/>
    <s v="Director 2"/>
    <s v="Hyderabad"/>
    <s v="WFO"/>
    <d v="2026-04-23T00:00:00"/>
    <m/>
    <s v="Active"/>
    <m/>
    <x v="2"/>
    <n v="68"/>
    <n v="0"/>
    <s v="04-2026"/>
    <s v=""/>
    <n v="0"/>
    <n v="0"/>
  </r>
  <r>
    <s v="EMP1565"/>
    <s v="Exploring Infinities - Sales"/>
    <s v="SALES"/>
    <s v="Sales - English - India"/>
    <s v="Director 2"/>
    <s v="Hyderabad"/>
    <s v="WFO"/>
    <d v="2025-06-23T00:00:00"/>
    <d v="2026-05-09T00:00:00"/>
    <s v="Relieved"/>
    <s v="Involuntary"/>
    <x v="1"/>
    <n v="320"/>
    <n v="1"/>
    <s v="06-2025"/>
    <s v="05-2026"/>
    <n v="0"/>
    <n v="1"/>
  </r>
  <r>
    <s v="EMP1572"/>
    <s v="Exploring Infinities - Sales"/>
    <s v="SALES"/>
    <s v="Sales - English - India"/>
    <s v="Director 2"/>
    <s v="Hyderabad"/>
    <s v="WFO"/>
    <d v="2025-09-23T00:00:00"/>
    <d v="2026-04-22T00:00:00"/>
    <s v="Relieved"/>
    <s v="Voluntary"/>
    <x v="0"/>
    <n v="211"/>
    <n v="1"/>
    <s v="09-2025"/>
    <s v="04-2026"/>
    <n v="1"/>
    <n v="0"/>
  </r>
  <r>
    <s v="EMP1602"/>
    <s v="Exploring Infinities - Sales"/>
    <s v="SALES"/>
    <s v="Sales - English - India"/>
    <s v="Director 2"/>
    <s v="Hyderabad"/>
    <s v="WFO"/>
    <d v="2026-04-24T00:00:00"/>
    <d v="2026-05-25T00:00:00"/>
    <s v="Relieved"/>
    <s v="Involuntary"/>
    <x v="6"/>
    <n v="31"/>
    <n v="1"/>
    <s v="04-2026"/>
    <s v="05-2026"/>
    <n v="0"/>
    <n v="1"/>
  </r>
  <r>
    <s v="EMP1561"/>
    <s v="Exploring Infinities - Sales"/>
    <s v="SALES"/>
    <s v="Sales - English - India"/>
    <s v="Director 2"/>
    <s v="Hyderabad"/>
    <s v="WFO"/>
    <d v="2025-07-24T00:00:00"/>
    <d v="2026-05-21T00:00:00"/>
    <s v="Relieved"/>
    <s v="Involuntary"/>
    <x v="1"/>
    <n v="301"/>
    <n v="1"/>
    <s v="07-2025"/>
    <s v="05-2026"/>
    <n v="0"/>
    <n v="1"/>
  </r>
  <r>
    <s v="EMP1552"/>
    <s v="Exploring Infinities - Sales"/>
    <s v="SALES"/>
    <s v="Sales - English - India"/>
    <s v="Director 2"/>
    <s v="Hyderabad"/>
    <s v="WFO"/>
    <d v="2025-01-25T00:00:00"/>
    <m/>
    <s v="Active"/>
    <m/>
    <x v="2"/>
    <n v="521"/>
    <n v="0"/>
    <s v="01-2025"/>
    <s v=""/>
    <n v="0"/>
    <n v="0"/>
  </r>
  <r>
    <s v="EMP1581"/>
    <s v="Exploring Infinities - Sales"/>
    <s v="SALES"/>
    <s v="Sales - English - India"/>
    <s v="Director 2"/>
    <s v="Hyderabad"/>
    <s v="WFO"/>
    <d v="2026-02-26T00:00:00"/>
    <d v="2026-05-06T00:00:00"/>
    <s v="Relieved"/>
    <s v="Involuntary"/>
    <x v="7"/>
    <n v="69"/>
    <n v="1"/>
    <s v="02-2026"/>
    <s v="05-2026"/>
    <n v="0"/>
    <n v="1"/>
  </r>
  <r>
    <s v="EMP1548"/>
    <s v="Exploring Infinities - Sales"/>
    <s v="SALES"/>
    <s v="Sales - English - India"/>
    <s v="Director 2"/>
    <s v="Hyderabad"/>
    <s v="WFO"/>
    <d v="2025-05-27T00:00:00"/>
    <m/>
    <s v="Active"/>
    <m/>
    <x v="2"/>
    <n v="399"/>
    <n v="0"/>
    <s v="05-2025"/>
    <s v=""/>
    <n v="0"/>
    <n v="0"/>
  </r>
  <r>
    <s v="EMP1603"/>
    <s v="Exploring Infinities - Sales"/>
    <s v="SALES"/>
    <s v="Sales - English - India"/>
    <s v="Director 2"/>
    <s v="Hyderabad"/>
    <s v="WFO"/>
    <d v="2026-04-28T00:00:00"/>
    <d v="2026-06-08T00:00:00"/>
    <s v="Relieved"/>
    <s v="Voluntary"/>
    <x v="5"/>
    <n v="41"/>
    <n v="1"/>
    <s v="04-2026"/>
    <s v="06-2026"/>
    <n v="1"/>
    <n v="0"/>
  </r>
  <r>
    <s v="EMP1546"/>
    <s v="Exploring Infinities - Sales"/>
    <s v="SALES"/>
    <s v="Sales - English - India"/>
    <s v="Director 2"/>
    <s v="Hyderabad"/>
    <s v="WFO"/>
    <d v="2025-11-28T00:00:00"/>
    <d v="2026-05-21T00:00:00"/>
    <s v="Relieved"/>
    <s v="Involuntary"/>
    <x v="7"/>
    <n v="174"/>
    <n v="1"/>
    <s v="11-2025"/>
    <s v="05-2026"/>
    <n v="0"/>
    <n v="1"/>
  </r>
  <r>
    <s v="EMP1605"/>
    <s v="Exploring Infinities - Sales"/>
    <s v="SALES"/>
    <s v="Sales - English - India"/>
    <s v="Director 2"/>
    <s v="Hyderabad"/>
    <s v="WFO"/>
    <d v="2026-05-29T00:00:00"/>
    <d v="2026-05-29T00:00:00"/>
    <s v="Relieved"/>
    <s v="Voluntary"/>
    <x v="5"/>
    <n v="0"/>
    <n v="1"/>
    <s v="05-2026"/>
    <s v="05-2026"/>
    <n v="1"/>
    <n v="0"/>
  </r>
  <r>
    <s v="EMP1604"/>
    <s v="Exploring Infinities - Sales"/>
    <s v="SALES"/>
    <s v="Sales - English - India"/>
    <s v="Director 2"/>
    <s v="Hyderabad"/>
    <s v="WFO"/>
    <d v="2026-04-30T00:00:00"/>
    <d v="2026-04-30T00:00:00"/>
    <s v="Relieved"/>
    <s v="Voluntary"/>
    <x v="8"/>
    <n v="0"/>
    <n v="1"/>
    <s v="04-2026"/>
    <s v="04-2026"/>
    <n v="1"/>
    <n v="0"/>
  </r>
  <r>
    <s v="EMP1184"/>
    <s v="Exploring Infinities - Sales"/>
    <s v="SALES"/>
    <s v="Sales - India"/>
    <s v="Director 1"/>
    <s v="Bengaluru"/>
    <s v="WFH"/>
    <d v="2025-04-01T00:00:00"/>
    <m/>
    <s v="Active"/>
    <m/>
    <x v="2"/>
    <n v="455"/>
    <n v="0"/>
    <s v="04-2025"/>
    <s v=""/>
    <n v="0"/>
    <n v="0"/>
  </r>
  <r>
    <s v="EMP1265"/>
    <s v="Exploring Infinities - Sales"/>
    <s v="SALES"/>
    <s v="Sales - India"/>
    <s v="Director 1"/>
    <s v="Bengaluru"/>
    <s v="WFH"/>
    <d v="2026-04-01T00:00:00"/>
    <d v="2026-06-12T00:00:00"/>
    <s v="Relieved"/>
    <s v="Involuntary"/>
    <x v="7"/>
    <n v="72"/>
    <n v="1"/>
    <s v="04-2026"/>
    <s v="06-2026"/>
    <n v="0"/>
    <n v="1"/>
  </r>
  <r>
    <s v="EMP1272"/>
    <s v="Exploring Infinities - Sales"/>
    <s v="SALES"/>
    <s v="Sales - India"/>
    <s v="Director 1"/>
    <s v="Bengaluru"/>
    <s v="WFH"/>
    <d v="2026-04-01T00:00:00"/>
    <m/>
    <s v="Active"/>
    <m/>
    <x v="2"/>
    <n v="90"/>
    <n v="0"/>
    <s v="04-2026"/>
    <s v=""/>
    <n v="0"/>
    <n v="0"/>
  </r>
  <r>
    <s v="EMP1294"/>
    <s v="Exploring Infinities - Sales"/>
    <s v="SALES"/>
    <s v="Sales - India"/>
    <s v="Director 1"/>
    <s v="Bengaluru"/>
    <s v="WFH"/>
    <d v="2026-04-01T00:00:00"/>
    <d v="2026-04-23T00:00:00"/>
    <s v="Relieved"/>
    <s v="Voluntary"/>
    <x v="4"/>
    <n v="22"/>
    <n v="1"/>
    <s v="04-2026"/>
    <s v="04-2026"/>
    <n v="1"/>
    <n v="0"/>
  </r>
  <r>
    <s v="EMP1309"/>
    <s v="Exploring Infinities - Sales"/>
    <s v="SALES"/>
    <s v="Sales - India"/>
    <s v="Director 1"/>
    <s v="Bengaluru"/>
    <s v="WFH"/>
    <d v="2026-04-01T00:00:00"/>
    <d v="2026-06-26T00:00:00"/>
    <s v="Relieved"/>
    <s v="Involuntary"/>
    <x v="1"/>
    <n v="86"/>
    <n v="1"/>
    <s v="04-2026"/>
    <s v="06-2026"/>
    <n v="0"/>
    <n v="1"/>
  </r>
  <r>
    <s v="EMP1315"/>
    <s v="Exploring Infinities - Sales"/>
    <s v="SALES"/>
    <s v="Sales - India"/>
    <s v="Director 1"/>
    <s v="Bengaluru"/>
    <s v="WFH"/>
    <d v="2026-04-01T00:00:00"/>
    <m/>
    <s v="Active"/>
    <m/>
    <x v="2"/>
    <n v="90"/>
    <n v="0"/>
    <s v="04-2026"/>
    <s v=""/>
    <n v="0"/>
    <n v="0"/>
  </r>
  <r>
    <s v="EMP1342"/>
    <s v="Exploring Infinities - Sales"/>
    <s v="SALES"/>
    <s v="Sales - India"/>
    <s v="Director 1"/>
    <s v="Bengaluru"/>
    <s v="WFH"/>
    <d v="2026-04-01T00:00:00"/>
    <m/>
    <s v="Active"/>
    <m/>
    <x v="2"/>
    <n v="90"/>
    <n v="0"/>
    <s v="04-2026"/>
    <s v=""/>
    <n v="0"/>
    <n v="0"/>
  </r>
  <r>
    <s v="EMP1354"/>
    <s v="Exploring Infinities - Sales"/>
    <s v="SALES"/>
    <s v="Sales - India"/>
    <s v="Director 1"/>
    <s v="Bengaluru"/>
    <s v="WFH"/>
    <d v="2026-04-01T00:00:00"/>
    <d v="2026-06-26T00:00:00"/>
    <s v="Relieved"/>
    <s v="Involuntary"/>
    <x v="1"/>
    <n v="86"/>
    <n v="1"/>
    <s v="04-2026"/>
    <s v="06-2026"/>
    <n v="0"/>
    <n v="1"/>
  </r>
  <r>
    <s v="EMP1161"/>
    <s v="Exploring Infinities - Sales"/>
    <s v="SALES"/>
    <s v="Sales - India"/>
    <s v="Director 1"/>
    <s v="Bengaluru"/>
    <s v="WFH"/>
    <d v="2025-08-01T00:00:00"/>
    <d v="2026-06-27T00:00:00"/>
    <s v="Relieved"/>
    <s v="Involuntary"/>
    <x v="6"/>
    <n v="330"/>
    <n v="1"/>
    <s v="08-2025"/>
    <s v="06-2026"/>
    <n v="0"/>
    <n v="1"/>
  </r>
  <r>
    <s v="EMP1250"/>
    <s v="Exploring Infinities - Sales"/>
    <s v="SALES"/>
    <s v="Sales - India"/>
    <s v="Director 1"/>
    <s v="Bengaluru"/>
    <s v="WFH"/>
    <d v="2025-08-01T00:00:00"/>
    <d v="2026-04-11T00:00:00"/>
    <s v="Relieved"/>
    <s v="Involuntary"/>
    <x v="6"/>
    <n v="253"/>
    <n v="1"/>
    <s v="08-2025"/>
    <s v="04-2026"/>
    <n v="0"/>
    <n v="1"/>
  </r>
  <r>
    <s v="EMP1255"/>
    <s v="Exploring Infinities - Sales"/>
    <s v="SALES"/>
    <s v="Sales - India"/>
    <s v="Director 1"/>
    <s v="Bengaluru"/>
    <s v="WFH"/>
    <d v="2025-08-01T00:00:00"/>
    <d v="2026-05-14T00:00:00"/>
    <s v="Relieved"/>
    <s v="Involuntary"/>
    <x v="7"/>
    <n v="286"/>
    <n v="1"/>
    <s v="08-2025"/>
    <s v="05-2026"/>
    <n v="0"/>
    <n v="1"/>
  </r>
  <r>
    <s v="EMP1256"/>
    <s v="Exploring Infinities - Sales"/>
    <s v="SALES"/>
    <s v="Sales - India"/>
    <s v="Director 1"/>
    <s v="Bengaluru"/>
    <s v="WFH"/>
    <d v="2025-02-01T00:00:00"/>
    <d v="2026-05-28T00:00:00"/>
    <s v="Relieved"/>
    <s v="Involuntary"/>
    <x v="1"/>
    <n v="481"/>
    <n v="1"/>
    <s v="02-2025"/>
    <s v="05-2026"/>
    <n v="0"/>
    <n v="1"/>
  </r>
  <r>
    <s v="EMP1233"/>
    <s v="Exploring Infinities - Sales"/>
    <s v="SALES"/>
    <s v="Sales - India"/>
    <s v="Director 1"/>
    <s v="Bengaluru"/>
    <s v="WFH"/>
    <d v="2026-01-01T00:00:00"/>
    <d v="2026-04-10T00:00:00"/>
    <s v="Relieved"/>
    <s v="Involuntary"/>
    <x v="6"/>
    <n v="99"/>
    <n v="1"/>
    <s v="01-2026"/>
    <s v="04-2026"/>
    <n v="0"/>
    <n v="1"/>
  </r>
  <r>
    <s v="EMP1509"/>
    <s v="Exploring Infinities - Sales"/>
    <s v="SALES"/>
    <s v="Sales - India"/>
    <s v="Director 1"/>
    <s v="Bengaluru"/>
    <s v="WFH"/>
    <d v="2026-06-01T00:00:00"/>
    <d v="2026-06-19T00:00:00"/>
    <s v="Relieved"/>
    <s v="Voluntary"/>
    <x v="10"/>
    <n v="18"/>
    <n v="1"/>
    <s v="06-2026"/>
    <s v="06-2026"/>
    <n v="1"/>
    <n v="0"/>
  </r>
  <r>
    <s v="EMP1516"/>
    <s v="Exploring Infinities - Sales"/>
    <s v="SALES"/>
    <s v="Sales - India"/>
    <s v="Director 1"/>
    <s v="Bengaluru"/>
    <s v="WFH"/>
    <d v="2026-06-01T00:00:00"/>
    <d v="2026-06-27T00:00:00"/>
    <s v="Relieved"/>
    <s v="Voluntary"/>
    <x v="5"/>
    <n v="26"/>
    <n v="1"/>
    <s v="06-2026"/>
    <s v="06-2026"/>
    <n v="1"/>
    <n v="0"/>
  </r>
  <r>
    <s v="EMP1525"/>
    <s v="Exploring Infinities - Sales"/>
    <s v="SALES"/>
    <s v="Sales - India"/>
    <s v="Director 1"/>
    <s v="Bengaluru"/>
    <s v="WFH"/>
    <d v="2026-06-01T00:00:00"/>
    <m/>
    <s v="Active"/>
    <m/>
    <x v="2"/>
    <n v="29"/>
    <n v="0"/>
    <s v="06-2026"/>
    <s v=""/>
    <n v="0"/>
    <n v="0"/>
  </r>
  <r>
    <s v="EMP1536"/>
    <s v="Exploring Infinities - Sales"/>
    <s v="SALES"/>
    <s v="Sales - India"/>
    <s v="Director 1"/>
    <s v="Bengaluru"/>
    <s v="WFH"/>
    <d v="2026-06-01T00:00:00"/>
    <m/>
    <s v="Active"/>
    <m/>
    <x v="2"/>
    <n v="29"/>
    <n v="0"/>
    <s v="06-2026"/>
    <s v=""/>
    <n v="0"/>
    <n v="0"/>
  </r>
  <r>
    <s v="EMP1235"/>
    <s v="Exploring Infinities - Sales"/>
    <s v="SALES"/>
    <s v="Sales - India"/>
    <s v="Director 1"/>
    <s v="Bengaluru"/>
    <s v="WFH"/>
    <d v="2025-05-01T00:00:00"/>
    <d v="2026-04-16T00:00:00"/>
    <s v="Relieved"/>
    <s v="Involuntary"/>
    <x v="6"/>
    <n v="350"/>
    <n v="1"/>
    <s v="05-2025"/>
    <s v="04-2026"/>
    <n v="0"/>
    <n v="1"/>
  </r>
  <r>
    <s v="EMP1382"/>
    <s v="Exploring Infinities - Sales"/>
    <s v="SALES"/>
    <s v="Sales - India"/>
    <s v="Director 1"/>
    <s v="Bengaluru"/>
    <s v="WFH"/>
    <d v="2026-05-01T00:00:00"/>
    <d v="2026-05-26T00:00:00"/>
    <s v="Relieved"/>
    <s v="Voluntary"/>
    <x v="0"/>
    <n v="25"/>
    <n v="1"/>
    <s v="05-2026"/>
    <s v="05-2026"/>
    <n v="1"/>
    <n v="0"/>
  </r>
  <r>
    <s v="EMP1391"/>
    <s v="Exploring Infinities - Sales"/>
    <s v="SALES"/>
    <s v="Sales - India"/>
    <s v="Director 1"/>
    <s v="Bengaluru"/>
    <s v="WFH"/>
    <d v="2026-05-01T00:00:00"/>
    <d v="2026-05-07T00:00:00"/>
    <s v="Relieved"/>
    <s v="Voluntary"/>
    <x v="4"/>
    <n v="6"/>
    <n v="1"/>
    <s v="05-2026"/>
    <s v="05-2026"/>
    <n v="1"/>
    <n v="0"/>
  </r>
  <r>
    <s v="EMP1441"/>
    <s v="Exploring Infinities - Sales"/>
    <s v="SALES"/>
    <s v="Sales - India"/>
    <s v="Director 1"/>
    <s v="Bengaluru"/>
    <s v="WFH"/>
    <d v="2026-05-01T00:00:00"/>
    <d v="2026-05-07T00:00:00"/>
    <s v="Relieved"/>
    <s v="Voluntary"/>
    <x v="8"/>
    <n v="6"/>
    <n v="1"/>
    <s v="05-2026"/>
    <s v="05-2026"/>
    <n v="1"/>
    <n v="0"/>
  </r>
  <r>
    <s v="EMP1201"/>
    <s v="Exploring Infinities - Sales"/>
    <s v="SALES"/>
    <s v="Sales - India"/>
    <s v="Director 1"/>
    <s v="Bengaluru"/>
    <s v="WFH"/>
    <d v="2025-11-01T00:00:00"/>
    <d v="2026-04-28T00:00:00"/>
    <s v="Relieved"/>
    <s v="Involuntary"/>
    <x v="9"/>
    <n v="178"/>
    <n v="1"/>
    <s v="11-2025"/>
    <s v="04-2026"/>
    <n v="0"/>
    <n v="1"/>
  </r>
  <r>
    <s v="EMP1155"/>
    <s v="Exploring Infinities - Sales"/>
    <s v="SALES"/>
    <s v="Sales - India"/>
    <s v="Director 1"/>
    <s v="Bengaluru"/>
    <s v="WFH"/>
    <d v="2025-09-01T00:00:00"/>
    <d v="2026-04-28T00:00:00"/>
    <s v="Relieved"/>
    <s v="Involuntary"/>
    <x v="1"/>
    <n v="239"/>
    <n v="1"/>
    <s v="09-2025"/>
    <s v="04-2026"/>
    <n v="0"/>
    <n v="1"/>
  </r>
  <r>
    <s v="EMP1216"/>
    <s v="Exploring Infinities - Sales"/>
    <s v="SALES"/>
    <s v="Sales - India"/>
    <s v="Director 1"/>
    <s v="Bengaluru"/>
    <s v="WFH"/>
    <d v="2025-09-01T00:00:00"/>
    <m/>
    <s v="Active"/>
    <m/>
    <x v="2"/>
    <n v="302"/>
    <n v="0"/>
    <s v="09-2025"/>
    <s v=""/>
    <n v="0"/>
    <n v="0"/>
  </r>
  <r>
    <s v="EMP1323"/>
    <s v="Exploring Infinities - Sales"/>
    <s v="SALES"/>
    <s v="Sales - India"/>
    <s v="Director 1"/>
    <s v="Bengaluru"/>
    <s v="WFH"/>
    <d v="2026-04-02T00:00:00"/>
    <m/>
    <s v="Active"/>
    <m/>
    <x v="2"/>
    <n v="89"/>
    <n v="0"/>
    <s v="04-2026"/>
    <s v=""/>
    <n v="0"/>
    <n v="0"/>
  </r>
  <r>
    <s v="EMP1345"/>
    <s v="Exploring Infinities - Sales"/>
    <s v="SALES"/>
    <s v="Sales - India"/>
    <s v="Director 1"/>
    <s v="Bengaluru"/>
    <s v="WFH"/>
    <d v="2026-04-02T00:00:00"/>
    <d v="2026-05-25T00:00:00"/>
    <s v="Relieved"/>
    <s v="Involuntary"/>
    <x v="7"/>
    <n v="53"/>
    <n v="1"/>
    <s v="04-2026"/>
    <s v="05-2026"/>
    <n v="0"/>
    <n v="1"/>
  </r>
  <r>
    <s v="EMP1352"/>
    <s v="Exploring Infinities - Sales"/>
    <s v="SALES"/>
    <s v="Sales - India"/>
    <s v="Director 1"/>
    <s v="Bengaluru"/>
    <s v="WFH"/>
    <d v="2026-04-02T00:00:00"/>
    <d v="2026-04-10T00:00:00"/>
    <s v="Relieved"/>
    <s v="Voluntary"/>
    <x v="3"/>
    <n v="8"/>
    <n v="1"/>
    <s v="04-2026"/>
    <s v="04-2026"/>
    <n v="1"/>
    <n v="0"/>
  </r>
  <r>
    <s v="EMP1173"/>
    <s v="Exploring Infinities - Sales"/>
    <s v="SALES"/>
    <s v="Sales - India"/>
    <s v="Director 1"/>
    <s v="Bengaluru"/>
    <s v="WFH"/>
    <d v="2025-12-02T00:00:00"/>
    <d v="2026-04-15T00:00:00"/>
    <s v="Relieved"/>
    <s v="Involuntary"/>
    <x v="9"/>
    <n v="134"/>
    <n v="1"/>
    <s v="12-2025"/>
    <s v="04-2026"/>
    <n v="0"/>
    <n v="1"/>
  </r>
  <r>
    <s v="EMP1249"/>
    <s v="Exploring Infinities - Sales"/>
    <s v="SALES"/>
    <s v="Sales - India"/>
    <s v="Director 1"/>
    <s v="Bengaluru"/>
    <s v="WFH"/>
    <d v="2025-02-02T00:00:00"/>
    <d v="2026-06-11T00:00:00"/>
    <s v="Relieved"/>
    <s v="Involuntary"/>
    <x v="7"/>
    <n v="494"/>
    <n v="1"/>
    <s v="02-2025"/>
    <s v="06-2026"/>
    <n v="0"/>
    <n v="1"/>
  </r>
  <r>
    <s v="EMP1474"/>
    <s v="Exploring Infinities - Sales"/>
    <s v="SALES"/>
    <s v="Sales - India"/>
    <s v="Director 1"/>
    <s v="Bengaluru"/>
    <s v="WFH"/>
    <d v="2026-06-02T00:00:00"/>
    <d v="2026-06-02T00:00:00"/>
    <s v="Relieved"/>
    <s v="Voluntary"/>
    <x v="10"/>
    <n v="0"/>
    <n v="1"/>
    <s v="06-2026"/>
    <s v="06-2026"/>
    <n v="1"/>
    <n v="0"/>
  </r>
  <r>
    <s v="EMP1210"/>
    <s v="Exploring Infinities - Sales"/>
    <s v="SALES"/>
    <s v="Sales - India"/>
    <s v="Director 1"/>
    <s v="Bengaluru"/>
    <s v="WFH"/>
    <d v="2026-03-02T00:00:00"/>
    <m/>
    <s v="Active"/>
    <m/>
    <x v="2"/>
    <n v="120"/>
    <n v="0"/>
    <s v="03-2026"/>
    <s v=""/>
    <n v="0"/>
    <n v="0"/>
  </r>
  <r>
    <s v="EMP1360"/>
    <s v="Exploring Infinities - Sales"/>
    <s v="SALES"/>
    <s v="Sales - India"/>
    <s v="Director 1"/>
    <s v="Bengaluru"/>
    <s v="WFH"/>
    <d v="2026-05-02T00:00:00"/>
    <d v="2026-06-01T00:00:00"/>
    <s v="Relieved"/>
    <s v="Involuntary"/>
    <x v="7"/>
    <n v="30"/>
    <n v="1"/>
    <s v="05-2026"/>
    <s v="06-2026"/>
    <n v="0"/>
    <n v="1"/>
  </r>
  <r>
    <s v="EMP1370"/>
    <s v="Exploring Infinities - Sales"/>
    <s v="SALES"/>
    <s v="Sales - India"/>
    <s v="Director 1"/>
    <s v="Bengaluru"/>
    <s v="WFH"/>
    <d v="2026-05-02T00:00:00"/>
    <d v="2026-06-12T00:00:00"/>
    <s v="Relieved"/>
    <s v="Involuntary"/>
    <x v="9"/>
    <n v="41"/>
    <n v="1"/>
    <s v="05-2026"/>
    <s v="06-2026"/>
    <n v="0"/>
    <n v="1"/>
  </r>
  <r>
    <s v="EMP1316"/>
    <s v="Exploring Infinities - Sales"/>
    <s v="SALES"/>
    <s v="Sales - India"/>
    <s v="Director 1"/>
    <s v="Bengaluru"/>
    <s v="WFH"/>
    <d v="2026-04-03T00:00:00"/>
    <m/>
    <s v="Active"/>
    <m/>
    <x v="2"/>
    <n v="88"/>
    <n v="0"/>
    <s v="04-2026"/>
    <s v=""/>
    <n v="0"/>
    <n v="0"/>
  </r>
  <r>
    <s v="EMP1340"/>
    <s v="Exploring Infinities - Sales"/>
    <s v="SALES"/>
    <s v="Sales - India"/>
    <s v="Director 1"/>
    <s v="Bengaluru"/>
    <s v="WFH"/>
    <d v="2026-04-03T00:00:00"/>
    <d v="2026-04-03T00:00:00"/>
    <s v="Relieved"/>
    <s v="Voluntary"/>
    <x v="8"/>
    <n v="0"/>
    <n v="1"/>
    <s v="04-2026"/>
    <s v="04-2026"/>
    <n v="1"/>
    <n v="0"/>
  </r>
  <r>
    <s v="EMP1349"/>
    <s v="Exploring Infinities - Sales"/>
    <s v="SALES"/>
    <s v="Sales - India"/>
    <s v="Director 1"/>
    <s v="Bengaluru"/>
    <s v="WFH"/>
    <d v="2026-04-03T00:00:00"/>
    <d v="2026-04-08T00:00:00"/>
    <s v="Relieved"/>
    <s v="Voluntary"/>
    <x v="0"/>
    <n v="5"/>
    <n v="1"/>
    <s v="04-2026"/>
    <s v="04-2026"/>
    <n v="1"/>
    <n v="0"/>
  </r>
  <r>
    <s v="EMP1181"/>
    <s v="Exploring Infinities - Sales"/>
    <s v="SALES"/>
    <s v="Sales - India"/>
    <s v="Director 1"/>
    <s v="Bengaluru"/>
    <s v="WFH"/>
    <d v="2026-02-03T00:00:00"/>
    <m/>
    <s v="Active"/>
    <m/>
    <x v="2"/>
    <n v="147"/>
    <n v="0"/>
    <s v="02-2026"/>
    <s v=""/>
    <n v="0"/>
    <n v="0"/>
  </r>
  <r>
    <s v="EMP1225"/>
    <s v="Exploring Infinities - Sales"/>
    <s v="SALES"/>
    <s v="Sales - India"/>
    <s v="Director 1"/>
    <s v="Bengaluru"/>
    <s v="WFH"/>
    <d v="2026-02-03T00:00:00"/>
    <m/>
    <s v="Active"/>
    <m/>
    <x v="2"/>
    <n v="147"/>
    <n v="0"/>
    <s v="02-2026"/>
    <s v=""/>
    <n v="0"/>
    <n v="0"/>
  </r>
  <r>
    <s v="EMP1175"/>
    <s v="Exploring Infinities - Sales"/>
    <s v="SALES"/>
    <s v="Sales - India"/>
    <s v="Director 1"/>
    <s v="Bengaluru"/>
    <s v="WFH"/>
    <d v="2025-01-03T00:00:00"/>
    <d v="2026-04-10T00:00:00"/>
    <s v="Relieved"/>
    <s v="Voluntary"/>
    <x v="3"/>
    <n v="462"/>
    <n v="1"/>
    <s v="01-2025"/>
    <s v="04-2026"/>
    <n v="1"/>
    <n v="0"/>
  </r>
  <r>
    <s v="EMP1166"/>
    <s v="Exploring Infinities - Sales"/>
    <s v="SALES"/>
    <s v="Sales - India"/>
    <s v="Director 1"/>
    <s v="Bengaluru"/>
    <s v="WFH"/>
    <d v="2026-01-03T00:00:00"/>
    <m/>
    <s v="Active"/>
    <m/>
    <x v="2"/>
    <n v="178"/>
    <n v="0"/>
    <s v="01-2026"/>
    <s v=""/>
    <n v="0"/>
    <n v="0"/>
  </r>
  <r>
    <s v="EMP1532"/>
    <s v="Exploring Infinities - Sales"/>
    <s v="SALES"/>
    <s v="Sales - India"/>
    <s v="Director 1"/>
    <s v="Bengaluru"/>
    <s v="WFH"/>
    <d v="2026-06-03T00:00:00"/>
    <d v="2026-06-26T00:00:00"/>
    <s v="Relieved"/>
    <s v="Voluntary"/>
    <x v="10"/>
    <n v="23"/>
    <n v="1"/>
    <s v="06-2026"/>
    <s v="06-2026"/>
    <n v="1"/>
    <n v="0"/>
  </r>
  <r>
    <s v="EMP1537"/>
    <s v="Exploring Infinities - Sales"/>
    <s v="SALES"/>
    <s v="Sales - India"/>
    <s v="Director 1"/>
    <s v="Bengaluru"/>
    <s v="WFH"/>
    <d v="2026-06-03T00:00:00"/>
    <d v="2026-06-25T00:00:00"/>
    <s v="Relieved"/>
    <s v="Voluntary"/>
    <x v="10"/>
    <n v="22"/>
    <n v="1"/>
    <s v="06-2026"/>
    <s v="06-2026"/>
    <n v="1"/>
    <n v="0"/>
  </r>
  <r>
    <s v="EMP1229"/>
    <s v="Exploring Infinities - Sales"/>
    <s v="SALES"/>
    <s v="Sales - India"/>
    <s v="Director 1"/>
    <s v="Bengaluru"/>
    <s v="WFH"/>
    <d v="2025-05-03T00:00:00"/>
    <m/>
    <s v="Active"/>
    <m/>
    <x v="2"/>
    <n v="423"/>
    <n v="0"/>
    <s v="05-2025"/>
    <s v=""/>
    <n v="0"/>
    <n v="0"/>
  </r>
  <r>
    <s v="EMP1394"/>
    <s v="Exploring Infinities - Sales"/>
    <s v="SALES"/>
    <s v="Sales - India"/>
    <s v="Director 1"/>
    <s v="Bengaluru"/>
    <s v="WFH"/>
    <d v="2026-05-03T00:00:00"/>
    <d v="2026-05-27T00:00:00"/>
    <s v="Relieved"/>
    <s v="Voluntary"/>
    <x v="4"/>
    <n v="24"/>
    <n v="1"/>
    <s v="05-2026"/>
    <s v="05-2026"/>
    <n v="1"/>
    <n v="0"/>
  </r>
  <r>
    <s v="EMP1429"/>
    <s v="Exploring Infinities - Sales"/>
    <s v="SALES"/>
    <s v="Sales - India"/>
    <s v="Director 1"/>
    <s v="Bengaluru"/>
    <s v="WFH"/>
    <d v="2026-05-03T00:00:00"/>
    <d v="2026-06-23T00:00:00"/>
    <s v="Relieved"/>
    <s v="Involuntary"/>
    <x v="6"/>
    <n v="51"/>
    <n v="1"/>
    <s v="05-2026"/>
    <s v="06-2026"/>
    <n v="0"/>
    <n v="1"/>
  </r>
  <r>
    <s v="EMP1207"/>
    <s v="Exploring Infinities - Sales"/>
    <s v="SALES"/>
    <s v="Sales - India"/>
    <s v="Director 1"/>
    <s v="Bengaluru"/>
    <s v="WFH"/>
    <d v="2026-01-04T00:00:00"/>
    <d v="2026-05-03T00:00:00"/>
    <s v="Relieved"/>
    <s v="Involuntary"/>
    <x v="9"/>
    <n v="119"/>
    <n v="1"/>
    <s v="01-2026"/>
    <s v="05-2026"/>
    <n v="0"/>
    <n v="1"/>
  </r>
  <r>
    <s v="EMP1464"/>
    <s v="Exploring Infinities - Sales"/>
    <s v="SALES"/>
    <s v="Sales - India"/>
    <s v="Director 1"/>
    <s v="Bengaluru"/>
    <s v="WFH"/>
    <d v="2026-06-04T00:00:00"/>
    <d v="2026-06-12T00:00:00"/>
    <s v="Relieved"/>
    <s v="Voluntary"/>
    <x v="3"/>
    <n v="8"/>
    <n v="1"/>
    <s v="06-2026"/>
    <s v="06-2026"/>
    <n v="1"/>
    <n v="0"/>
  </r>
  <r>
    <s v="EMP1479"/>
    <s v="Exploring Infinities - Sales"/>
    <s v="SALES"/>
    <s v="Sales - India"/>
    <s v="Director 1"/>
    <s v="Bengaluru"/>
    <s v="WFH"/>
    <d v="2026-06-04T00:00:00"/>
    <d v="2026-06-29T00:00:00"/>
    <s v="Relieved"/>
    <s v="Voluntary"/>
    <x v="4"/>
    <n v="25"/>
    <n v="1"/>
    <s v="06-2026"/>
    <s v="06-2026"/>
    <n v="1"/>
    <n v="0"/>
  </r>
  <r>
    <s v="EMP1488"/>
    <s v="Exploring Infinities - Sales"/>
    <s v="SALES"/>
    <s v="Sales - India"/>
    <s v="Director 1"/>
    <s v="Bengaluru"/>
    <s v="WFH"/>
    <d v="2026-06-04T00:00:00"/>
    <d v="2026-06-07T00:00:00"/>
    <s v="Relieved"/>
    <s v="Voluntary"/>
    <x v="0"/>
    <n v="3"/>
    <n v="1"/>
    <s v="06-2026"/>
    <s v="06-2026"/>
    <n v="1"/>
    <n v="0"/>
  </r>
  <r>
    <s v="EMP1493"/>
    <s v="Exploring Infinities - Sales"/>
    <s v="SALES"/>
    <s v="Sales - India"/>
    <s v="Director 1"/>
    <s v="Bengaluru"/>
    <s v="WFH"/>
    <d v="2026-06-04T00:00:00"/>
    <m/>
    <s v="Active"/>
    <m/>
    <x v="2"/>
    <n v="26"/>
    <n v="0"/>
    <s v="06-2026"/>
    <s v=""/>
    <n v="0"/>
    <n v="0"/>
  </r>
  <r>
    <s v="EMP1193"/>
    <s v="Exploring Infinities - Sales"/>
    <s v="SALES"/>
    <s v="Sales - India"/>
    <s v="Director 1"/>
    <s v="Bengaluru"/>
    <s v="WFH"/>
    <d v="2025-03-04T00:00:00"/>
    <d v="2026-04-11T00:00:00"/>
    <s v="Relieved"/>
    <s v="Involuntary"/>
    <x v="7"/>
    <n v="403"/>
    <n v="1"/>
    <s v="03-2025"/>
    <s v="04-2026"/>
    <n v="0"/>
    <n v="1"/>
  </r>
  <r>
    <s v="EMP1381"/>
    <s v="Exploring Infinities - Sales"/>
    <s v="SALES"/>
    <s v="Sales - India"/>
    <s v="Director 1"/>
    <s v="Bengaluru"/>
    <s v="WFH"/>
    <d v="2026-05-04T00:00:00"/>
    <d v="2026-05-28T00:00:00"/>
    <s v="Relieved"/>
    <s v="Voluntary"/>
    <x v="5"/>
    <n v="24"/>
    <n v="1"/>
    <s v="05-2026"/>
    <s v="05-2026"/>
    <n v="1"/>
    <n v="0"/>
  </r>
  <r>
    <s v="EMP1398"/>
    <s v="Exploring Infinities - Sales"/>
    <s v="SALES"/>
    <s v="Sales - India"/>
    <s v="Director 1"/>
    <s v="Bengaluru"/>
    <s v="WFH"/>
    <d v="2026-05-04T00:00:00"/>
    <m/>
    <s v="Active"/>
    <m/>
    <x v="2"/>
    <n v="57"/>
    <n v="0"/>
    <s v="05-2026"/>
    <s v=""/>
    <n v="0"/>
    <n v="0"/>
  </r>
  <r>
    <s v="EMP1401"/>
    <s v="Exploring Infinities - Sales"/>
    <s v="SALES"/>
    <s v="Sales - India"/>
    <s v="Director 1"/>
    <s v="Bengaluru"/>
    <s v="WFH"/>
    <d v="2026-05-04T00:00:00"/>
    <d v="2026-06-24T00:00:00"/>
    <s v="Relieved"/>
    <s v="Involuntary"/>
    <x v="9"/>
    <n v="51"/>
    <n v="1"/>
    <s v="05-2026"/>
    <s v="06-2026"/>
    <n v="0"/>
    <n v="1"/>
  </r>
  <r>
    <s v="EMP1239"/>
    <s v="Exploring Infinities - Sales"/>
    <s v="SALES"/>
    <s v="Sales - India"/>
    <s v="Director 1"/>
    <s v="Bengaluru"/>
    <s v="WFH"/>
    <d v="2025-10-04T00:00:00"/>
    <d v="2026-05-01T00:00:00"/>
    <s v="Relieved"/>
    <s v="Involuntary"/>
    <x v="1"/>
    <n v="209"/>
    <n v="1"/>
    <s v="10-2025"/>
    <s v="05-2026"/>
    <n v="0"/>
    <n v="1"/>
  </r>
  <r>
    <s v="EMP1306"/>
    <s v="Exploring Infinities - Sales"/>
    <s v="SALES"/>
    <s v="Sales - India"/>
    <s v="Director 1"/>
    <s v="Bengaluru"/>
    <s v="WFH"/>
    <d v="2026-04-05T00:00:00"/>
    <m/>
    <s v="Active"/>
    <m/>
    <x v="2"/>
    <n v="86"/>
    <n v="0"/>
    <s v="04-2026"/>
    <s v=""/>
    <n v="0"/>
    <n v="0"/>
  </r>
  <r>
    <s v="EMP1319"/>
    <s v="Exploring Infinities - Sales"/>
    <s v="SALES"/>
    <s v="Sales - India"/>
    <s v="Director 1"/>
    <s v="Bengaluru"/>
    <s v="WFH"/>
    <d v="2026-04-05T00:00:00"/>
    <d v="2026-04-09T00:00:00"/>
    <s v="Relieved"/>
    <s v="Voluntary"/>
    <x v="3"/>
    <n v="4"/>
    <n v="1"/>
    <s v="04-2026"/>
    <s v="04-2026"/>
    <n v="1"/>
    <n v="0"/>
  </r>
  <r>
    <s v="EMP1483"/>
    <s v="Exploring Infinities - Sales"/>
    <s v="SALES"/>
    <s v="Sales - India"/>
    <s v="Director 1"/>
    <s v="Bengaluru"/>
    <s v="WFH"/>
    <d v="2026-06-05T00:00:00"/>
    <m/>
    <s v="Active"/>
    <m/>
    <x v="2"/>
    <n v="25"/>
    <n v="0"/>
    <s v="06-2026"/>
    <s v=""/>
    <n v="0"/>
    <n v="0"/>
  </r>
  <r>
    <s v="EMP1528"/>
    <s v="Exploring Infinities - Sales"/>
    <s v="SALES"/>
    <s v="Sales - India"/>
    <s v="Director 1"/>
    <s v="Bengaluru"/>
    <s v="WFH"/>
    <d v="2026-06-05T00:00:00"/>
    <d v="2026-06-16T00:00:00"/>
    <s v="Relieved"/>
    <s v="Voluntary"/>
    <x v="0"/>
    <n v="11"/>
    <n v="1"/>
    <s v="06-2026"/>
    <s v="06-2026"/>
    <n v="1"/>
    <n v="0"/>
  </r>
  <r>
    <s v="EMP1533"/>
    <s v="Exploring Infinities - Sales"/>
    <s v="SALES"/>
    <s v="Sales - India"/>
    <s v="Director 1"/>
    <s v="Bengaluru"/>
    <s v="WFH"/>
    <d v="2026-06-05T00:00:00"/>
    <d v="2026-06-05T00:00:00"/>
    <s v="Relieved"/>
    <s v="Voluntary"/>
    <x v="5"/>
    <n v="0"/>
    <n v="1"/>
    <s v="06-2026"/>
    <s v="06-2026"/>
    <n v="1"/>
    <n v="0"/>
  </r>
  <r>
    <s v="EMP1171"/>
    <s v="Exploring Infinities - Sales"/>
    <s v="SALES"/>
    <s v="Sales - India"/>
    <s v="Director 1"/>
    <s v="Bengaluru"/>
    <s v="WFH"/>
    <d v="2025-05-05T00:00:00"/>
    <d v="2026-04-15T00:00:00"/>
    <s v="Relieved"/>
    <s v="Voluntary"/>
    <x v="3"/>
    <n v="345"/>
    <n v="1"/>
    <s v="05-2025"/>
    <s v="04-2026"/>
    <n v="1"/>
    <n v="0"/>
  </r>
  <r>
    <s v="EMP1374"/>
    <s v="Exploring Infinities - Sales"/>
    <s v="SALES"/>
    <s v="Sales - India"/>
    <s v="Director 1"/>
    <s v="Bengaluru"/>
    <s v="WFH"/>
    <d v="2026-05-05T00:00:00"/>
    <m/>
    <s v="Active"/>
    <m/>
    <x v="2"/>
    <n v="56"/>
    <n v="0"/>
    <s v="05-2026"/>
    <s v=""/>
    <n v="0"/>
    <n v="0"/>
  </r>
  <r>
    <s v="EMP1404"/>
    <s v="Exploring Infinities - Sales"/>
    <s v="SALES"/>
    <s v="Sales - India"/>
    <s v="Director 1"/>
    <s v="Bengaluru"/>
    <s v="WFH"/>
    <d v="2026-05-05T00:00:00"/>
    <d v="2026-05-13T00:00:00"/>
    <s v="Relieved"/>
    <s v="Voluntary"/>
    <x v="0"/>
    <n v="8"/>
    <n v="1"/>
    <s v="05-2026"/>
    <s v="05-2026"/>
    <n v="1"/>
    <n v="0"/>
  </r>
  <r>
    <s v="EMP1419"/>
    <s v="Exploring Infinities - Sales"/>
    <s v="SALES"/>
    <s v="Sales - India"/>
    <s v="Director 1"/>
    <s v="Bengaluru"/>
    <s v="WFH"/>
    <d v="2026-05-05T00:00:00"/>
    <d v="2026-06-21T00:00:00"/>
    <s v="Relieved"/>
    <s v="Involuntary"/>
    <x v="1"/>
    <n v="47"/>
    <n v="1"/>
    <s v="05-2026"/>
    <s v="06-2026"/>
    <n v="0"/>
    <n v="1"/>
  </r>
  <r>
    <s v="EMP1427"/>
    <s v="Exploring Infinities - Sales"/>
    <s v="SALES"/>
    <s v="Sales - India"/>
    <s v="Director 1"/>
    <s v="Bengaluru"/>
    <s v="WFH"/>
    <d v="2026-05-05T00:00:00"/>
    <d v="2026-05-05T00:00:00"/>
    <s v="Relieved"/>
    <s v="Voluntary"/>
    <x v="4"/>
    <n v="0"/>
    <n v="1"/>
    <s v="05-2026"/>
    <s v="05-2026"/>
    <n v="1"/>
    <n v="0"/>
  </r>
  <r>
    <s v="EMP1451"/>
    <s v="Exploring Infinities - Sales"/>
    <s v="SALES"/>
    <s v="Sales - India"/>
    <s v="Director 1"/>
    <s v="Bengaluru"/>
    <s v="WFH"/>
    <d v="2026-05-05T00:00:00"/>
    <m/>
    <s v="Active"/>
    <m/>
    <x v="2"/>
    <n v="56"/>
    <n v="0"/>
    <s v="05-2026"/>
    <s v=""/>
    <n v="0"/>
    <n v="0"/>
  </r>
  <r>
    <s v="EMP1253"/>
    <s v="Exploring Infinities - Sales"/>
    <s v="SALES"/>
    <s v="Sales - India"/>
    <s v="Director 1"/>
    <s v="Bengaluru"/>
    <s v="WFH"/>
    <d v="2025-10-05T00:00:00"/>
    <d v="2026-04-03T00:00:00"/>
    <s v="Relieved"/>
    <s v="Involuntary"/>
    <x v="6"/>
    <n v="180"/>
    <n v="1"/>
    <s v="10-2025"/>
    <s v="04-2026"/>
    <n v="0"/>
    <n v="1"/>
  </r>
  <r>
    <s v="EMP1302"/>
    <s v="Exploring Infinities - Sales"/>
    <s v="SALES"/>
    <s v="Sales - India"/>
    <s v="Director 1"/>
    <s v="Bengaluru"/>
    <s v="WFH"/>
    <d v="2026-04-06T00:00:00"/>
    <m/>
    <s v="Active"/>
    <m/>
    <x v="2"/>
    <n v="85"/>
    <n v="0"/>
    <s v="04-2026"/>
    <s v=""/>
    <n v="0"/>
    <n v="0"/>
  </r>
  <r>
    <s v="EMP1322"/>
    <s v="Exploring Infinities - Sales"/>
    <s v="SALES"/>
    <s v="Sales - India"/>
    <s v="Director 1"/>
    <s v="Bengaluru"/>
    <s v="WFH"/>
    <d v="2026-04-06T00:00:00"/>
    <d v="2026-05-02T00:00:00"/>
    <s v="Relieved"/>
    <s v="Involuntary"/>
    <x v="6"/>
    <n v="26"/>
    <n v="1"/>
    <s v="04-2026"/>
    <s v="05-2026"/>
    <n v="0"/>
    <n v="1"/>
  </r>
  <r>
    <s v="EMP1182"/>
    <s v="Exploring Infinities - Sales"/>
    <s v="SALES"/>
    <s v="Sales - India"/>
    <s v="Director 1"/>
    <s v="Bengaluru"/>
    <s v="WFH"/>
    <d v="2025-08-06T00:00:00"/>
    <m/>
    <s v="Active"/>
    <m/>
    <x v="2"/>
    <n v="328"/>
    <n v="0"/>
    <s v="08-2025"/>
    <s v=""/>
    <n v="0"/>
    <n v="0"/>
  </r>
  <r>
    <s v="EMP1517"/>
    <s v="Exploring Infinities - Sales"/>
    <s v="SALES"/>
    <s v="Sales - India"/>
    <s v="Director 1"/>
    <s v="Bengaluru"/>
    <s v="WFH"/>
    <d v="2026-06-06T00:00:00"/>
    <d v="2026-06-30T00:00:00"/>
    <s v="Relieved"/>
    <s v="Voluntary"/>
    <x v="8"/>
    <n v="24"/>
    <n v="1"/>
    <s v="06-2026"/>
    <s v="06-2026"/>
    <n v="1"/>
    <n v="0"/>
  </r>
  <r>
    <s v="EMP1526"/>
    <s v="Exploring Infinities - Sales"/>
    <s v="SALES"/>
    <s v="Sales - India"/>
    <s v="Director 1"/>
    <s v="Bengaluru"/>
    <s v="WFH"/>
    <d v="2026-06-06T00:00:00"/>
    <d v="2026-06-29T00:00:00"/>
    <s v="Relieved"/>
    <s v="Voluntary"/>
    <x v="4"/>
    <n v="23"/>
    <n v="1"/>
    <s v="06-2026"/>
    <s v="06-2026"/>
    <n v="1"/>
    <n v="0"/>
  </r>
  <r>
    <s v="EMP1388"/>
    <s v="Exploring Infinities - Sales"/>
    <s v="SALES"/>
    <s v="Sales - India"/>
    <s v="Director 1"/>
    <s v="Bengaluru"/>
    <s v="WFH"/>
    <d v="2026-05-06T00:00:00"/>
    <m/>
    <s v="Active"/>
    <m/>
    <x v="2"/>
    <n v="55"/>
    <n v="0"/>
    <s v="05-2026"/>
    <s v=""/>
    <n v="0"/>
    <n v="0"/>
  </r>
  <r>
    <s v="EMP1227"/>
    <s v="Exploring Infinities - Sales"/>
    <s v="SALES"/>
    <s v="Sales - India"/>
    <s v="Director 1"/>
    <s v="Bengaluru"/>
    <s v="WFH"/>
    <d v="2025-09-06T00:00:00"/>
    <d v="2026-04-29T00:00:00"/>
    <s v="Relieved"/>
    <s v="Involuntary"/>
    <x v="6"/>
    <n v="235"/>
    <n v="1"/>
    <s v="09-2025"/>
    <s v="04-2026"/>
    <n v="0"/>
    <n v="1"/>
  </r>
  <r>
    <s v="EMP1257"/>
    <s v="Exploring Infinities - Sales"/>
    <s v="SALES"/>
    <s v="Sales - India"/>
    <s v="Director 1"/>
    <s v="Bengaluru"/>
    <s v="WFH"/>
    <d v="2026-04-07T00:00:00"/>
    <d v="2026-05-29T00:00:00"/>
    <s v="Relieved"/>
    <s v="Involuntary"/>
    <x v="1"/>
    <n v="52"/>
    <n v="1"/>
    <s v="04-2026"/>
    <s v="05-2026"/>
    <n v="0"/>
    <n v="1"/>
  </r>
  <r>
    <s v="EMP1327"/>
    <s v="Exploring Infinities - Sales"/>
    <s v="SALES"/>
    <s v="Sales - India"/>
    <s v="Director 1"/>
    <s v="Bengaluru"/>
    <s v="WFH"/>
    <d v="2026-04-07T00:00:00"/>
    <d v="2026-04-30T00:00:00"/>
    <s v="Relieved"/>
    <s v="Voluntary"/>
    <x v="0"/>
    <n v="23"/>
    <n v="1"/>
    <s v="04-2026"/>
    <s v="04-2026"/>
    <n v="1"/>
    <n v="0"/>
  </r>
  <r>
    <s v="EMP1209"/>
    <s v="Exploring Infinities - Sales"/>
    <s v="SALES"/>
    <s v="Sales - India"/>
    <s v="Director 1"/>
    <s v="Bengaluru"/>
    <s v="WFH"/>
    <d v="2025-08-07T00:00:00"/>
    <d v="2026-06-05T00:00:00"/>
    <s v="Relieved"/>
    <s v="Involuntary"/>
    <x v="9"/>
    <n v="302"/>
    <n v="1"/>
    <s v="08-2025"/>
    <s v="06-2026"/>
    <n v="0"/>
    <n v="1"/>
  </r>
  <r>
    <s v="EMP1159"/>
    <s v="Exploring Infinities - Sales"/>
    <s v="SALES"/>
    <s v="Sales - India"/>
    <s v="Director 1"/>
    <s v="Bengaluru"/>
    <s v="WFH"/>
    <d v="2025-02-07T00:00:00"/>
    <d v="2026-04-08T00:00:00"/>
    <s v="Relieved"/>
    <s v="Involuntary"/>
    <x v="9"/>
    <n v="425"/>
    <n v="1"/>
    <s v="02-2025"/>
    <s v="04-2026"/>
    <n v="0"/>
    <n v="1"/>
  </r>
  <r>
    <s v="EMP1482"/>
    <s v="Exploring Infinities - Sales"/>
    <s v="SALES"/>
    <s v="Sales - India"/>
    <s v="Director 1"/>
    <s v="Bengaluru"/>
    <s v="WFH"/>
    <d v="2026-06-07T00:00:00"/>
    <d v="2026-06-07T00:00:00"/>
    <s v="Relieved"/>
    <s v="Voluntary"/>
    <x v="4"/>
    <n v="0"/>
    <n v="1"/>
    <s v="06-2026"/>
    <s v="06-2026"/>
    <n v="1"/>
    <n v="0"/>
  </r>
  <r>
    <s v="EMP1540"/>
    <s v="Exploring Infinities - Sales"/>
    <s v="SALES"/>
    <s v="Sales - India"/>
    <s v="Director 1"/>
    <s v="Bengaluru"/>
    <s v="WFH"/>
    <d v="2026-06-07T00:00:00"/>
    <m/>
    <s v="Active"/>
    <m/>
    <x v="2"/>
    <n v="23"/>
    <n v="0"/>
    <s v="06-2026"/>
    <s v=""/>
    <n v="0"/>
    <n v="0"/>
  </r>
  <r>
    <s v="EMP1221"/>
    <s v="Exploring Infinities - Sales"/>
    <s v="SALES"/>
    <s v="Sales - India"/>
    <s v="Director 1"/>
    <s v="Bengaluru"/>
    <s v="WFH"/>
    <d v="2026-03-07T00:00:00"/>
    <m/>
    <s v="Active"/>
    <m/>
    <x v="2"/>
    <n v="115"/>
    <n v="0"/>
    <s v="03-2026"/>
    <s v=""/>
    <n v="0"/>
    <n v="0"/>
  </r>
  <r>
    <s v="EMP1220"/>
    <s v="Exploring Infinities - Sales"/>
    <s v="SALES"/>
    <s v="Sales - India"/>
    <s v="Director 1"/>
    <s v="Bengaluru"/>
    <s v="WFH"/>
    <d v="2025-05-07T00:00:00"/>
    <d v="2026-06-15T00:00:00"/>
    <s v="Relieved"/>
    <s v="Involuntary"/>
    <x v="9"/>
    <n v="404"/>
    <n v="1"/>
    <s v="05-2025"/>
    <s v="06-2026"/>
    <n v="0"/>
    <n v="1"/>
  </r>
  <r>
    <s v="EMP1361"/>
    <s v="Exploring Infinities - Sales"/>
    <s v="SALES"/>
    <s v="Sales - India"/>
    <s v="Director 1"/>
    <s v="Bengaluru"/>
    <s v="WFH"/>
    <d v="2026-05-07T00:00:00"/>
    <d v="2026-05-27T00:00:00"/>
    <s v="Relieved"/>
    <s v="Voluntary"/>
    <x v="10"/>
    <n v="20"/>
    <n v="1"/>
    <s v="05-2026"/>
    <s v="05-2026"/>
    <n v="1"/>
    <n v="0"/>
  </r>
  <r>
    <s v="EMP1371"/>
    <s v="Exploring Infinities - Sales"/>
    <s v="SALES"/>
    <s v="Sales - India"/>
    <s v="Director 1"/>
    <s v="Bengaluru"/>
    <s v="WFH"/>
    <d v="2026-05-07T00:00:00"/>
    <d v="2026-05-15T00:00:00"/>
    <s v="Relieved"/>
    <s v="Voluntary"/>
    <x v="10"/>
    <n v="8"/>
    <n v="1"/>
    <s v="05-2026"/>
    <s v="05-2026"/>
    <n v="1"/>
    <n v="0"/>
  </r>
  <r>
    <s v="EMP1421"/>
    <s v="Exploring Infinities - Sales"/>
    <s v="SALES"/>
    <s v="Sales - India"/>
    <s v="Director 1"/>
    <s v="Bengaluru"/>
    <s v="WFH"/>
    <d v="2026-05-07T00:00:00"/>
    <m/>
    <s v="Active"/>
    <m/>
    <x v="2"/>
    <n v="54"/>
    <n v="0"/>
    <s v="05-2026"/>
    <s v=""/>
    <n v="0"/>
    <n v="0"/>
  </r>
  <r>
    <s v="EMP1288"/>
    <s v="Exploring Infinities - Sales"/>
    <s v="SALES"/>
    <s v="Sales - India"/>
    <s v="Director 1"/>
    <s v="Bengaluru"/>
    <s v="WFH"/>
    <d v="2026-04-08T00:00:00"/>
    <d v="2026-05-27T00:00:00"/>
    <s v="Relieved"/>
    <s v="Involuntary"/>
    <x v="6"/>
    <n v="49"/>
    <n v="1"/>
    <s v="04-2026"/>
    <s v="05-2026"/>
    <n v="0"/>
    <n v="1"/>
  </r>
  <r>
    <s v="EMP1290"/>
    <s v="Exploring Infinities - Sales"/>
    <s v="SALES"/>
    <s v="Sales - India"/>
    <s v="Director 1"/>
    <s v="Bengaluru"/>
    <s v="WFH"/>
    <d v="2026-04-08T00:00:00"/>
    <d v="2026-05-03T00:00:00"/>
    <s v="Relieved"/>
    <s v="Involuntary"/>
    <x v="9"/>
    <n v="25"/>
    <n v="1"/>
    <s v="04-2026"/>
    <s v="05-2026"/>
    <n v="0"/>
    <n v="1"/>
  </r>
  <r>
    <s v="EMP1347"/>
    <s v="Exploring Infinities - Sales"/>
    <s v="SALES"/>
    <s v="Sales - India"/>
    <s v="Director 1"/>
    <s v="Bengaluru"/>
    <s v="WFH"/>
    <d v="2026-04-08T00:00:00"/>
    <d v="2026-05-03T00:00:00"/>
    <s v="Relieved"/>
    <s v="Involuntary"/>
    <x v="6"/>
    <n v="25"/>
    <n v="1"/>
    <s v="04-2026"/>
    <s v="05-2026"/>
    <n v="0"/>
    <n v="1"/>
  </r>
  <r>
    <s v="EMP1198"/>
    <s v="Exploring Infinities - Sales"/>
    <s v="SALES"/>
    <s v="Sales - India"/>
    <s v="Director 1"/>
    <s v="Bengaluru"/>
    <s v="WFH"/>
    <d v="2025-12-08T00:00:00"/>
    <m/>
    <s v="Active"/>
    <m/>
    <x v="2"/>
    <n v="204"/>
    <n v="0"/>
    <s v="12-2025"/>
    <s v=""/>
    <n v="0"/>
    <n v="0"/>
  </r>
  <r>
    <s v="EMP1486"/>
    <s v="Exploring Infinities - Sales"/>
    <s v="SALES"/>
    <s v="Sales - India"/>
    <s v="Director 1"/>
    <s v="Bengaluru"/>
    <s v="WFH"/>
    <d v="2026-06-08T00:00:00"/>
    <m/>
    <s v="Active"/>
    <m/>
    <x v="2"/>
    <n v="22"/>
    <n v="0"/>
    <s v="06-2026"/>
    <s v=""/>
    <n v="0"/>
    <n v="0"/>
  </r>
  <r>
    <s v="EMP1497"/>
    <s v="Exploring Infinities - Sales"/>
    <s v="SALES"/>
    <s v="Sales - India"/>
    <s v="Director 1"/>
    <s v="Bengaluru"/>
    <s v="WFH"/>
    <d v="2026-06-08T00:00:00"/>
    <m/>
    <s v="Active"/>
    <m/>
    <x v="2"/>
    <n v="22"/>
    <n v="0"/>
    <s v="06-2026"/>
    <s v=""/>
    <n v="0"/>
    <n v="0"/>
  </r>
  <r>
    <s v="EMP1191"/>
    <s v="Exploring Infinities - Sales"/>
    <s v="SALES"/>
    <s v="Sales - India"/>
    <s v="Director 1"/>
    <s v="Bengaluru"/>
    <s v="WFH"/>
    <d v="2025-05-08T00:00:00"/>
    <d v="2026-04-24T00:00:00"/>
    <s v="Relieved"/>
    <s v="Involuntary"/>
    <x v="7"/>
    <n v="351"/>
    <n v="1"/>
    <s v="05-2025"/>
    <s v="04-2026"/>
    <n v="0"/>
    <n v="1"/>
  </r>
  <r>
    <s v="EMP1386"/>
    <s v="Exploring Infinities - Sales"/>
    <s v="SALES"/>
    <s v="Sales - India"/>
    <s v="Director 1"/>
    <s v="Bengaluru"/>
    <s v="WFH"/>
    <d v="2026-05-08T00:00:00"/>
    <m/>
    <s v="Active"/>
    <m/>
    <x v="2"/>
    <n v="53"/>
    <n v="0"/>
    <s v="05-2026"/>
    <s v=""/>
    <n v="0"/>
    <n v="0"/>
  </r>
  <r>
    <s v="EMP1395"/>
    <s v="Exploring Infinities - Sales"/>
    <s v="SALES"/>
    <s v="Sales - India"/>
    <s v="Director 1"/>
    <s v="Bengaluru"/>
    <s v="WFH"/>
    <d v="2026-05-08T00:00:00"/>
    <m/>
    <s v="Active"/>
    <m/>
    <x v="2"/>
    <n v="53"/>
    <n v="0"/>
    <s v="05-2026"/>
    <s v=""/>
    <n v="0"/>
    <n v="0"/>
  </r>
  <r>
    <s v="EMP1416"/>
    <s v="Exploring Infinities - Sales"/>
    <s v="SALES"/>
    <s v="Sales - India"/>
    <s v="Director 1"/>
    <s v="Bengaluru"/>
    <s v="WFH"/>
    <d v="2026-05-08T00:00:00"/>
    <m/>
    <s v="Active"/>
    <m/>
    <x v="2"/>
    <n v="53"/>
    <n v="0"/>
    <s v="05-2026"/>
    <s v=""/>
    <n v="0"/>
    <n v="0"/>
  </r>
  <r>
    <s v="EMP1211"/>
    <s v="Exploring Infinities - Sales"/>
    <s v="SALES"/>
    <s v="Sales - India"/>
    <s v="Director 1"/>
    <s v="Bengaluru"/>
    <s v="WFH"/>
    <d v="2025-10-08T00:00:00"/>
    <d v="2026-04-25T00:00:00"/>
    <s v="Relieved"/>
    <s v="Involuntary"/>
    <x v="7"/>
    <n v="199"/>
    <n v="1"/>
    <s v="10-2025"/>
    <s v="04-2026"/>
    <n v="0"/>
    <n v="1"/>
  </r>
  <r>
    <s v="EMP1291"/>
    <s v="Exploring Infinities - Sales"/>
    <s v="SALES"/>
    <s v="Sales - India"/>
    <s v="Director 1"/>
    <s v="Bengaluru"/>
    <s v="WFH"/>
    <d v="2026-04-09T00:00:00"/>
    <d v="2026-06-07T00:00:00"/>
    <s v="Relieved"/>
    <s v="Involuntary"/>
    <x v="1"/>
    <n v="59"/>
    <n v="1"/>
    <s v="04-2026"/>
    <s v="06-2026"/>
    <n v="0"/>
    <n v="1"/>
  </r>
  <r>
    <s v="EMP1324"/>
    <s v="Exploring Infinities - Sales"/>
    <s v="SALES"/>
    <s v="Sales - India"/>
    <s v="Director 1"/>
    <s v="Bengaluru"/>
    <s v="WFH"/>
    <d v="2026-04-09T00:00:00"/>
    <d v="2026-04-27T00:00:00"/>
    <s v="Relieved"/>
    <s v="Voluntary"/>
    <x v="5"/>
    <n v="18"/>
    <n v="1"/>
    <s v="04-2026"/>
    <s v="04-2026"/>
    <n v="1"/>
    <n v="0"/>
  </r>
  <r>
    <s v="EMP1334"/>
    <s v="Exploring Infinities - Sales"/>
    <s v="SALES"/>
    <s v="Sales - India"/>
    <s v="Director 1"/>
    <s v="Bengaluru"/>
    <s v="WFH"/>
    <d v="2026-04-09T00:00:00"/>
    <d v="2026-05-24T00:00:00"/>
    <s v="Relieved"/>
    <s v="Involuntary"/>
    <x v="7"/>
    <n v="45"/>
    <n v="1"/>
    <s v="04-2026"/>
    <s v="05-2026"/>
    <n v="0"/>
    <n v="1"/>
  </r>
  <r>
    <s v="EMP1338"/>
    <s v="Exploring Infinities - Sales"/>
    <s v="SALES"/>
    <s v="Sales - India"/>
    <s v="Director 1"/>
    <s v="Bengaluru"/>
    <s v="WFH"/>
    <d v="2026-04-09T00:00:00"/>
    <d v="2026-05-15T00:00:00"/>
    <s v="Relieved"/>
    <s v="Involuntary"/>
    <x v="9"/>
    <n v="36"/>
    <n v="1"/>
    <s v="04-2026"/>
    <s v="05-2026"/>
    <n v="0"/>
    <n v="1"/>
  </r>
  <r>
    <s v="EMP1232"/>
    <s v="Exploring Infinities - Sales"/>
    <s v="SALES"/>
    <s v="Sales - India"/>
    <s v="Director 1"/>
    <s v="Bengaluru"/>
    <s v="WFH"/>
    <d v="2025-02-09T00:00:00"/>
    <d v="2026-05-12T00:00:00"/>
    <s v="Relieved"/>
    <s v="Involuntary"/>
    <x v="1"/>
    <n v="457"/>
    <n v="1"/>
    <s v="02-2025"/>
    <s v="05-2026"/>
    <n v="0"/>
    <n v="1"/>
  </r>
  <r>
    <s v="EMP1495"/>
    <s v="Exploring Infinities - Sales"/>
    <s v="SALES"/>
    <s v="Sales - India"/>
    <s v="Director 1"/>
    <s v="Bengaluru"/>
    <s v="WFH"/>
    <d v="2026-06-09T00:00:00"/>
    <d v="2026-06-11T00:00:00"/>
    <s v="Relieved"/>
    <s v="Voluntary"/>
    <x v="4"/>
    <n v="2"/>
    <n v="1"/>
    <s v="06-2026"/>
    <s v="06-2026"/>
    <n v="1"/>
    <n v="0"/>
  </r>
  <r>
    <s v="EMP1515"/>
    <s v="Exploring Infinities - Sales"/>
    <s v="SALES"/>
    <s v="Sales - India"/>
    <s v="Director 1"/>
    <s v="Bengaluru"/>
    <s v="WFH"/>
    <d v="2026-06-09T00:00:00"/>
    <m/>
    <s v="Active"/>
    <m/>
    <x v="2"/>
    <n v="21"/>
    <n v="0"/>
    <s v="06-2026"/>
    <s v=""/>
    <n v="0"/>
    <n v="0"/>
  </r>
  <r>
    <s v="EMP1518"/>
    <s v="Exploring Infinities - Sales"/>
    <s v="SALES"/>
    <s v="Sales - India"/>
    <s v="Director 1"/>
    <s v="Bengaluru"/>
    <s v="WFH"/>
    <d v="2026-06-09T00:00:00"/>
    <m/>
    <s v="Active"/>
    <m/>
    <x v="2"/>
    <n v="21"/>
    <n v="0"/>
    <s v="06-2026"/>
    <s v=""/>
    <n v="0"/>
    <n v="0"/>
  </r>
  <r>
    <s v="EMP1372"/>
    <s v="Exploring Infinities - Sales"/>
    <s v="SALES"/>
    <s v="Sales - India"/>
    <s v="Director 1"/>
    <s v="Bengaluru"/>
    <s v="WFH"/>
    <d v="2026-05-09T00:00:00"/>
    <d v="2026-05-09T00:00:00"/>
    <s v="Relieved"/>
    <s v="Voluntary"/>
    <x v="3"/>
    <n v="0"/>
    <n v="1"/>
    <s v="05-2026"/>
    <s v="05-2026"/>
    <n v="1"/>
    <n v="0"/>
  </r>
  <r>
    <s v="EMP1411"/>
    <s v="Exploring Infinities - Sales"/>
    <s v="SALES"/>
    <s v="Sales - India"/>
    <s v="Director 1"/>
    <s v="Bengaluru"/>
    <s v="WFH"/>
    <d v="2026-05-09T00:00:00"/>
    <m/>
    <s v="Active"/>
    <m/>
    <x v="2"/>
    <n v="52"/>
    <n v="0"/>
    <s v="05-2026"/>
    <s v=""/>
    <n v="0"/>
    <n v="0"/>
  </r>
  <r>
    <s v="EMP1430"/>
    <s v="Exploring Infinities - Sales"/>
    <s v="SALES"/>
    <s v="Sales - India"/>
    <s v="Director 1"/>
    <s v="Bengaluru"/>
    <s v="WFH"/>
    <d v="2026-05-09T00:00:00"/>
    <m/>
    <s v="Active"/>
    <m/>
    <x v="2"/>
    <n v="52"/>
    <n v="0"/>
    <s v="05-2026"/>
    <s v=""/>
    <n v="0"/>
    <n v="0"/>
  </r>
  <r>
    <s v="EMP1439"/>
    <s v="Exploring Infinities - Sales"/>
    <s v="SALES"/>
    <s v="Sales - India"/>
    <s v="Director 1"/>
    <s v="Bengaluru"/>
    <s v="WFH"/>
    <d v="2026-05-09T00:00:00"/>
    <m/>
    <s v="Active"/>
    <m/>
    <x v="2"/>
    <n v="52"/>
    <n v="0"/>
    <s v="05-2026"/>
    <s v=""/>
    <n v="0"/>
    <n v="0"/>
  </r>
  <r>
    <s v="EMP1156"/>
    <s v="Exploring Infinities - Sales"/>
    <s v="SALES"/>
    <s v="Sales - India"/>
    <s v="Director 1"/>
    <s v="Bengaluru"/>
    <s v="WFH"/>
    <d v="2025-11-09T00:00:00"/>
    <d v="2026-05-14T00:00:00"/>
    <s v="Relieved"/>
    <s v="Involuntary"/>
    <x v="6"/>
    <n v="186"/>
    <n v="1"/>
    <s v="11-2025"/>
    <s v="05-2026"/>
    <n v="0"/>
    <n v="1"/>
  </r>
  <r>
    <s v="EMP1165"/>
    <s v="Exploring Infinities - Sales"/>
    <s v="SALES"/>
    <s v="Sales - India"/>
    <s v="Director 1"/>
    <s v="Bengaluru"/>
    <s v="WFH"/>
    <d v="2025-04-10T00:00:00"/>
    <m/>
    <s v="Active"/>
    <m/>
    <x v="2"/>
    <n v="446"/>
    <n v="0"/>
    <s v="04-2025"/>
    <s v=""/>
    <n v="0"/>
    <n v="0"/>
  </r>
  <r>
    <s v="EMP1274"/>
    <s v="Exploring Infinities - Sales"/>
    <s v="SALES"/>
    <s v="Sales - India"/>
    <s v="Director 1"/>
    <s v="Bengaluru"/>
    <s v="WFH"/>
    <d v="2026-04-10T00:00:00"/>
    <m/>
    <s v="Active"/>
    <m/>
    <x v="2"/>
    <n v="81"/>
    <n v="0"/>
    <s v="04-2026"/>
    <s v=""/>
    <n v="0"/>
    <n v="0"/>
  </r>
  <r>
    <s v="EMP1475"/>
    <s v="Exploring Infinities - Sales"/>
    <s v="SALES"/>
    <s v="Sales - India"/>
    <s v="Director 1"/>
    <s v="Bengaluru"/>
    <s v="WFH"/>
    <d v="2026-06-10T00:00:00"/>
    <d v="2026-06-18T00:00:00"/>
    <s v="Relieved"/>
    <s v="Voluntary"/>
    <x v="8"/>
    <n v="8"/>
    <n v="1"/>
    <s v="06-2026"/>
    <s v="06-2026"/>
    <n v="1"/>
    <n v="0"/>
  </r>
  <r>
    <s v="EMP1477"/>
    <s v="Exploring Infinities - Sales"/>
    <s v="SALES"/>
    <s v="Sales - India"/>
    <s v="Director 1"/>
    <s v="Bengaluru"/>
    <s v="WFH"/>
    <d v="2026-06-10T00:00:00"/>
    <d v="2026-06-15T00:00:00"/>
    <s v="Relieved"/>
    <s v="Voluntary"/>
    <x v="4"/>
    <n v="5"/>
    <n v="1"/>
    <s v="06-2026"/>
    <s v="06-2026"/>
    <n v="1"/>
    <n v="0"/>
  </r>
  <r>
    <s v="EMP1521"/>
    <s v="Exploring Infinities - Sales"/>
    <s v="SALES"/>
    <s v="Sales - India"/>
    <s v="Director 1"/>
    <s v="Bengaluru"/>
    <s v="WFH"/>
    <d v="2026-06-10T00:00:00"/>
    <m/>
    <s v="Active"/>
    <m/>
    <x v="2"/>
    <n v="20"/>
    <n v="0"/>
    <s v="06-2026"/>
    <s v=""/>
    <n v="0"/>
    <n v="0"/>
  </r>
  <r>
    <s v="EMP1195"/>
    <s v="Exploring Infinities - Sales"/>
    <s v="SALES"/>
    <s v="Sales - India"/>
    <s v="Director 1"/>
    <s v="Bengaluru"/>
    <s v="WFH"/>
    <d v="2025-03-10T00:00:00"/>
    <m/>
    <s v="Active"/>
    <m/>
    <x v="2"/>
    <n v="477"/>
    <n v="0"/>
    <s v="03-2025"/>
    <s v=""/>
    <n v="0"/>
    <n v="0"/>
  </r>
  <r>
    <s v="EMP1376"/>
    <s v="Exploring Infinities - Sales"/>
    <s v="SALES"/>
    <s v="Sales - India"/>
    <s v="Director 1"/>
    <s v="Bengaluru"/>
    <s v="WFH"/>
    <d v="2026-05-10T00:00:00"/>
    <d v="2026-06-03T00:00:00"/>
    <s v="Relieved"/>
    <s v="Involuntary"/>
    <x v="6"/>
    <n v="24"/>
    <n v="1"/>
    <s v="05-2026"/>
    <s v="06-2026"/>
    <n v="0"/>
    <n v="1"/>
  </r>
  <r>
    <s v="EMP1389"/>
    <s v="Exploring Infinities - Sales"/>
    <s v="SALES"/>
    <s v="Sales - India"/>
    <s v="Director 1"/>
    <s v="Bengaluru"/>
    <s v="WFH"/>
    <d v="2026-05-10T00:00:00"/>
    <d v="2026-05-12T00:00:00"/>
    <s v="Relieved"/>
    <s v="Voluntary"/>
    <x v="5"/>
    <n v="2"/>
    <n v="1"/>
    <s v="05-2026"/>
    <s v="05-2026"/>
    <n v="1"/>
    <n v="0"/>
  </r>
  <r>
    <s v="EMP1408"/>
    <s v="Exploring Infinities - Sales"/>
    <s v="SALES"/>
    <s v="Sales - India"/>
    <s v="Director 1"/>
    <s v="Bengaluru"/>
    <s v="WFH"/>
    <d v="2026-05-10T00:00:00"/>
    <m/>
    <s v="Active"/>
    <m/>
    <x v="2"/>
    <n v="51"/>
    <n v="0"/>
    <s v="05-2026"/>
    <s v=""/>
    <n v="0"/>
    <n v="0"/>
  </r>
  <r>
    <s v="EMP1442"/>
    <s v="Exploring Infinities - Sales"/>
    <s v="SALES"/>
    <s v="Sales - India"/>
    <s v="Director 1"/>
    <s v="Bengaluru"/>
    <s v="WFH"/>
    <d v="2026-05-10T00:00:00"/>
    <d v="2026-05-31T00:00:00"/>
    <s v="Relieved"/>
    <s v="Voluntary"/>
    <x v="0"/>
    <n v="21"/>
    <n v="1"/>
    <s v="05-2026"/>
    <s v="05-2026"/>
    <n v="1"/>
    <n v="0"/>
  </r>
  <r>
    <s v="EMP1444"/>
    <s v="Exploring Infinities - Sales"/>
    <s v="SALES"/>
    <s v="Sales - India"/>
    <s v="Director 1"/>
    <s v="Bengaluru"/>
    <s v="WFH"/>
    <d v="2026-05-10T00:00:00"/>
    <d v="2026-06-01T00:00:00"/>
    <s v="Relieved"/>
    <s v="Involuntary"/>
    <x v="7"/>
    <n v="22"/>
    <n v="1"/>
    <s v="05-2026"/>
    <s v="06-2026"/>
    <n v="0"/>
    <n v="1"/>
  </r>
  <r>
    <s v="EMP1205"/>
    <s v="Exploring Infinities - Sales"/>
    <s v="SALES"/>
    <s v="Sales - India"/>
    <s v="Director 1"/>
    <s v="Bengaluru"/>
    <s v="WFH"/>
    <d v="2025-11-10T00:00:00"/>
    <d v="2026-06-23T00:00:00"/>
    <s v="Relieved"/>
    <s v="Involuntary"/>
    <x v="1"/>
    <n v="225"/>
    <n v="1"/>
    <s v="11-2025"/>
    <s v="06-2026"/>
    <n v="0"/>
    <n v="1"/>
  </r>
  <r>
    <s v="EMP1296"/>
    <s v="Exploring Infinities - Sales"/>
    <s v="SALES"/>
    <s v="Sales - India"/>
    <s v="Director 1"/>
    <s v="Bengaluru"/>
    <s v="WFH"/>
    <d v="2026-04-11T00:00:00"/>
    <m/>
    <s v="Active"/>
    <m/>
    <x v="2"/>
    <n v="80"/>
    <n v="0"/>
    <s v="04-2026"/>
    <s v=""/>
    <n v="0"/>
    <n v="0"/>
  </r>
  <r>
    <s v="EMP1326"/>
    <s v="Exploring Infinities - Sales"/>
    <s v="SALES"/>
    <s v="Sales - India"/>
    <s v="Director 1"/>
    <s v="Bengaluru"/>
    <s v="WFH"/>
    <d v="2026-04-11T00:00:00"/>
    <d v="2026-06-12T00:00:00"/>
    <s v="Relieved"/>
    <s v="Involuntary"/>
    <x v="7"/>
    <n v="62"/>
    <n v="1"/>
    <s v="04-2026"/>
    <s v="06-2026"/>
    <n v="0"/>
    <n v="1"/>
  </r>
  <r>
    <s v="EMP1329"/>
    <s v="Exploring Infinities - Sales"/>
    <s v="SALES"/>
    <s v="Sales - India"/>
    <s v="Director 1"/>
    <s v="Bengaluru"/>
    <s v="WFH"/>
    <d v="2026-04-11T00:00:00"/>
    <d v="2026-04-20T00:00:00"/>
    <s v="Relieved"/>
    <s v="Voluntary"/>
    <x v="3"/>
    <n v="9"/>
    <n v="1"/>
    <s v="04-2026"/>
    <s v="04-2026"/>
    <n v="1"/>
    <n v="0"/>
  </r>
  <r>
    <s v="EMP1330"/>
    <s v="Exploring Infinities - Sales"/>
    <s v="SALES"/>
    <s v="Sales - India"/>
    <s v="Director 1"/>
    <s v="Bengaluru"/>
    <s v="WFH"/>
    <d v="2026-04-11T00:00:00"/>
    <d v="2026-04-11T00:00:00"/>
    <s v="Relieved"/>
    <s v="Voluntary"/>
    <x v="0"/>
    <n v="0"/>
    <n v="1"/>
    <s v="04-2026"/>
    <s v="04-2026"/>
    <n v="1"/>
    <n v="0"/>
  </r>
  <r>
    <s v="EMP1240"/>
    <s v="Exploring Infinities - Sales"/>
    <s v="SALES"/>
    <s v="Sales - India"/>
    <s v="Director 1"/>
    <s v="Bengaluru"/>
    <s v="WFH"/>
    <d v="2025-02-11T00:00:00"/>
    <d v="2026-04-30T00:00:00"/>
    <s v="Relieved"/>
    <s v="Involuntary"/>
    <x v="7"/>
    <n v="443"/>
    <n v="1"/>
    <s v="02-2025"/>
    <s v="04-2026"/>
    <n v="0"/>
    <n v="1"/>
  </r>
  <r>
    <s v="EMP1462"/>
    <s v="Exploring Infinities - Sales"/>
    <s v="SALES"/>
    <s v="Sales - India"/>
    <s v="Director 1"/>
    <s v="Bengaluru"/>
    <s v="WFH"/>
    <d v="2026-06-11T00:00:00"/>
    <d v="2026-06-27T00:00:00"/>
    <s v="Relieved"/>
    <s v="Voluntary"/>
    <x v="10"/>
    <n v="16"/>
    <n v="1"/>
    <s v="06-2026"/>
    <s v="06-2026"/>
    <n v="1"/>
    <n v="0"/>
  </r>
  <r>
    <s v="EMP1523"/>
    <s v="Exploring Infinities - Sales"/>
    <s v="SALES"/>
    <s v="Sales - India"/>
    <s v="Director 1"/>
    <s v="Bengaluru"/>
    <s v="WFH"/>
    <d v="2026-06-11T00:00:00"/>
    <m/>
    <s v="Active"/>
    <m/>
    <x v="2"/>
    <n v="19"/>
    <n v="0"/>
    <s v="06-2026"/>
    <s v=""/>
    <n v="0"/>
    <n v="0"/>
  </r>
  <r>
    <s v="EMP1192"/>
    <s v="Exploring Infinities - Sales"/>
    <s v="SALES"/>
    <s v="Sales - India"/>
    <s v="Director 1"/>
    <s v="Bengaluru"/>
    <s v="WFH"/>
    <d v="2026-03-11T00:00:00"/>
    <d v="2026-06-12T00:00:00"/>
    <s v="Relieved"/>
    <s v="Involuntary"/>
    <x v="1"/>
    <n v="93"/>
    <n v="1"/>
    <s v="03-2026"/>
    <s v="06-2026"/>
    <n v="0"/>
    <n v="1"/>
  </r>
  <r>
    <s v="EMP1435"/>
    <s v="Exploring Infinities - Sales"/>
    <s v="SALES"/>
    <s v="Sales - India"/>
    <s v="Director 1"/>
    <s v="Bengaluru"/>
    <s v="WFH"/>
    <d v="2026-05-11T00:00:00"/>
    <d v="2026-05-31T00:00:00"/>
    <s v="Relieved"/>
    <s v="Voluntary"/>
    <x v="5"/>
    <n v="20"/>
    <n v="1"/>
    <s v="05-2026"/>
    <s v="05-2026"/>
    <n v="1"/>
    <n v="0"/>
  </r>
  <r>
    <s v="EMP1456"/>
    <s v="Exploring Infinities - Sales"/>
    <s v="SALES"/>
    <s v="Sales - India"/>
    <s v="Director 1"/>
    <s v="Bengaluru"/>
    <s v="WFH"/>
    <d v="2026-05-11T00:00:00"/>
    <m/>
    <s v="Active"/>
    <m/>
    <x v="2"/>
    <n v="50"/>
    <n v="0"/>
    <s v="05-2026"/>
    <s v=""/>
    <n v="0"/>
    <n v="0"/>
  </r>
  <r>
    <s v="EMP1169"/>
    <s v="Exploring Infinities - Sales"/>
    <s v="SALES"/>
    <s v="Sales - India"/>
    <s v="Director 1"/>
    <s v="Bengaluru"/>
    <s v="WFH"/>
    <d v="2025-09-11T00:00:00"/>
    <d v="2026-04-23T00:00:00"/>
    <s v="Relieved"/>
    <s v="Involuntary"/>
    <x v="6"/>
    <n v="224"/>
    <n v="1"/>
    <s v="09-2025"/>
    <s v="04-2026"/>
    <n v="0"/>
    <n v="1"/>
  </r>
  <r>
    <s v="EMP1273"/>
    <s v="Exploring Infinities - Sales"/>
    <s v="SALES"/>
    <s v="Sales - India"/>
    <s v="Director 1"/>
    <s v="Bengaluru"/>
    <s v="WFH"/>
    <d v="2026-04-12T00:00:00"/>
    <m/>
    <s v="Active"/>
    <m/>
    <x v="2"/>
    <n v="79"/>
    <n v="0"/>
    <s v="04-2026"/>
    <s v=""/>
    <n v="0"/>
    <n v="0"/>
  </r>
  <r>
    <s v="EMP1346"/>
    <s v="Exploring Infinities - Sales"/>
    <s v="SALES"/>
    <s v="Sales - India"/>
    <s v="Director 1"/>
    <s v="Bengaluru"/>
    <s v="WFH"/>
    <d v="2026-04-12T00:00:00"/>
    <d v="2026-04-12T00:00:00"/>
    <s v="Relieved"/>
    <s v="Voluntary"/>
    <x v="3"/>
    <n v="0"/>
    <n v="1"/>
    <s v="04-2026"/>
    <s v="04-2026"/>
    <n v="1"/>
    <n v="0"/>
  </r>
  <r>
    <s v="EMP1202"/>
    <s v="Exploring Infinities - Sales"/>
    <s v="SALES"/>
    <s v="Sales - India"/>
    <s v="Director 1"/>
    <s v="Bengaluru"/>
    <s v="WFH"/>
    <d v="2025-06-12T00:00:00"/>
    <d v="2026-05-05T00:00:00"/>
    <s v="Relieved"/>
    <s v="Involuntary"/>
    <x v="6"/>
    <n v="327"/>
    <n v="1"/>
    <s v="06-2025"/>
    <s v="05-2026"/>
    <n v="0"/>
    <n v="1"/>
  </r>
  <r>
    <s v="EMP1466"/>
    <s v="Exploring Infinities - Sales"/>
    <s v="SALES"/>
    <s v="Sales - India"/>
    <s v="Director 1"/>
    <s v="Bengaluru"/>
    <s v="WFH"/>
    <d v="2026-06-12T00:00:00"/>
    <d v="2026-06-29T00:00:00"/>
    <s v="Relieved"/>
    <s v="Voluntary"/>
    <x v="0"/>
    <n v="17"/>
    <n v="1"/>
    <s v="06-2026"/>
    <s v="06-2026"/>
    <n v="1"/>
    <n v="0"/>
  </r>
  <r>
    <s v="EMP1478"/>
    <s v="Exploring Infinities - Sales"/>
    <s v="SALES"/>
    <s v="Sales - India"/>
    <s v="Director 1"/>
    <s v="Bengaluru"/>
    <s v="WFH"/>
    <d v="2026-06-12T00:00:00"/>
    <d v="2026-06-28T00:00:00"/>
    <s v="Relieved"/>
    <s v="Voluntary"/>
    <x v="8"/>
    <n v="16"/>
    <n v="1"/>
    <s v="06-2026"/>
    <s v="06-2026"/>
    <n v="1"/>
    <n v="0"/>
  </r>
  <r>
    <s v="EMP1489"/>
    <s v="Exploring Infinities - Sales"/>
    <s v="SALES"/>
    <s v="Sales - India"/>
    <s v="Director 1"/>
    <s v="Bengaluru"/>
    <s v="WFH"/>
    <d v="2026-06-12T00:00:00"/>
    <d v="2026-06-12T00:00:00"/>
    <s v="Relieved"/>
    <s v="Voluntary"/>
    <x v="0"/>
    <n v="0"/>
    <n v="1"/>
    <s v="06-2026"/>
    <s v="06-2026"/>
    <n v="1"/>
    <n v="0"/>
  </r>
  <r>
    <s v="EMP1492"/>
    <s v="Exploring Infinities - Sales"/>
    <s v="SALES"/>
    <s v="Sales - India"/>
    <s v="Director 1"/>
    <s v="Bengaluru"/>
    <s v="WFH"/>
    <d v="2026-06-12T00:00:00"/>
    <m/>
    <s v="Active"/>
    <m/>
    <x v="2"/>
    <n v="18"/>
    <n v="0"/>
    <s v="06-2026"/>
    <s v=""/>
    <n v="0"/>
    <n v="0"/>
  </r>
  <r>
    <s v="EMP1524"/>
    <s v="Exploring Infinities - Sales"/>
    <s v="SALES"/>
    <s v="Sales - India"/>
    <s v="Director 1"/>
    <s v="Bengaluru"/>
    <s v="WFH"/>
    <d v="2026-06-12T00:00:00"/>
    <m/>
    <s v="Active"/>
    <m/>
    <x v="2"/>
    <n v="18"/>
    <n v="0"/>
    <s v="06-2026"/>
    <s v=""/>
    <n v="0"/>
    <n v="0"/>
  </r>
  <r>
    <s v="EMP1241"/>
    <s v="Exploring Infinities - Sales"/>
    <s v="SALES"/>
    <s v="Sales - India"/>
    <s v="Director 1"/>
    <s v="Bengaluru"/>
    <s v="WFH"/>
    <d v="2025-03-12T00:00:00"/>
    <m/>
    <s v="Active"/>
    <m/>
    <x v="2"/>
    <n v="475"/>
    <n v="0"/>
    <s v="03-2025"/>
    <s v=""/>
    <n v="0"/>
    <n v="0"/>
  </r>
  <r>
    <s v="EMP1157"/>
    <s v="Exploring Infinities - Sales"/>
    <s v="SALES"/>
    <s v="Sales - India"/>
    <s v="Director 1"/>
    <s v="Bengaluru"/>
    <s v="WFH"/>
    <d v="2026-03-12T00:00:00"/>
    <d v="2026-06-12T00:00:00"/>
    <s v="Relieved"/>
    <s v="Involuntary"/>
    <x v="1"/>
    <n v="92"/>
    <n v="1"/>
    <s v="03-2026"/>
    <s v="06-2026"/>
    <n v="0"/>
    <n v="1"/>
  </r>
  <r>
    <s v="EMP1363"/>
    <s v="Exploring Infinities - Sales"/>
    <s v="SALES"/>
    <s v="Sales - India"/>
    <s v="Director 1"/>
    <s v="Bengaluru"/>
    <s v="WFH"/>
    <d v="2026-05-12T00:00:00"/>
    <m/>
    <s v="Active"/>
    <m/>
    <x v="2"/>
    <n v="49"/>
    <n v="0"/>
    <s v="05-2026"/>
    <s v=""/>
    <n v="0"/>
    <n v="0"/>
  </r>
  <r>
    <s v="EMP1455"/>
    <s v="Exploring Infinities - Sales"/>
    <s v="SALES"/>
    <s v="Sales - India"/>
    <s v="Director 1"/>
    <s v="Bengaluru"/>
    <s v="WFH"/>
    <d v="2026-05-12T00:00:00"/>
    <d v="2026-05-12T00:00:00"/>
    <s v="Relieved"/>
    <s v="Voluntary"/>
    <x v="3"/>
    <n v="0"/>
    <n v="1"/>
    <s v="05-2026"/>
    <s v="05-2026"/>
    <n v="1"/>
    <n v="0"/>
  </r>
  <r>
    <s v="EMP1260"/>
    <s v="Exploring Infinities - Sales"/>
    <s v="SALES"/>
    <s v="Sales - India"/>
    <s v="Director 1"/>
    <s v="Bengaluru"/>
    <s v="WFH"/>
    <d v="2026-04-13T00:00:00"/>
    <d v="2026-05-31T00:00:00"/>
    <s v="Relieved"/>
    <s v="Involuntary"/>
    <x v="9"/>
    <n v="48"/>
    <n v="1"/>
    <s v="04-2026"/>
    <s v="05-2026"/>
    <n v="0"/>
    <n v="1"/>
  </r>
  <r>
    <s v="EMP1270"/>
    <s v="Exploring Infinities - Sales"/>
    <s v="SALES"/>
    <s v="Sales - India"/>
    <s v="Director 1"/>
    <s v="Bengaluru"/>
    <s v="WFH"/>
    <d v="2026-04-13T00:00:00"/>
    <d v="2026-05-09T00:00:00"/>
    <s v="Relieved"/>
    <s v="Involuntary"/>
    <x v="7"/>
    <n v="26"/>
    <n v="1"/>
    <s v="04-2026"/>
    <s v="05-2026"/>
    <n v="0"/>
    <n v="1"/>
  </r>
  <r>
    <s v="EMP1276"/>
    <s v="Exploring Infinities - Sales"/>
    <s v="SALES"/>
    <s v="Sales - India"/>
    <s v="Director 1"/>
    <s v="Bengaluru"/>
    <s v="WFH"/>
    <d v="2026-04-13T00:00:00"/>
    <m/>
    <s v="Active"/>
    <m/>
    <x v="2"/>
    <n v="78"/>
    <n v="0"/>
    <s v="04-2026"/>
    <s v=""/>
    <n v="0"/>
    <n v="0"/>
  </r>
  <r>
    <s v="EMP1295"/>
    <s v="Exploring Infinities - Sales"/>
    <s v="SALES"/>
    <s v="Sales - India"/>
    <s v="Director 1"/>
    <s v="Bengaluru"/>
    <s v="WFH"/>
    <d v="2026-04-13T00:00:00"/>
    <d v="2026-04-14T00:00:00"/>
    <s v="Relieved"/>
    <s v="Voluntary"/>
    <x v="8"/>
    <n v="1"/>
    <n v="1"/>
    <s v="04-2026"/>
    <s v="04-2026"/>
    <n v="1"/>
    <n v="0"/>
  </r>
  <r>
    <s v="EMP1300"/>
    <s v="Exploring Infinities - Sales"/>
    <s v="SALES"/>
    <s v="Sales - India"/>
    <s v="Director 1"/>
    <s v="Bengaluru"/>
    <s v="WFH"/>
    <d v="2026-04-13T00:00:00"/>
    <d v="2026-06-24T00:00:00"/>
    <s v="Relieved"/>
    <s v="Involuntary"/>
    <x v="9"/>
    <n v="72"/>
    <n v="1"/>
    <s v="04-2026"/>
    <s v="06-2026"/>
    <n v="0"/>
    <n v="1"/>
  </r>
  <r>
    <s v="EMP1311"/>
    <s v="Exploring Infinities - Sales"/>
    <s v="SALES"/>
    <s v="Sales - India"/>
    <s v="Director 1"/>
    <s v="Bengaluru"/>
    <s v="WFH"/>
    <d v="2026-04-13T00:00:00"/>
    <d v="2026-04-13T00:00:00"/>
    <s v="Relieved"/>
    <s v="Voluntary"/>
    <x v="5"/>
    <n v="0"/>
    <n v="1"/>
    <s v="04-2026"/>
    <s v="04-2026"/>
    <n v="1"/>
    <n v="0"/>
  </r>
  <r>
    <s v="EMP1325"/>
    <s v="Exploring Infinities - Sales"/>
    <s v="SALES"/>
    <s v="Sales - India"/>
    <s v="Director 1"/>
    <s v="Bengaluru"/>
    <s v="WFH"/>
    <d v="2026-04-13T00:00:00"/>
    <d v="2026-04-28T00:00:00"/>
    <s v="Relieved"/>
    <s v="Voluntary"/>
    <x v="10"/>
    <n v="15"/>
    <n v="1"/>
    <s v="04-2026"/>
    <s v="04-2026"/>
    <n v="1"/>
    <n v="0"/>
  </r>
  <r>
    <s v="EMP1333"/>
    <s v="Exploring Infinities - Sales"/>
    <s v="SALES"/>
    <s v="Sales - India"/>
    <s v="Director 1"/>
    <s v="Bengaluru"/>
    <s v="WFH"/>
    <d v="2026-04-13T00:00:00"/>
    <m/>
    <s v="Active"/>
    <m/>
    <x v="2"/>
    <n v="78"/>
    <n v="0"/>
    <s v="04-2026"/>
    <s v=""/>
    <n v="0"/>
    <n v="0"/>
  </r>
  <r>
    <s v="EMP1238"/>
    <s v="Exploring Infinities - Sales"/>
    <s v="SALES"/>
    <s v="Sales - India"/>
    <s v="Director 1"/>
    <s v="Bengaluru"/>
    <s v="WFH"/>
    <d v="2025-06-13T00:00:00"/>
    <m/>
    <s v="Active"/>
    <m/>
    <x v="2"/>
    <n v="382"/>
    <n v="0"/>
    <s v="06-2025"/>
    <s v=""/>
    <n v="0"/>
    <n v="0"/>
  </r>
  <r>
    <s v="EMP1531"/>
    <s v="Exploring Infinities - Sales"/>
    <s v="SALES"/>
    <s v="Sales - India"/>
    <s v="Director 1"/>
    <s v="Bengaluru"/>
    <s v="WFH"/>
    <d v="2026-06-13T00:00:00"/>
    <d v="2026-06-27T00:00:00"/>
    <s v="Relieved"/>
    <s v="Voluntary"/>
    <x v="3"/>
    <n v="14"/>
    <n v="1"/>
    <s v="06-2026"/>
    <s v="06-2026"/>
    <n v="1"/>
    <n v="0"/>
  </r>
  <r>
    <s v="EMP1541"/>
    <s v="Exploring Infinities - Sales"/>
    <s v="SALES"/>
    <s v="Sales - India"/>
    <s v="Director 1"/>
    <s v="Bengaluru"/>
    <s v="WFH"/>
    <d v="2026-06-13T00:00:00"/>
    <d v="2026-06-23T00:00:00"/>
    <s v="Relieved"/>
    <s v="Voluntary"/>
    <x v="4"/>
    <n v="10"/>
    <n v="1"/>
    <s v="06-2026"/>
    <s v="06-2026"/>
    <n v="1"/>
    <n v="0"/>
  </r>
  <r>
    <s v="EMP1218"/>
    <s v="Exploring Infinities - Sales"/>
    <s v="SALES"/>
    <s v="Sales - India"/>
    <s v="Director 1"/>
    <s v="Bengaluru"/>
    <s v="WFH"/>
    <d v="2025-05-13T00:00:00"/>
    <m/>
    <s v="Active"/>
    <m/>
    <x v="2"/>
    <n v="413"/>
    <n v="0"/>
    <s v="05-2025"/>
    <s v=""/>
    <n v="0"/>
    <n v="0"/>
  </r>
  <r>
    <s v="EMP1420"/>
    <s v="Exploring Infinities - Sales"/>
    <s v="SALES"/>
    <s v="Sales - India"/>
    <s v="Director 1"/>
    <s v="Bengaluru"/>
    <s v="WFH"/>
    <d v="2026-05-13T00:00:00"/>
    <m/>
    <s v="Active"/>
    <m/>
    <x v="2"/>
    <n v="48"/>
    <n v="0"/>
    <s v="05-2026"/>
    <s v=""/>
    <n v="0"/>
    <n v="0"/>
  </r>
  <r>
    <s v="EMP1190"/>
    <s v="Exploring Infinities - Sales"/>
    <s v="SALES"/>
    <s v="Sales - India"/>
    <s v="Director 1"/>
    <s v="Bengaluru"/>
    <s v="WFH"/>
    <d v="2025-10-13T00:00:00"/>
    <d v="2026-05-04T00:00:00"/>
    <s v="Relieved"/>
    <s v="Involuntary"/>
    <x v="7"/>
    <n v="203"/>
    <n v="1"/>
    <s v="10-2025"/>
    <s v="05-2026"/>
    <n v="0"/>
    <n v="1"/>
  </r>
  <r>
    <s v="EMP1259"/>
    <s v="Exploring Infinities - Sales"/>
    <s v="SALES"/>
    <s v="Sales - India"/>
    <s v="Director 1"/>
    <s v="Bengaluru"/>
    <s v="WFH"/>
    <d v="2026-04-14T00:00:00"/>
    <d v="2026-04-21T00:00:00"/>
    <s v="Relieved"/>
    <s v="Voluntary"/>
    <x v="5"/>
    <n v="7"/>
    <n v="1"/>
    <s v="04-2026"/>
    <s v="04-2026"/>
    <n v="1"/>
    <n v="0"/>
  </r>
  <r>
    <s v="EMP1280"/>
    <s v="Exploring Infinities - Sales"/>
    <s v="SALES"/>
    <s v="Sales - India"/>
    <s v="Director 1"/>
    <s v="Bengaluru"/>
    <s v="WFH"/>
    <d v="2026-04-14T00:00:00"/>
    <d v="2026-05-19T00:00:00"/>
    <s v="Relieved"/>
    <s v="Voluntary"/>
    <x v="0"/>
    <n v="35"/>
    <n v="1"/>
    <s v="04-2026"/>
    <s v="05-2026"/>
    <n v="1"/>
    <n v="0"/>
  </r>
  <r>
    <s v="EMP1292"/>
    <s v="Exploring Infinities - Sales"/>
    <s v="SALES"/>
    <s v="Sales - India"/>
    <s v="Director 1"/>
    <s v="Bengaluru"/>
    <s v="WFH"/>
    <d v="2026-04-14T00:00:00"/>
    <d v="2026-06-02T00:00:00"/>
    <s v="Relieved"/>
    <s v="Involuntary"/>
    <x v="6"/>
    <n v="49"/>
    <n v="1"/>
    <s v="04-2026"/>
    <s v="06-2026"/>
    <n v="0"/>
    <n v="1"/>
  </r>
  <r>
    <s v="EMP1318"/>
    <s v="Exploring Infinities - Sales"/>
    <s v="SALES"/>
    <s v="Sales - India"/>
    <s v="Director 1"/>
    <s v="Bengaluru"/>
    <s v="WFH"/>
    <d v="2026-04-14T00:00:00"/>
    <d v="2026-04-19T00:00:00"/>
    <s v="Relieved"/>
    <s v="Voluntary"/>
    <x v="3"/>
    <n v="5"/>
    <n v="1"/>
    <s v="04-2026"/>
    <s v="04-2026"/>
    <n v="1"/>
    <n v="0"/>
  </r>
  <r>
    <s v="EMP1337"/>
    <s v="Exploring Infinities - Sales"/>
    <s v="SALES"/>
    <s v="Sales - India"/>
    <s v="Director 1"/>
    <s v="Bengaluru"/>
    <s v="WFH"/>
    <d v="2026-04-14T00:00:00"/>
    <m/>
    <s v="Active"/>
    <m/>
    <x v="2"/>
    <n v="77"/>
    <n v="0"/>
    <s v="04-2026"/>
    <s v=""/>
    <n v="0"/>
    <n v="0"/>
  </r>
  <r>
    <s v="EMP1231"/>
    <s v="Exploring Infinities - Sales"/>
    <s v="SALES"/>
    <s v="Sales - India"/>
    <s v="Director 1"/>
    <s v="Bengaluru"/>
    <s v="WFH"/>
    <d v="2025-08-14T00:00:00"/>
    <d v="2026-05-11T00:00:00"/>
    <s v="Relieved"/>
    <s v="Involuntary"/>
    <x v="7"/>
    <n v="270"/>
    <n v="1"/>
    <s v="08-2025"/>
    <s v="05-2026"/>
    <n v="0"/>
    <n v="1"/>
  </r>
  <r>
    <s v="EMP1465"/>
    <s v="Exploring Infinities - Sales"/>
    <s v="SALES"/>
    <s v="Sales - India"/>
    <s v="Director 1"/>
    <s v="Bengaluru"/>
    <s v="WFH"/>
    <d v="2026-06-14T00:00:00"/>
    <d v="2026-06-25T00:00:00"/>
    <s v="Relieved"/>
    <s v="Voluntary"/>
    <x v="5"/>
    <n v="11"/>
    <n v="1"/>
    <s v="06-2026"/>
    <s v="06-2026"/>
    <n v="1"/>
    <n v="0"/>
  </r>
  <r>
    <s v="EMP1470"/>
    <s v="Exploring Infinities - Sales"/>
    <s v="SALES"/>
    <s v="Sales - India"/>
    <s v="Director 1"/>
    <s v="Bengaluru"/>
    <s v="WFH"/>
    <d v="2026-06-14T00:00:00"/>
    <m/>
    <s v="Active"/>
    <m/>
    <x v="2"/>
    <n v="16"/>
    <n v="0"/>
    <s v="06-2026"/>
    <s v=""/>
    <n v="0"/>
    <n v="0"/>
  </r>
  <r>
    <s v="EMP1499"/>
    <s v="Exploring Infinities - Sales"/>
    <s v="SALES"/>
    <s v="Sales - India"/>
    <s v="Director 1"/>
    <s v="Bengaluru"/>
    <s v="WFH"/>
    <d v="2026-06-14T00:00:00"/>
    <d v="2026-06-14T00:00:00"/>
    <s v="Relieved"/>
    <s v="Voluntary"/>
    <x v="3"/>
    <n v="0"/>
    <n v="1"/>
    <s v="06-2026"/>
    <s v="06-2026"/>
    <n v="1"/>
    <n v="0"/>
  </r>
  <r>
    <s v="EMP1542"/>
    <s v="Exploring Infinities - Sales"/>
    <s v="SALES"/>
    <s v="Sales - India"/>
    <s v="Director 1"/>
    <s v="Bengaluru"/>
    <s v="WFH"/>
    <d v="2026-06-14T00:00:00"/>
    <d v="2026-06-14T00:00:00"/>
    <s v="Relieved"/>
    <s v="Voluntary"/>
    <x v="3"/>
    <n v="0"/>
    <n v="1"/>
    <s v="06-2026"/>
    <s v="06-2026"/>
    <n v="1"/>
    <n v="0"/>
  </r>
  <r>
    <s v="EMP1359"/>
    <s v="Exploring Infinities - Sales"/>
    <s v="SALES"/>
    <s v="Sales - India"/>
    <s v="Director 1"/>
    <s v="Bengaluru"/>
    <s v="WFH"/>
    <d v="2026-05-14T00:00:00"/>
    <d v="2026-06-12T00:00:00"/>
    <s v="Relieved"/>
    <s v="Involuntary"/>
    <x v="1"/>
    <n v="29"/>
    <n v="1"/>
    <s v="05-2026"/>
    <s v="06-2026"/>
    <n v="0"/>
    <n v="1"/>
  </r>
  <r>
    <s v="EMP1393"/>
    <s v="Exploring Infinities - Sales"/>
    <s v="SALES"/>
    <s v="Sales - India"/>
    <s v="Director 1"/>
    <s v="Bengaluru"/>
    <s v="WFH"/>
    <d v="2026-05-14T00:00:00"/>
    <d v="2026-05-14T00:00:00"/>
    <s v="Relieved"/>
    <s v="Voluntary"/>
    <x v="3"/>
    <n v="0"/>
    <n v="1"/>
    <s v="05-2026"/>
    <s v="05-2026"/>
    <n v="1"/>
    <n v="0"/>
  </r>
  <r>
    <s v="EMP1412"/>
    <s v="Exploring Infinities - Sales"/>
    <s v="SALES"/>
    <s v="Sales - India"/>
    <s v="Director 1"/>
    <s v="Bengaluru"/>
    <s v="WFH"/>
    <d v="2026-05-14T00:00:00"/>
    <d v="2026-05-14T00:00:00"/>
    <s v="Relieved"/>
    <s v="Voluntary"/>
    <x v="5"/>
    <n v="0"/>
    <n v="1"/>
    <s v="05-2026"/>
    <s v="05-2026"/>
    <n v="1"/>
    <n v="0"/>
  </r>
  <r>
    <s v="EMP1434"/>
    <s v="Exploring Infinities - Sales"/>
    <s v="SALES"/>
    <s v="Sales - India"/>
    <s v="Director 1"/>
    <s v="Bengaluru"/>
    <s v="WFH"/>
    <d v="2026-05-14T00:00:00"/>
    <m/>
    <s v="Active"/>
    <m/>
    <x v="2"/>
    <n v="47"/>
    <n v="0"/>
    <s v="05-2026"/>
    <s v=""/>
    <n v="0"/>
    <n v="0"/>
  </r>
  <r>
    <s v="EMP1200"/>
    <s v="Exploring Infinities - Sales"/>
    <s v="SALES"/>
    <s v="Sales - India"/>
    <s v="Director 1"/>
    <s v="Bengaluru"/>
    <s v="WFH"/>
    <d v="2025-10-14T00:00:00"/>
    <m/>
    <s v="Active"/>
    <m/>
    <x v="2"/>
    <n v="259"/>
    <n v="0"/>
    <s v="10-2025"/>
    <s v=""/>
    <n v="0"/>
    <n v="0"/>
  </r>
  <r>
    <s v="EMP1304"/>
    <s v="Exploring Infinities - Sales"/>
    <s v="SALES"/>
    <s v="Sales - India"/>
    <s v="Director 1"/>
    <s v="Bengaluru"/>
    <s v="WFH"/>
    <d v="2026-04-15T00:00:00"/>
    <d v="2026-06-21T00:00:00"/>
    <s v="Relieved"/>
    <s v="Involuntary"/>
    <x v="1"/>
    <n v="67"/>
    <n v="1"/>
    <s v="04-2026"/>
    <s v="06-2026"/>
    <n v="0"/>
    <n v="1"/>
  </r>
  <r>
    <s v="EMP1321"/>
    <s v="Exploring Infinities - Sales"/>
    <s v="SALES"/>
    <s v="Sales - India"/>
    <s v="Director 1"/>
    <s v="Bengaluru"/>
    <s v="WFH"/>
    <d v="2026-04-15T00:00:00"/>
    <m/>
    <s v="Active"/>
    <m/>
    <x v="2"/>
    <n v="76"/>
    <n v="0"/>
    <s v="04-2026"/>
    <s v=""/>
    <n v="0"/>
    <n v="0"/>
  </r>
  <r>
    <s v="EMP1328"/>
    <s v="Exploring Infinities - Sales"/>
    <s v="SALES"/>
    <s v="Sales - India"/>
    <s v="Director 1"/>
    <s v="Bengaluru"/>
    <s v="WFH"/>
    <d v="2026-04-15T00:00:00"/>
    <m/>
    <s v="Active"/>
    <m/>
    <x v="2"/>
    <n v="76"/>
    <n v="0"/>
    <s v="04-2026"/>
    <s v=""/>
    <n v="0"/>
    <n v="0"/>
  </r>
  <r>
    <s v="EMP1204"/>
    <s v="Exploring Infinities - Sales"/>
    <s v="SALES"/>
    <s v="Sales - India"/>
    <s v="Director 1"/>
    <s v="Bengaluru"/>
    <s v="WFH"/>
    <d v="2025-08-15T00:00:00"/>
    <d v="2026-04-19T00:00:00"/>
    <s v="Relieved"/>
    <s v="Involuntary"/>
    <x v="9"/>
    <n v="247"/>
    <n v="1"/>
    <s v="08-2025"/>
    <s v="04-2026"/>
    <n v="0"/>
    <n v="1"/>
  </r>
  <r>
    <s v="EMP1196"/>
    <s v="Exploring Infinities - Sales"/>
    <s v="SALES"/>
    <s v="Sales - India"/>
    <s v="Director 1"/>
    <s v="Bengaluru"/>
    <s v="WFH"/>
    <d v="2026-02-15T00:00:00"/>
    <d v="2026-05-15T00:00:00"/>
    <s v="Relieved"/>
    <s v="Involuntary"/>
    <x v="1"/>
    <n v="89"/>
    <n v="1"/>
    <s v="02-2026"/>
    <s v="05-2026"/>
    <n v="0"/>
    <n v="1"/>
  </r>
  <r>
    <s v="EMP1358"/>
    <s v="Exploring Infinities - Sales"/>
    <s v="SALES"/>
    <s v="Sales - India"/>
    <s v="Director 1"/>
    <s v="Bengaluru"/>
    <s v="WFH"/>
    <d v="2026-05-15T00:00:00"/>
    <d v="2026-05-19T00:00:00"/>
    <s v="Relieved"/>
    <s v="Voluntary"/>
    <x v="3"/>
    <n v="4"/>
    <n v="1"/>
    <s v="05-2026"/>
    <s v="05-2026"/>
    <n v="1"/>
    <n v="0"/>
  </r>
  <r>
    <s v="EMP1368"/>
    <s v="Exploring Infinities - Sales"/>
    <s v="SALES"/>
    <s v="Sales - India"/>
    <s v="Director 1"/>
    <s v="Bengaluru"/>
    <s v="WFH"/>
    <d v="2026-05-15T00:00:00"/>
    <d v="2026-05-31T00:00:00"/>
    <s v="Relieved"/>
    <s v="Voluntary"/>
    <x v="10"/>
    <n v="16"/>
    <n v="1"/>
    <s v="05-2026"/>
    <s v="05-2026"/>
    <n v="1"/>
    <n v="0"/>
  </r>
  <r>
    <s v="EMP1377"/>
    <s v="Exploring Infinities - Sales"/>
    <s v="SALES"/>
    <s v="Sales - India"/>
    <s v="Director 1"/>
    <s v="Bengaluru"/>
    <s v="WFH"/>
    <d v="2026-05-15T00:00:00"/>
    <m/>
    <s v="Active"/>
    <m/>
    <x v="2"/>
    <n v="46"/>
    <n v="0"/>
    <s v="05-2026"/>
    <s v=""/>
    <n v="0"/>
    <n v="0"/>
  </r>
  <r>
    <s v="EMP1399"/>
    <s v="Exploring Infinities - Sales"/>
    <s v="SALES"/>
    <s v="Sales - India"/>
    <s v="Director 1"/>
    <s v="Bengaluru"/>
    <s v="WFH"/>
    <d v="2026-05-15T00:00:00"/>
    <d v="2026-05-15T00:00:00"/>
    <s v="Relieved"/>
    <s v="Voluntary"/>
    <x v="8"/>
    <n v="0"/>
    <n v="1"/>
    <s v="05-2026"/>
    <s v="05-2026"/>
    <n v="1"/>
    <n v="0"/>
  </r>
  <r>
    <s v="EMP1417"/>
    <s v="Exploring Infinities - Sales"/>
    <s v="SALES"/>
    <s v="Sales - India"/>
    <s v="Director 1"/>
    <s v="Bengaluru"/>
    <s v="WFH"/>
    <d v="2026-05-15T00:00:00"/>
    <m/>
    <s v="Active"/>
    <m/>
    <x v="2"/>
    <n v="46"/>
    <n v="0"/>
    <s v="05-2026"/>
    <s v=""/>
    <n v="0"/>
    <n v="0"/>
  </r>
  <r>
    <s v="EMP1452"/>
    <s v="Exploring Infinities - Sales"/>
    <s v="SALES"/>
    <s v="Sales - India"/>
    <s v="Director 1"/>
    <s v="Bengaluru"/>
    <s v="WFH"/>
    <d v="2026-05-15T00:00:00"/>
    <m/>
    <s v="Active"/>
    <m/>
    <x v="2"/>
    <n v="46"/>
    <n v="0"/>
    <s v="05-2026"/>
    <s v=""/>
    <n v="0"/>
    <n v="0"/>
  </r>
  <r>
    <s v="EMP1271"/>
    <s v="Exploring Infinities - Sales"/>
    <s v="SALES"/>
    <s v="Sales - India"/>
    <s v="Director 1"/>
    <s v="Bengaluru"/>
    <s v="WFH"/>
    <d v="2026-04-16T00:00:00"/>
    <d v="2026-04-26T00:00:00"/>
    <s v="Relieved"/>
    <s v="Voluntary"/>
    <x v="5"/>
    <n v="10"/>
    <n v="1"/>
    <s v="04-2026"/>
    <s v="04-2026"/>
    <n v="1"/>
    <n v="0"/>
  </r>
  <r>
    <s v="EMP1289"/>
    <s v="Exploring Infinities - Sales"/>
    <s v="SALES"/>
    <s v="Sales - India"/>
    <s v="Director 1"/>
    <s v="Bengaluru"/>
    <s v="WFH"/>
    <d v="2026-04-16T00:00:00"/>
    <d v="2026-05-13T00:00:00"/>
    <s v="Relieved"/>
    <s v="Involuntary"/>
    <x v="7"/>
    <n v="27"/>
    <n v="1"/>
    <s v="04-2026"/>
    <s v="05-2026"/>
    <n v="0"/>
    <n v="1"/>
  </r>
  <r>
    <s v="EMP1293"/>
    <s v="Exploring Infinities - Sales"/>
    <s v="SALES"/>
    <s v="Sales - India"/>
    <s v="Director 1"/>
    <s v="Bengaluru"/>
    <s v="WFH"/>
    <d v="2026-04-16T00:00:00"/>
    <d v="2026-06-29T00:00:00"/>
    <s v="Relieved"/>
    <s v="Involuntary"/>
    <x v="9"/>
    <n v="74"/>
    <n v="1"/>
    <s v="04-2026"/>
    <s v="06-2026"/>
    <n v="0"/>
    <n v="1"/>
  </r>
  <r>
    <s v="EMP1341"/>
    <s v="Exploring Infinities - Sales"/>
    <s v="SALES"/>
    <s v="Sales - India"/>
    <s v="Director 1"/>
    <s v="Bengaluru"/>
    <s v="WFH"/>
    <d v="2026-04-16T00:00:00"/>
    <d v="2026-06-25T00:00:00"/>
    <s v="Relieved"/>
    <s v="Involuntary"/>
    <x v="6"/>
    <n v="70"/>
    <n v="1"/>
    <s v="04-2026"/>
    <s v="06-2026"/>
    <n v="0"/>
    <n v="1"/>
  </r>
  <r>
    <s v="EMP1185"/>
    <s v="Exploring Infinities - Sales"/>
    <s v="SALES"/>
    <s v="Sales - India"/>
    <s v="Director 1"/>
    <s v="Bengaluru"/>
    <s v="WFH"/>
    <d v="2026-02-16T00:00:00"/>
    <m/>
    <s v="Active"/>
    <m/>
    <x v="2"/>
    <n v="134"/>
    <n v="0"/>
    <s v="02-2026"/>
    <s v=""/>
    <n v="0"/>
    <n v="0"/>
  </r>
  <r>
    <s v="EMP1214"/>
    <s v="Exploring Infinities - Sales"/>
    <s v="SALES"/>
    <s v="Sales - India"/>
    <s v="Director 1"/>
    <s v="Bengaluru"/>
    <s v="WFH"/>
    <d v="2026-01-16T00:00:00"/>
    <d v="2026-04-06T00:00:00"/>
    <s v="Relieved"/>
    <s v="Involuntary"/>
    <x v="6"/>
    <n v="80"/>
    <n v="1"/>
    <s v="01-2026"/>
    <s v="04-2026"/>
    <n v="0"/>
    <n v="1"/>
  </r>
  <r>
    <s v="EMP1168"/>
    <s v="Exploring Infinities - Sales"/>
    <s v="SALES"/>
    <s v="Sales - India"/>
    <s v="Director 1"/>
    <s v="Bengaluru"/>
    <s v="WFH"/>
    <d v="2025-07-16T00:00:00"/>
    <d v="2026-04-16T00:00:00"/>
    <s v="Relieved"/>
    <s v="Voluntary"/>
    <x v="10"/>
    <n v="274"/>
    <n v="1"/>
    <s v="07-2025"/>
    <s v="04-2026"/>
    <n v="1"/>
    <n v="0"/>
  </r>
  <r>
    <s v="EMP1244"/>
    <s v="Exploring Infinities - Sales"/>
    <s v="SALES"/>
    <s v="Sales - India"/>
    <s v="Director 1"/>
    <s v="Bengaluru"/>
    <s v="WFH"/>
    <d v="2025-07-16T00:00:00"/>
    <d v="2026-06-04T00:00:00"/>
    <s v="Relieved"/>
    <s v="Involuntary"/>
    <x v="9"/>
    <n v="323"/>
    <n v="1"/>
    <s v="07-2025"/>
    <s v="06-2026"/>
    <n v="0"/>
    <n v="1"/>
  </r>
  <r>
    <s v="EMP1485"/>
    <s v="Exploring Infinities - Sales"/>
    <s v="SALES"/>
    <s v="Sales - India"/>
    <s v="Director 1"/>
    <s v="Bengaluru"/>
    <s v="WFH"/>
    <d v="2026-06-16T00:00:00"/>
    <d v="2026-06-16T00:00:00"/>
    <s v="Relieved"/>
    <s v="Voluntary"/>
    <x v="0"/>
    <n v="0"/>
    <n v="1"/>
    <s v="06-2026"/>
    <s v="06-2026"/>
    <n v="1"/>
    <n v="0"/>
  </r>
  <r>
    <s v="EMP1366"/>
    <s v="Exploring Infinities - Sales"/>
    <s v="SALES"/>
    <s v="Sales - India"/>
    <s v="Director 1"/>
    <s v="Bengaluru"/>
    <s v="WFH"/>
    <d v="2026-05-16T00:00:00"/>
    <d v="2026-05-20T00:00:00"/>
    <s v="Relieved"/>
    <s v="Voluntary"/>
    <x v="10"/>
    <n v="4"/>
    <n v="1"/>
    <s v="05-2026"/>
    <s v="05-2026"/>
    <n v="1"/>
    <n v="0"/>
  </r>
  <r>
    <s v="EMP1380"/>
    <s v="Exploring Infinities - Sales"/>
    <s v="SALES"/>
    <s v="Sales - India"/>
    <s v="Director 1"/>
    <s v="Bengaluru"/>
    <s v="WFH"/>
    <d v="2026-05-16T00:00:00"/>
    <m/>
    <s v="Active"/>
    <m/>
    <x v="2"/>
    <n v="45"/>
    <n v="0"/>
    <s v="05-2026"/>
    <s v=""/>
    <n v="0"/>
    <n v="0"/>
  </r>
  <r>
    <s v="EMP1405"/>
    <s v="Exploring Infinities - Sales"/>
    <s v="SALES"/>
    <s v="Sales - India"/>
    <s v="Director 1"/>
    <s v="Bengaluru"/>
    <s v="WFH"/>
    <d v="2026-05-16T00:00:00"/>
    <d v="2026-06-03T00:00:00"/>
    <s v="Relieved"/>
    <s v="Involuntary"/>
    <x v="9"/>
    <n v="18"/>
    <n v="1"/>
    <s v="05-2026"/>
    <s v="06-2026"/>
    <n v="0"/>
    <n v="1"/>
  </r>
  <r>
    <s v="EMP1414"/>
    <s v="Exploring Infinities - Sales"/>
    <s v="SALES"/>
    <s v="Sales - India"/>
    <s v="Director 1"/>
    <s v="Bengaluru"/>
    <s v="WFH"/>
    <d v="2026-05-16T00:00:00"/>
    <d v="2026-05-16T00:00:00"/>
    <s v="Relieved"/>
    <s v="Voluntary"/>
    <x v="5"/>
    <n v="0"/>
    <n v="1"/>
    <s v="05-2026"/>
    <s v="05-2026"/>
    <n v="1"/>
    <n v="0"/>
  </r>
  <r>
    <s v="EMP1415"/>
    <s v="Exploring Infinities - Sales"/>
    <s v="SALES"/>
    <s v="Sales - India"/>
    <s v="Director 1"/>
    <s v="Bengaluru"/>
    <s v="WFH"/>
    <d v="2026-05-16T00:00:00"/>
    <d v="2026-05-16T00:00:00"/>
    <s v="Relieved"/>
    <s v="Voluntary"/>
    <x v="5"/>
    <n v="0"/>
    <n v="1"/>
    <s v="05-2026"/>
    <s v="05-2026"/>
    <n v="1"/>
    <n v="0"/>
  </r>
  <r>
    <s v="EMP1449"/>
    <s v="Exploring Infinities - Sales"/>
    <s v="SALES"/>
    <s v="Sales - India"/>
    <s v="Director 1"/>
    <s v="Bengaluru"/>
    <s v="WFH"/>
    <d v="2026-05-16T00:00:00"/>
    <m/>
    <s v="Active"/>
    <m/>
    <x v="2"/>
    <n v="45"/>
    <n v="0"/>
    <s v="05-2026"/>
    <s v=""/>
    <n v="0"/>
    <n v="0"/>
  </r>
  <r>
    <s v="EMP1454"/>
    <s v="Exploring Infinities - Sales"/>
    <s v="SALES"/>
    <s v="Sales - India"/>
    <s v="Director 1"/>
    <s v="Bengaluru"/>
    <s v="WFH"/>
    <d v="2026-05-16T00:00:00"/>
    <m/>
    <s v="Active"/>
    <m/>
    <x v="2"/>
    <n v="45"/>
    <n v="0"/>
    <s v="05-2026"/>
    <s v=""/>
    <n v="0"/>
    <n v="0"/>
  </r>
  <r>
    <s v="EMP1208"/>
    <s v="Exploring Infinities - Sales"/>
    <s v="SALES"/>
    <s v="Sales - India"/>
    <s v="Director 1"/>
    <s v="Bengaluru"/>
    <s v="WFH"/>
    <d v="2025-09-16T00:00:00"/>
    <d v="2026-04-21T00:00:00"/>
    <s v="Relieved"/>
    <s v="Involuntary"/>
    <x v="6"/>
    <n v="217"/>
    <n v="1"/>
    <s v="09-2025"/>
    <s v="04-2026"/>
    <n v="0"/>
    <n v="1"/>
  </r>
  <r>
    <s v="EMP1212"/>
    <s v="Exploring Infinities - Sales"/>
    <s v="SALES"/>
    <s v="Sales - India"/>
    <s v="Director 1"/>
    <s v="Bengaluru"/>
    <s v="WFH"/>
    <d v="2025-08-17T00:00:00"/>
    <m/>
    <s v="Active"/>
    <m/>
    <x v="2"/>
    <n v="317"/>
    <n v="0"/>
    <s v="08-2025"/>
    <s v=""/>
    <n v="0"/>
    <n v="0"/>
  </r>
  <r>
    <s v="EMP1481"/>
    <s v="Exploring Infinities - Sales"/>
    <s v="SALES"/>
    <s v="Sales - India"/>
    <s v="Director 1"/>
    <s v="Bengaluru"/>
    <s v="WFH"/>
    <d v="2026-06-17T00:00:00"/>
    <d v="2026-06-24T00:00:00"/>
    <s v="Relieved"/>
    <s v="Voluntary"/>
    <x v="10"/>
    <n v="7"/>
    <n v="1"/>
    <s v="06-2026"/>
    <s v="06-2026"/>
    <n v="1"/>
    <n v="0"/>
  </r>
  <r>
    <s v="EMP1539"/>
    <s v="Exploring Infinities - Sales"/>
    <s v="SALES"/>
    <s v="Sales - India"/>
    <s v="Director 1"/>
    <s v="Bengaluru"/>
    <s v="WFH"/>
    <d v="2026-06-17T00:00:00"/>
    <d v="2026-06-17T00:00:00"/>
    <s v="Relieved"/>
    <s v="Voluntary"/>
    <x v="5"/>
    <n v="0"/>
    <n v="1"/>
    <s v="06-2026"/>
    <s v="06-2026"/>
    <n v="1"/>
    <n v="0"/>
  </r>
  <r>
    <s v="EMP1172"/>
    <s v="Exploring Infinities - Sales"/>
    <s v="SALES"/>
    <s v="Sales - India"/>
    <s v="Director 1"/>
    <s v="Bengaluru"/>
    <s v="WFH"/>
    <d v="2025-03-17T00:00:00"/>
    <d v="2026-05-17T00:00:00"/>
    <s v="Relieved"/>
    <s v="Involuntary"/>
    <x v="9"/>
    <n v="426"/>
    <n v="1"/>
    <s v="03-2025"/>
    <s v="05-2026"/>
    <n v="0"/>
    <n v="1"/>
  </r>
  <r>
    <s v="EMP1177"/>
    <s v="Exploring Infinities - Sales"/>
    <s v="SALES"/>
    <s v="Sales - India"/>
    <s v="Director 1"/>
    <s v="Bengaluru"/>
    <s v="WFH"/>
    <d v="2026-03-17T00:00:00"/>
    <d v="2026-05-14T00:00:00"/>
    <s v="Relieved"/>
    <s v="Involuntary"/>
    <x v="9"/>
    <n v="58"/>
    <n v="1"/>
    <s v="03-2026"/>
    <s v="05-2026"/>
    <n v="0"/>
    <n v="1"/>
  </r>
  <r>
    <s v="EMP1362"/>
    <s v="Exploring Infinities - Sales"/>
    <s v="SALES"/>
    <s v="Sales - India"/>
    <s v="Director 1"/>
    <s v="Bengaluru"/>
    <s v="WFH"/>
    <d v="2026-05-17T00:00:00"/>
    <m/>
    <s v="Active"/>
    <m/>
    <x v="2"/>
    <n v="44"/>
    <n v="0"/>
    <s v="05-2026"/>
    <s v=""/>
    <n v="0"/>
    <n v="0"/>
  </r>
  <r>
    <s v="EMP1409"/>
    <s v="Exploring Infinities - Sales"/>
    <s v="SALES"/>
    <s v="Sales - India"/>
    <s v="Director 1"/>
    <s v="Bengaluru"/>
    <s v="WFH"/>
    <d v="2026-05-17T00:00:00"/>
    <d v="2026-05-28T00:00:00"/>
    <s v="Relieved"/>
    <s v="Voluntary"/>
    <x v="8"/>
    <n v="11"/>
    <n v="1"/>
    <s v="05-2026"/>
    <s v="05-2026"/>
    <n v="1"/>
    <n v="0"/>
  </r>
  <r>
    <s v="EMP1424"/>
    <s v="Exploring Infinities - Sales"/>
    <s v="SALES"/>
    <s v="Sales - India"/>
    <s v="Director 1"/>
    <s v="Bengaluru"/>
    <s v="WFH"/>
    <d v="2026-05-17T00:00:00"/>
    <d v="2026-05-17T00:00:00"/>
    <s v="Relieved"/>
    <s v="Voluntary"/>
    <x v="8"/>
    <n v="0"/>
    <n v="1"/>
    <s v="05-2026"/>
    <s v="05-2026"/>
    <n v="1"/>
    <n v="0"/>
  </r>
  <r>
    <s v="EMP1438"/>
    <s v="Exploring Infinities - Sales"/>
    <s v="SALES"/>
    <s v="Sales - India"/>
    <s v="Director 1"/>
    <s v="Bengaluru"/>
    <s v="WFH"/>
    <d v="2026-05-17T00:00:00"/>
    <m/>
    <s v="Active"/>
    <m/>
    <x v="2"/>
    <n v="44"/>
    <n v="0"/>
    <s v="05-2026"/>
    <s v=""/>
    <n v="0"/>
    <n v="0"/>
  </r>
  <r>
    <s v="EMP1228"/>
    <s v="Exploring Infinities - Sales"/>
    <s v="SALES"/>
    <s v="Sales - India"/>
    <s v="Director 1"/>
    <s v="Bengaluru"/>
    <s v="WFH"/>
    <d v="2025-11-17T00:00:00"/>
    <d v="2026-04-11T00:00:00"/>
    <s v="Relieved"/>
    <s v="Involuntary"/>
    <x v="7"/>
    <n v="145"/>
    <n v="1"/>
    <s v="11-2025"/>
    <s v="04-2026"/>
    <n v="0"/>
    <n v="1"/>
  </r>
  <r>
    <s v="EMP1281"/>
    <s v="Exploring Infinities - Sales"/>
    <s v="SALES"/>
    <s v="Sales - India"/>
    <s v="Director 1"/>
    <s v="Bengaluru"/>
    <s v="WFH"/>
    <d v="2026-04-18T00:00:00"/>
    <d v="2026-04-18T00:00:00"/>
    <s v="Relieved"/>
    <s v="Voluntary"/>
    <x v="5"/>
    <n v="0"/>
    <n v="1"/>
    <s v="04-2026"/>
    <s v="04-2026"/>
    <n v="1"/>
    <n v="0"/>
  </r>
  <r>
    <s v="EMP1284"/>
    <s v="Exploring Infinities - Sales"/>
    <s v="SALES"/>
    <s v="Sales - India"/>
    <s v="Director 1"/>
    <s v="Bengaluru"/>
    <s v="WFH"/>
    <d v="2026-04-18T00:00:00"/>
    <m/>
    <s v="Active"/>
    <m/>
    <x v="2"/>
    <n v="73"/>
    <n v="0"/>
    <s v="04-2026"/>
    <s v=""/>
    <n v="0"/>
    <n v="0"/>
  </r>
  <r>
    <s v="EMP1308"/>
    <s v="Exploring Infinities - Sales"/>
    <s v="SALES"/>
    <s v="Sales - India"/>
    <s v="Director 1"/>
    <s v="Bengaluru"/>
    <s v="WFH"/>
    <d v="2026-04-18T00:00:00"/>
    <d v="2026-05-15T00:00:00"/>
    <s v="Relieved"/>
    <s v="Involuntary"/>
    <x v="6"/>
    <n v="27"/>
    <n v="1"/>
    <s v="04-2026"/>
    <s v="05-2026"/>
    <n v="0"/>
    <n v="1"/>
  </r>
  <r>
    <s v="EMP1344"/>
    <s v="Exploring Infinities - Sales"/>
    <s v="SALES"/>
    <s v="Sales - India"/>
    <s v="Director 1"/>
    <s v="Bengaluru"/>
    <s v="WFH"/>
    <d v="2026-04-18T00:00:00"/>
    <d v="2026-05-27T00:00:00"/>
    <s v="Relieved"/>
    <s v="Involuntary"/>
    <x v="9"/>
    <n v="39"/>
    <n v="1"/>
    <s v="04-2026"/>
    <s v="05-2026"/>
    <n v="0"/>
    <n v="1"/>
  </r>
  <r>
    <s v="EMP1460"/>
    <s v="Exploring Infinities - Sales"/>
    <s v="SALES"/>
    <s v="Sales - India"/>
    <s v="Director 1"/>
    <s v="Bengaluru"/>
    <s v="WFH"/>
    <d v="2026-06-18T00:00:00"/>
    <d v="2026-06-18T00:00:00"/>
    <s v="Relieved"/>
    <s v="Voluntary"/>
    <x v="4"/>
    <n v="0"/>
    <n v="1"/>
    <s v="06-2026"/>
    <s v="06-2026"/>
    <n v="1"/>
    <n v="0"/>
  </r>
  <r>
    <s v="EMP1461"/>
    <s v="Exploring Infinities - Sales"/>
    <s v="SALES"/>
    <s v="Sales - India"/>
    <s v="Director 1"/>
    <s v="Bengaluru"/>
    <s v="WFH"/>
    <d v="2026-06-18T00:00:00"/>
    <m/>
    <s v="Active"/>
    <m/>
    <x v="2"/>
    <n v="12"/>
    <n v="0"/>
    <s v="06-2026"/>
    <s v=""/>
    <n v="0"/>
    <n v="0"/>
  </r>
  <r>
    <s v="EMP1491"/>
    <s v="Exploring Infinities - Sales"/>
    <s v="SALES"/>
    <s v="Sales - India"/>
    <s v="Director 1"/>
    <s v="Bengaluru"/>
    <s v="WFH"/>
    <d v="2026-06-18T00:00:00"/>
    <d v="2026-06-18T00:00:00"/>
    <s v="Relieved"/>
    <s v="Voluntary"/>
    <x v="10"/>
    <n v="0"/>
    <n v="1"/>
    <s v="06-2026"/>
    <s v="06-2026"/>
    <n v="1"/>
    <n v="0"/>
  </r>
  <r>
    <s v="EMP1501"/>
    <s v="Exploring Infinities - Sales"/>
    <s v="SALES"/>
    <s v="Sales - India"/>
    <s v="Director 1"/>
    <s v="Bengaluru"/>
    <s v="WFH"/>
    <d v="2026-06-18T00:00:00"/>
    <m/>
    <s v="Active"/>
    <m/>
    <x v="2"/>
    <n v="12"/>
    <n v="0"/>
    <s v="06-2026"/>
    <s v=""/>
    <n v="0"/>
    <n v="0"/>
  </r>
  <r>
    <s v="EMP1508"/>
    <s v="Exploring Infinities - Sales"/>
    <s v="SALES"/>
    <s v="Sales - India"/>
    <s v="Director 1"/>
    <s v="Bengaluru"/>
    <s v="WFH"/>
    <d v="2026-06-18T00:00:00"/>
    <m/>
    <s v="Active"/>
    <m/>
    <x v="2"/>
    <n v="12"/>
    <n v="0"/>
    <s v="06-2026"/>
    <s v=""/>
    <n v="0"/>
    <n v="0"/>
  </r>
  <r>
    <s v="EMP1215"/>
    <s v="Exploring Infinities - Sales"/>
    <s v="SALES"/>
    <s v="Sales - India"/>
    <s v="Director 1"/>
    <s v="Bengaluru"/>
    <s v="WFH"/>
    <d v="2026-03-18T00:00:00"/>
    <m/>
    <s v="Active"/>
    <m/>
    <x v="2"/>
    <n v="104"/>
    <n v="0"/>
    <s v="03-2026"/>
    <s v=""/>
    <n v="0"/>
    <n v="0"/>
  </r>
  <r>
    <s v="EMP1357"/>
    <s v="Exploring Infinities - Sales"/>
    <s v="SALES"/>
    <s v="Sales - India"/>
    <s v="Director 1"/>
    <s v="Bengaluru"/>
    <s v="WFH"/>
    <d v="2026-05-18T00:00:00"/>
    <m/>
    <s v="Active"/>
    <m/>
    <x v="2"/>
    <n v="43"/>
    <n v="0"/>
    <s v="05-2026"/>
    <s v=""/>
    <n v="0"/>
    <n v="0"/>
  </r>
  <r>
    <s v="EMP1373"/>
    <s v="Exploring Infinities - Sales"/>
    <s v="SALES"/>
    <s v="Sales - India"/>
    <s v="Director 1"/>
    <s v="Bengaluru"/>
    <s v="WFH"/>
    <d v="2026-05-18T00:00:00"/>
    <d v="2026-05-18T00:00:00"/>
    <s v="Relieved"/>
    <s v="Voluntary"/>
    <x v="5"/>
    <n v="0"/>
    <n v="1"/>
    <s v="05-2026"/>
    <s v="05-2026"/>
    <n v="1"/>
    <n v="0"/>
  </r>
  <r>
    <s v="EMP1390"/>
    <s v="Exploring Infinities - Sales"/>
    <s v="SALES"/>
    <s v="Sales - India"/>
    <s v="Director 1"/>
    <s v="Bengaluru"/>
    <s v="WFH"/>
    <d v="2026-05-18T00:00:00"/>
    <d v="2026-06-26T00:00:00"/>
    <s v="Relieved"/>
    <s v="Involuntary"/>
    <x v="1"/>
    <n v="39"/>
    <n v="1"/>
    <s v="05-2026"/>
    <s v="06-2026"/>
    <n v="0"/>
    <n v="1"/>
  </r>
  <r>
    <s v="EMP1392"/>
    <s v="Exploring Infinities - Sales"/>
    <s v="SALES"/>
    <s v="Sales - India"/>
    <s v="Director 1"/>
    <s v="Bengaluru"/>
    <s v="WFH"/>
    <d v="2026-05-18T00:00:00"/>
    <d v="2026-06-21T00:00:00"/>
    <s v="Relieved"/>
    <s v="Involuntary"/>
    <x v="6"/>
    <n v="34"/>
    <n v="1"/>
    <s v="05-2026"/>
    <s v="06-2026"/>
    <n v="0"/>
    <n v="1"/>
  </r>
  <r>
    <s v="EMP1418"/>
    <s v="Exploring Infinities - Sales"/>
    <s v="SALES"/>
    <s v="Sales - India"/>
    <s v="Director 1"/>
    <s v="Bengaluru"/>
    <s v="WFH"/>
    <d v="2026-05-18T00:00:00"/>
    <m/>
    <s v="Active"/>
    <m/>
    <x v="2"/>
    <n v="43"/>
    <n v="0"/>
    <s v="05-2026"/>
    <s v=""/>
    <n v="0"/>
    <n v="0"/>
  </r>
  <r>
    <s v="EMP1453"/>
    <s v="Exploring Infinities - Sales"/>
    <s v="SALES"/>
    <s v="Sales - India"/>
    <s v="Director 1"/>
    <s v="Bengaluru"/>
    <s v="WFH"/>
    <d v="2026-05-18T00:00:00"/>
    <d v="2026-06-27T00:00:00"/>
    <s v="Relieved"/>
    <s v="Involuntary"/>
    <x v="1"/>
    <n v="40"/>
    <n v="1"/>
    <s v="05-2026"/>
    <s v="06-2026"/>
    <n v="0"/>
    <n v="1"/>
  </r>
  <r>
    <s v="EMP1457"/>
    <s v="Exploring Infinities - Sales"/>
    <s v="SALES"/>
    <s v="Sales - India"/>
    <s v="Director 1"/>
    <s v="Bengaluru"/>
    <s v="WFH"/>
    <d v="2026-05-18T00:00:00"/>
    <d v="2026-05-29T00:00:00"/>
    <s v="Relieved"/>
    <s v="Voluntary"/>
    <x v="10"/>
    <n v="11"/>
    <n v="1"/>
    <s v="05-2026"/>
    <s v="05-2026"/>
    <n v="1"/>
    <n v="0"/>
  </r>
  <r>
    <s v="EMP1263"/>
    <s v="Exploring Infinities - Sales"/>
    <s v="SALES"/>
    <s v="Sales - India"/>
    <s v="Director 1"/>
    <s v="Bengaluru"/>
    <s v="WFH"/>
    <d v="2026-04-19T00:00:00"/>
    <m/>
    <s v="Active"/>
    <m/>
    <x v="2"/>
    <n v="72"/>
    <n v="0"/>
    <s v="04-2026"/>
    <s v=""/>
    <n v="0"/>
    <n v="0"/>
  </r>
  <r>
    <s v="EMP1269"/>
    <s v="Exploring Infinities - Sales"/>
    <s v="SALES"/>
    <s v="Sales - India"/>
    <s v="Director 1"/>
    <s v="Bengaluru"/>
    <s v="WFH"/>
    <d v="2026-04-19T00:00:00"/>
    <d v="2026-04-21T00:00:00"/>
    <s v="Relieved"/>
    <s v="Voluntary"/>
    <x v="5"/>
    <n v="2"/>
    <n v="1"/>
    <s v="04-2026"/>
    <s v="04-2026"/>
    <n v="1"/>
    <n v="0"/>
  </r>
  <r>
    <s v="EMP1312"/>
    <s v="Exploring Infinities - Sales"/>
    <s v="SALES"/>
    <s v="Sales - India"/>
    <s v="Director 1"/>
    <s v="Bengaluru"/>
    <s v="WFH"/>
    <d v="2026-04-19T00:00:00"/>
    <d v="2026-04-19T00:00:00"/>
    <s v="Relieved"/>
    <s v="Voluntary"/>
    <x v="5"/>
    <n v="0"/>
    <n v="1"/>
    <s v="04-2026"/>
    <s v="04-2026"/>
    <n v="1"/>
    <n v="0"/>
  </r>
  <r>
    <s v="EMP1313"/>
    <s v="Exploring Infinities - Sales"/>
    <s v="SALES"/>
    <s v="Sales - India"/>
    <s v="Director 1"/>
    <s v="Bengaluru"/>
    <s v="WFH"/>
    <d v="2026-04-19T00:00:00"/>
    <d v="2026-04-19T00:00:00"/>
    <s v="Relieved"/>
    <s v="Voluntary"/>
    <x v="8"/>
    <n v="0"/>
    <n v="1"/>
    <s v="04-2026"/>
    <s v="04-2026"/>
    <n v="1"/>
    <n v="0"/>
  </r>
  <r>
    <s v="EMP1217"/>
    <s v="Exploring Infinities - Sales"/>
    <s v="SALES"/>
    <s v="Sales - India"/>
    <s v="Director 1"/>
    <s v="Bengaluru"/>
    <s v="WFH"/>
    <d v="2025-08-19T00:00:00"/>
    <d v="2026-05-18T00:00:00"/>
    <s v="Relieved"/>
    <s v="Involuntary"/>
    <x v="9"/>
    <n v="272"/>
    <n v="1"/>
    <s v="08-2025"/>
    <s v="05-2026"/>
    <n v="0"/>
    <n v="1"/>
  </r>
  <r>
    <s v="EMP1174"/>
    <s v="Exploring Infinities - Sales"/>
    <s v="SALES"/>
    <s v="Sales - India"/>
    <s v="Director 1"/>
    <s v="Bengaluru"/>
    <s v="WFH"/>
    <d v="2025-12-19T00:00:00"/>
    <d v="2026-06-17T00:00:00"/>
    <s v="Relieved"/>
    <s v="Involuntary"/>
    <x v="6"/>
    <n v="180"/>
    <n v="1"/>
    <s v="12-2025"/>
    <s v="06-2026"/>
    <n v="0"/>
    <n v="1"/>
  </r>
  <r>
    <s v="EMP1252"/>
    <s v="Exploring Infinities - Sales"/>
    <s v="SALES"/>
    <s v="Sales - India"/>
    <s v="Director 1"/>
    <s v="Bengaluru"/>
    <s v="WFH"/>
    <d v="2025-06-19T00:00:00"/>
    <d v="2026-05-13T00:00:00"/>
    <s v="Relieved"/>
    <s v="Involuntary"/>
    <x v="6"/>
    <n v="328"/>
    <n v="1"/>
    <s v="06-2025"/>
    <s v="05-2026"/>
    <n v="0"/>
    <n v="1"/>
  </r>
  <r>
    <s v="EMP1459"/>
    <s v="Exploring Infinities - Sales"/>
    <s v="SALES"/>
    <s v="Sales - India"/>
    <s v="Director 1"/>
    <s v="Bengaluru"/>
    <s v="WFH"/>
    <d v="2026-06-19T00:00:00"/>
    <d v="2026-06-28T00:00:00"/>
    <s v="Relieved"/>
    <s v="Voluntary"/>
    <x v="8"/>
    <n v="9"/>
    <n v="1"/>
    <s v="06-2026"/>
    <s v="06-2026"/>
    <n v="1"/>
    <n v="0"/>
  </r>
  <r>
    <s v="EMP1480"/>
    <s v="Exploring Infinities - Sales"/>
    <s v="SALES"/>
    <s v="Sales - India"/>
    <s v="Director 1"/>
    <s v="Bengaluru"/>
    <s v="WFH"/>
    <d v="2026-06-19T00:00:00"/>
    <d v="2026-06-19T00:00:00"/>
    <s v="Relieved"/>
    <s v="Voluntary"/>
    <x v="3"/>
    <n v="0"/>
    <n v="1"/>
    <s v="06-2026"/>
    <s v="06-2026"/>
    <n v="1"/>
    <n v="0"/>
  </r>
  <r>
    <s v="EMP1496"/>
    <s v="Exploring Infinities - Sales"/>
    <s v="SALES"/>
    <s v="Sales - India"/>
    <s v="Director 1"/>
    <s v="Bengaluru"/>
    <s v="WFH"/>
    <d v="2026-06-19T00:00:00"/>
    <m/>
    <s v="Active"/>
    <m/>
    <x v="2"/>
    <n v="11"/>
    <n v="0"/>
    <s v="06-2026"/>
    <s v=""/>
    <n v="0"/>
    <n v="0"/>
  </r>
  <r>
    <s v="EMP1529"/>
    <s v="Exploring Infinities - Sales"/>
    <s v="SALES"/>
    <s v="Sales - India"/>
    <s v="Director 1"/>
    <s v="Bengaluru"/>
    <s v="WFH"/>
    <d v="2026-06-19T00:00:00"/>
    <d v="2026-06-26T00:00:00"/>
    <s v="Relieved"/>
    <s v="Voluntary"/>
    <x v="4"/>
    <n v="7"/>
    <n v="1"/>
    <s v="06-2026"/>
    <s v="06-2026"/>
    <n v="1"/>
    <n v="0"/>
  </r>
  <r>
    <s v="EMP1242"/>
    <s v="Exploring Infinities - Sales"/>
    <s v="SALES"/>
    <s v="Sales - India"/>
    <s v="Director 1"/>
    <s v="Bengaluru"/>
    <s v="WFH"/>
    <d v="2025-03-19T00:00:00"/>
    <m/>
    <s v="Active"/>
    <m/>
    <x v="2"/>
    <n v="468"/>
    <n v="0"/>
    <s v="03-2025"/>
    <s v=""/>
    <n v="0"/>
    <n v="0"/>
  </r>
  <r>
    <s v="EMP1446"/>
    <s v="Exploring Infinities - Sales"/>
    <s v="SALES"/>
    <s v="Sales - India"/>
    <s v="Director 1"/>
    <s v="Bengaluru"/>
    <s v="WFH"/>
    <d v="2026-05-19T00:00:00"/>
    <m/>
    <s v="Active"/>
    <m/>
    <x v="2"/>
    <n v="42"/>
    <n v="0"/>
    <s v="05-2026"/>
    <s v=""/>
    <n v="0"/>
    <n v="0"/>
  </r>
  <r>
    <s v="EMP1447"/>
    <s v="Exploring Infinities - Sales"/>
    <s v="SALES"/>
    <s v="Sales - India"/>
    <s v="Director 1"/>
    <s v="Bengaluru"/>
    <s v="WFH"/>
    <d v="2026-05-19T00:00:00"/>
    <d v="2026-05-19T00:00:00"/>
    <s v="Relieved"/>
    <s v="Voluntary"/>
    <x v="8"/>
    <n v="0"/>
    <n v="1"/>
    <s v="05-2026"/>
    <s v="05-2026"/>
    <n v="1"/>
    <n v="0"/>
  </r>
  <r>
    <s v="EMP1163"/>
    <s v="Exploring Infinities - Sales"/>
    <s v="SALES"/>
    <s v="Sales - India"/>
    <s v="Director 1"/>
    <s v="Bengaluru"/>
    <s v="WFH"/>
    <d v="2025-11-19T00:00:00"/>
    <d v="2026-04-12T00:00:00"/>
    <s v="Relieved"/>
    <s v="Involuntary"/>
    <x v="6"/>
    <n v="144"/>
    <n v="1"/>
    <s v="11-2025"/>
    <s v="04-2026"/>
    <n v="0"/>
    <n v="1"/>
  </r>
  <r>
    <s v="EMP1248"/>
    <s v="Exploring Infinities - Sales"/>
    <s v="SALES"/>
    <s v="Sales - India"/>
    <s v="Director 1"/>
    <s v="Bengaluru"/>
    <s v="WFH"/>
    <d v="2025-04-20T00:00:00"/>
    <d v="2026-04-17T00:00:00"/>
    <s v="Relieved"/>
    <s v="Voluntary"/>
    <x v="4"/>
    <n v="362"/>
    <n v="1"/>
    <s v="04-2025"/>
    <s v="04-2026"/>
    <n v="1"/>
    <n v="0"/>
  </r>
  <r>
    <s v="EMP1286"/>
    <s v="Exploring Infinities - Sales"/>
    <s v="SALES"/>
    <s v="Sales - India"/>
    <s v="Director 1"/>
    <s v="Bengaluru"/>
    <s v="WFH"/>
    <d v="2026-04-20T00:00:00"/>
    <d v="2026-06-29T00:00:00"/>
    <s v="Relieved"/>
    <s v="Involuntary"/>
    <x v="9"/>
    <n v="70"/>
    <n v="1"/>
    <s v="04-2026"/>
    <s v="06-2026"/>
    <n v="0"/>
    <n v="1"/>
  </r>
  <r>
    <s v="EMP1307"/>
    <s v="Exploring Infinities - Sales"/>
    <s v="SALES"/>
    <s v="Sales - India"/>
    <s v="Director 1"/>
    <s v="Bengaluru"/>
    <s v="WFH"/>
    <d v="2026-04-20T00:00:00"/>
    <d v="2026-06-27T00:00:00"/>
    <s v="Relieved"/>
    <s v="Involuntary"/>
    <x v="6"/>
    <n v="68"/>
    <n v="1"/>
    <s v="04-2026"/>
    <s v="06-2026"/>
    <n v="0"/>
    <n v="1"/>
  </r>
  <r>
    <s v="EMP1176"/>
    <s v="Exploring Infinities - Sales"/>
    <s v="SALES"/>
    <s v="Sales - India"/>
    <s v="Director 1"/>
    <s v="Bengaluru"/>
    <s v="WFH"/>
    <d v="2026-01-20T00:00:00"/>
    <d v="2026-04-03T00:00:00"/>
    <s v="Relieved"/>
    <s v="Involuntary"/>
    <x v="9"/>
    <n v="73"/>
    <n v="1"/>
    <s v="01-2026"/>
    <s v="04-2026"/>
    <n v="0"/>
    <n v="1"/>
  </r>
  <r>
    <s v="EMP1219"/>
    <s v="Exploring Infinities - Sales"/>
    <s v="SALES"/>
    <s v="Sales - India"/>
    <s v="Director 1"/>
    <s v="Bengaluru"/>
    <s v="WFH"/>
    <d v="2026-01-20T00:00:00"/>
    <d v="2026-04-20T00:00:00"/>
    <s v="Relieved"/>
    <s v="Involuntary"/>
    <x v="7"/>
    <n v="90"/>
    <n v="1"/>
    <s v="01-2026"/>
    <s v="04-2026"/>
    <n v="0"/>
    <n v="1"/>
  </r>
  <r>
    <s v="EMP1476"/>
    <s v="Exploring Infinities - Sales"/>
    <s v="SALES"/>
    <s v="Sales - India"/>
    <s v="Director 1"/>
    <s v="Bengaluru"/>
    <s v="WFH"/>
    <d v="2026-06-20T00:00:00"/>
    <d v="2026-06-25T00:00:00"/>
    <s v="Relieved"/>
    <s v="Voluntary"/>
    <x v="4"/>
    <n v="5"/>
    <n v="1"/>
    <s v="06-2026"/>
    <s v="06-2026"/>
    <n v="1"/>
    <n v="0"/>
  </r>
  <r>
    <s v="EMP1504"/>
    <s v="Exploring Infinities - Sales"/>
    <s v="SALES"/>
    <s v="Sales - India"/>
    <s v="Director 1"/>
    <s v="Bengaluru"/>
    <s v="WFH"/>
    <d v="2026-06-20T00:00:00"/>
    <d v="2026-06-26T00:00:00"/>
    <s v="Relieved"/>
    <s v="Voluntary"/>
    <x v="5"/>
    <n v="6"/>
    <n v="1"/>
    <s v="06-2026"/>
    <s v="06-2026"/>
    <n v="1"/>
    <n v="0"/>
  </r>
  <r>
    <s v="EMP1505"/>
    <s v="Exploring Infinities - Sales"/>
    <s v="SALES"/>
    <s v="Sales - India"/>
    <s v="Director 1"/>
    <s v="Bengaluru"/>
    <s v="WFH"/>
    <d v="2026-06-20T00:00:00"/>
    <m/>
    <s v="Active"/>
    <m/>
    <x v="2"/>
    <n v="10"/>
    <n v="0"/>
    <s v="06-2026"/>
    <s v=""/>
    <n v="0"/>
    <n v="0"/>
  </r>
  <r>
    <s v="EMP1510"/>
    <s v="Exploring Infinities - Sales"/>
    <s v="SALES"/>
    <s v="Sales - India"/>
    <s v="Director 1"/>
    <s v="Bengaluru"/>
    <s v="WFH"/>
    <d v="2026-06-20T00:00:00"/>
    <m/>
    <s v="Active"/>
    <m/>
    <x v="2"/>
    <n v="10"/>
    <n v="0"/>
    <s v="06-2026"/>
    <s v=""/>
    <n v="0"/>
    <n v="0"/>
  </r>
  <r>
    <s v="EMP1246"/>
    <s v="Exploring Infinities - Sales"/>
    <s v="SALES"/>
    <s v="Sales - India"/>
    <s v="Director 1"/>
    <s v="Bengaluru"/>
    <s v="WFH"/>
    <d v="2025-03-20T00:00:00"/>
    <m/>
    <s v="Active"/>
    <m/>
    <x v="2"/>
    <n v="467"/>
    <n v="0"/>
    <s v="03-2025"/>
    <s v=""/>
    <n v="0"/>
    <n v="0"/>
  </r>
  <r>
    <s v="EMP1236"/>
    <s v="Exploring Infinities - Sales"/>
    <s v="SALES"/>
    <s v="Sales - India"/>
    <s v="Director 1"/>
    <s v="Bengaluru"/>
    <s v="WFH"/>
    <d v="2025-05-20T00:00:00"/>
    <d v="2026-05-03T00:00:00"/>
    <s v="Relieved"/>
    <s v="Involuntary"/>
    <x v="1"/>
    <n v="348"/>
    <n v="1"/>
    <s v="05-2025"/>
    <s v="05-2026"/>
    <n v="0"/>
    <n v="1"/>
  </r>
  <r>
    <s v="EMP1364"/>
    <s v="Exploring Infinities - Sales"/>
    <s v="SALES"/>
    <s v="Sales - India"/>
    <s v="Director 1"/>
    <s v="Bengaluru"/>
    <s v="WFH"/>
    <d v="2026-05-20T00:00:00"/>
    <m/>
    <s v="Active"/>
    <m/>
    <x v="2"/>
    <n v="41"/>
    <n v="0"/>
    <s v="05-2026"/>
    <s v=""/>
    <n v="0"/>
    <n v="0"/>
  </r>
  <r>
    <s v="EMP1384"/>
    <s v="Exploring Infinities - Sales"/>
    <s v="SALES"/>
    <s v="Sales - India"/>
    <s v="Director 1"/>
    <s v="Bengaluru"/>
    <s v="WFH"/>
    <d v="2026-05-20T00:00:00"/>
    <m/>
    <s v="Active"/>
    <m/>
    <x v="2"/>
    <n v="41"/>
    <n v="0"/>
    <s v="05-2026"/>
    <s v=""/>
    <n v="0"/>
    <n v="0"/>
  </r>
  <r>
    <s v="EMP1423"/>
    <s v="Exploring Infinities - Sales"/>
    <s v="SALES"/>
    <s v="Sales - India"/>
    <s v="Director 1"/>
    <s v="Bengaluru"/>
    <s v="WFH"/>
    <d v="2026-05-20T00:00:00"/>
    <m/>
    <s v="Active"/>
    <m/>
    <x v="2"/>
    <n v="41"/>
    <n v="0"/>
    <s v="05-2026"/>
    <s v=""/>
    <n v="0"/>
    <n v="0"/>
  </r>
  <r>
    <s v="EMP1317"/>
    <s v="Exploring Infinities - Sales"/>
    <s v="SALES"/>
    <s v="Sales - India"/>
    <s v="Director 1"/>
    <s v="Bengaluru"/>
    <s v="WFH"/>
    <d v="2026-04-21T00:00:00"/>
    <m/>
    <s v="Active"/>
    <m/>
    <x v="2"/>
    <n v="70"/>
    <n v="0"/>
    <s v="04-2026"/>
    <s v=""/>
    <n v="0"/>
    <n v="0"/>
  </r>
  <r>
    <s v="EMP1348"/>
    <s v="Exploring Infinities - Sales"/>
    <s v="SALES"/>
    <s v="Sales - India"/>
    <s v="Director 1"/>
    <s v="Bengaluru"/>
    <s v="WFH"/>
    <d v="2026-04-21T00:00:00"/>
    <d v="2026-05-16T00:00:00"/>
    <s v="Relieved"/>
    <s v="Involuntary"/>
    <x v="6"/>
    <n v="25"/>
    <n v="1"/>
    <s v="04-2026"/>
    <s v="05-2026"/>
    <n v="0"/>
    <n v="1"/>
  </r>
  <r>
    <s v="EMP1351"/>
    <s v="Exploring Infinities - Sales"/>
    <s v="SALES"/>
    <s v="Sales - India"/>
    <s v="Director 1"/>
    <s v="Bengaluru"/>
    <s v="WFH"/>
    <d v="2026-04-21T00:00:00"/>
    <d v="2026-06-20T00:00:00"/>
    <s v="Relieved"/>
    <s v="Involuntary"/>
    <x v="9"/>
    <n v="60"/>
    <n v="1"/>
    <s v="04-2026"/>
    <s v="06-2026"/>
    <n v="0"/>
    <n v="1"/>
  </r>
  <r>
    <s v="EMP1237"/>
    <s v="Exploring Infinities - Sales"/>
    <s v="SALES"/>
    <s v="Sales - India"/>
    <s v="Director 1"/>
    <s v="Bengaluru"/>
    <s v="WFH"/>
    <d v="2025-06-21T00:00:00"/>
    <d v="2026-05-24T00:00:00"/>
    <s v="Relieved"/>
    <s v="Involuntary"/>
    <x v="9"/>
    <n v="337"/>
    <n v="1"/>
    <s v="06-2025"/>
    <s v="05-2026"/>
    <n v="0"/>
    <n v="1"/>
  </r>
  <r>
    <s v="EMP1507"/>
    <s v="Exploring Infinities - Sales"/>
    <s v="SALES"/>
    <s v="Sales - India"/>
    <s v="Director 1"/>
    <s v="Bengaluru"/>
    <s v="WFH"/>
    <d v="2026-06-21T00:00:00"/>
    <d v="2026-06-24T00:00:00"/>
    <s v="Relieved"/>
    <s v="Voluntary"/>
    <x v="5"/>
    <n v="3"/>
    <n v="1"/>
    <s v="06-2026"/>
    <s v="06-2026"/>
    <n v="1"/>
    <n v="0"/>
  </r>
  <r>
    <s v="EMP1535"/>
    <s v="Exploring Infinities - Sales"/>
    <s v="SALES"/>
    <s v="Sales - India"/>
    <s v="Director 1"/>
    <s v="Bengaluru"/>
    <s v="WFH"/>
    <d v="2026-06-21T00:00:00"/>
    <d v="2026-06-21T00:00:00"/>
    <s v="Relieved"/>
    <s v="Voluntary"/>
    <x v="8"/>
    <n v="0"/>
    <n v="1"/>
    <s v="06-2026"/>
    <s v="06-2026"/>
    <n v="1"/>
    <n v="0"/>
  </r>
  <r>
    <s v="EMP1230"/>
    <s v="Exploring Infinities - Sales"/>
    <s v="SALES"/>
    <s v="Sales - India"/>
    <s v="Director 1"/>
    <s v="Bengaluru"/>
    <s v="WFH"/>
    <d v="2025-05-21T00:00:00"/>
    <d v="2026-04-22T00:00:00"/>
    <s v="Relieved"/>
    <s v="Involuntary"/>
    <x v="9"/>
    <n v="336"/>
    <n v="1"/>
    <s v="05-2025"/>
    <s v="04-2026"/>
    <n v="0"/>
    <n v="1"/>
  </r>
  <r>
    <s v="EMP1367"/>
    <s v="Exploring Infinities - Sales"/>
    <s v="SALES"/>
    <s v="Sales - India"/>
    <s v="Director 1"/>
    <s v="Bengaluru"/>
    <s v="WFH"/>
    <d v="2026-05-21T00:00:00"/>
    <d v="2026-05-29T00:00:00"/>
    <s v="Relieved"/>
    <s v="Voluntary"/>
    <x v="3"/>
    <n v="8"/>
    <n v="1"/>
    <s v="05-2026"/>
    <s v="05-2026"/>
    <n v="1"/>
    <n v="0"/>
  </r>
  <r>
    <s v="EMP1383"/>
    <s v="Exploring Infinities - Sales"/>
    <s v="SALES"/>
    <s v="Sales - India"/>
    <s v="Director 1"/>
    <s v="Bengaluru"/>
    <s v="WFH"/>
    <d v="2026-05-21T00:00:00"/>
    <d v="2026-06-25T00:00:00"/>
    <s v="Relieved"/>
    <s v="Involuntary"/>
    <x v="7"/>
    <n v="35"/>
    <n v="1"/>
    <s v="05-2026"/>
    <s v="06-2026"/>
    <n v="0"/>
    <n v="1"/>
  </r>
  <r>
    <s v="EMP1402"/>
    <s v="Exploring Infinities - Sales"/>
    <s v="SALES"/>
    <s v="Sales - India"/>
    <s v="Director 1"/>
    <s v="Bengaluru"/>
    <s v="WFH"/>
    <d v="2026-05-21T00:00:00"/>
    <m/>
    <s v="Active"/>
    <m/>
    <x v="2"/>
    <n v="40"/>
    <n v="0"/>
    <s v="05-2026"/>
    <s v=""/>
    <n v="0"/>
    <n v="0"/>
  </r>
  <r>
    <s v="EMP1297"/>
    <s v="Exploring Infinities - Sales"/>
    <s v="SALES"/>
    <s v="Sales - India"/>
    <s v="Director 1"/>
    <s v="Bengaluru"/>
    <s v="WFH"/>
    <d v="2026-04-22T00:00:00"/>
    <d v="2026-04-22T00:00:00"/>
    <s v="Relieved"/>
    <s v="Voluntary"/>
    <x v="5"/>
    <n v="0"/>
    <n v="1"/>
    <s v="04-2026"/>
    <s v="04-2026"/>
    <n v="1"/>
    <n v="0"/>
  </r>
  <r>
    <s v="EMP1298"/>
    <s v="Exploring Infinities - Sales"/>
    <s v="SALES"/>
    <s v="Sales - India"/>
    <s v="Director 1"/>
    <s v="Bengaluru"/>
    <s v="WFH"/>
    <d v="2026-04-22T00:00:00"/>
    <d v="2026-06-27T00:00:00"/>
    <s v="Relieved"/>
    <s v="Involuntary"/>
    <x v="6"/>
    <n v="66"/>
    <n v="1"/>
    <s v="04-2026"/>
    <s v="06-2026"/>
    <n v="0"/>
    <n v="1"/>
  </r>
  <r>
    <s v="EMP1314"/>
    <s v="Exploring Infinities - Sales"/>
    <s v="SALES"/>
    <s v="Sales - India"/>
    <s v="Director 1"/>
    <s v="Bengaluru"/>
    <s v="WFH"/>
    <d v="2026-04-22T00:00:00"/>
    <m/>
    <s v="Active"/>
    <m/>
    <x v="2"/>
    <n v="69"/>
    <n v="0"/>
    <s v="04-2026"/>
    <s v=""/>
    <n v="0"/>
    <n v="0"/>
  </r>
  <r>
    <s v="EMP1160"/>
    <s v="Exploring Infinities - Sales"/>
    <s v="SALES"/>
    <s v="Sales - India"/>
    <s v="Director 1"/>
    <s v="Bengaluru"/>
    <s v="WFH"/>
    <d v="2025-08-22T00:00:00"/>
    <d v="2026-06-17T00:00:00"/>
    <s v="Relieved"/>
    <s v="Involuntary"/>
    <x v="7"/>
    <n v="299"/>
    <n v="1"/>
    <s v="08-2025"/>
    <s v="06-2026"/>
    <n v="0"/>
    <n v="1"/>
  </r>
  <r>
    <s v="EMP1194"/>
    <s v="Exploring Infinities - Sales"/>
    <s v="SALES"/>
    <s v="Sales - India"/>
    <s v="Director 1"/>
    <s v="Bengaluru"/>
    <s v="WFH"/>
    <d v="2025-08-22T00:00:00"/>
    <m/>
    <s v="Active"/>
    <m/>
    <x v="2"/>
    <n v="312"/>
    <n v="0"/>
    <s v="08-2025"/>
    <s v=""/>
    <n v="0"/>
    <n v="0"/>
  </r>
  <r>
    <s v="EMP1245"/>
    <s v="Exploring Infinities - Sales"/>
    <s v="SALES"/>
    <s v="Sales - India"/>
    <s v="Director 1"/>
    <s v="Bengaluru"/>
    <s v="WFH"/>
    <d v="2025-12-22T00:00:00"/>
    <d v="2026-04-25T00:00:00"/>
    <s v="Relieved"/>
    <s v="Involuntary"/>
    <x v="6"/>
    <n v="124"/>
    <n v="1"/>
    <s v="12-2025"/>
    <s v="04-2026"/>
    <n v="0"/>
    <n v="1"/>
  </r>
  <r>
    <s v="EMP1206"/>
    <s v="Exploring Infinities - Sales"/>
    <s v="SALES"/>
    <s v="Sales - India"/>
    <s v="Director 1"/>
    <s v="Bengaluru"/>
    <s v="WFH"/>
    <d v="2026-02-22T00:00:00"/>
    <d v="2026-05-17T00:00:00"/>
    <s v="Relieved"/>
    <s v="Involuntary"/>
    <x v="9"/>
    <n v="84"/>
    <n v="1"/>
    <s v="02-2026"/>
    <s v="05-2026"/>
    <n v="0"/>
    <n v="1"/>
  </r>
  <r>
    <s v="EMP1203"/>
    <s v="Exploring Infinities - Sales"/>
    <s v="SALES"/>
    <s v="Sales - India"/>
    <s v="Director 1"/>
    <s v="Bengaluru"/>
    <s v="WFH"/>
    <d v="2026-01-22T00:00:00"/>
    <d v="2026-04-11T00:00:00"/>
    <s v="Relieved"/>
    <s v="Involuntary"/>
    <x v="9"/>
    <n v="79"/>
    <n v="1"/>
    <s v="01-2026"/>
    <s v="04-2026"/>
    <n v="0"/>
    <n v="1"/>
  </r>
  <r>
    <s v="EMP1463"/>
    <s v="Exploring Infinities - Sales"/>
    <s v="SALES"/>
    <s v="Sales - India"/>
    <s v="Director 1"/>
    <s v="Bengaluru"/>
    <s v="WFH"/>
    <d v="2026-06-22T00:00:00"/>
    <d v="2026-06-27T00:00:00"/>
    <s v="Relieved"/>
    <s v="Voluntary"/>
    <x v="3"/>
    <n v="5"/>
    <n v="1"/>
    <s v="06-2026"/>
    <s v="06-2026"/>
    <n v="1"/>
    <n v="0"/>
  </r>
  <r>
    <s v="EMP1468"/>
    <s v="Exploring Infinities - Sales"/>
    <s v="SALES"/>
    <s v="Sales - India"/>
    <s v="Director 1"/>
    <s v="Bengaluru"/>
    <s v="WFH"/>
    <d v="2026-06-22T00:00:00"/>
    <m/>
    <s v="Active"/>
    <m/>
    <x v="2"/>
    <n v="8"/>
    <n v="0"/>
    <s v="06-2026"/>
    <s v=""/>
    <n v="0"/>
    <n v="0"/>
  </r>
  <r>
    <s v="EMP1484"/>
    <s v="Exploring Infinities - Sales"/>
    <s v="SALES"/>
    <s v="Sales - India"/>
    <s v="Director 1"/>
    <s v="Bengaluru"/>
    <s v="WFH"/>
    <d v="2026-06-22T00:00:00"/>
    <d v="2026-06-22T00:00:00"/>
    <s v="Relieved"/>
    <s v="Voluntary"/>
    <x v="5"/>
    <n v="0"/>
    <n v="1"/>
    <s v="06-2026"/>
    <s v="06-2026"/>
    <n v="1"/>
    <n v="0"/>
  </r>
  <r>
    <s v="EMP1506"/>
    <s v="Exploring Infinities - Sales"/>
    <s v="SALES"/>
    <s v="Sales - India"/>
    <s v="Director 1"/>
    <s v="Bengaluru"/>
    <s v="WFH"/>
    <d v="2026-06-22T00:00:00"/>
    <d v="2026-06-22T00:00:00"/>
    <s v="Relieved"/>
    <s v="Voluntary"/>
    <x v="8"/>
    <n v="0"/>
    <n v="1"/>
    <s v="06-2026"/>
    <s v="06-2026"/>
    <n v="1"/>
    <n v="0"/>
  </r>
  <r>
    <s v="EMP1512"/>
    <s v="Exploring Infinities - Sales"/>
    <s v="SALES"/>
    <s v="Sales - India"/>
    <s v="Director 1"/>
    <s v="Bengaluru"/>
    <s v="WFH"/>
    <d v="2026-06-22T00:00:00"/>
    <d v="2026-06-22T00:00:00"/>
    <s v="Relieved"/>
    <s v="Voluntary"/>
    <x v="5"/>
    <n v="0"/>
    <n v="1"/>
    <s v="06-2026"/>
    <s v="06-2026"/>
    <n v="1"/>
    <n v="0"/>
  </r>
  <r>
    <s v="EMP1530"/>
    <s v="Exploring Infinities - Sales"/>
    <s v="SALES"/>
    <s v="Sales - India"/>
    <s v="Director 1"/>
    <s v="Bengaluru"/>
    <s v="WFH"/>
    <d v="2026-06-22T00:00:00"/>
    <d v="2026-06-29T00:00:00"/>
    <s v="Relieved"/>
    <s v="Voluntary"/>
    <x v="5"/>
    <n v="7"/>
    <n v="1"/>
    <s v="06-2026"/>
    <s v="06-2026"/>
    <n v="1"/>
    <n v="0"/>
  </r>
  <r>
    <s v="EMP1223"/>
    <s v="Exploring Infinities - Sales"/>
    <s v="SALES"/>
    <s v="Sales - India"/>
    <s v="Director 1"/>
    <s v="Bengaluru"/>
    <s v="WFH"/>
    <d v="2025-05-22T00:00:00"/>
    <d v="2026-06-18T00:00:00"/>
    <s v="Relieved"/>
    <s v="Involuntary"/>
    <x v="6"/>
    <n v="392"/>
    <n v="1"/>
    <s v="05-2025"/>
    <s v="06-2026"/>
    <n v="0"/>
    <n v="1"/>
  </r>
  <r>
    <s v="EMP1355"/>
    <s v="Exploring Infinities - Sales"/>
    <s v="SALES"/>
    <s v="Sales - India"/>
    <s v="Director 1"/>
    <s v="Bengaluru"/>
    <s v="WFH"/>
    <d v="2026-05-22T00:00:00"/>
    <m/>
    <s v="Active"/>
    <m/>
    <x v="2"/>
    <n v="39"/>
    <n v="0"/>
    <s v="05-2026"/>
    <s v=""/>
    <n v="0"/>
    <n v="0"/>
  </r>
  <r>
    <s v="EMP1448"/>
    <s v="Exploring Infinities - Sales"/>
    <s v="SALES"/>
    <s v="Sales - India"/>
    <s v="Director 1"/>
    <s v="Bengaluru"/>
    <s v="WFH"/>
    <d v="2026-05-22T00:00:00"/>
    <m/>
    <s v="Active"/>
    <m/>
    <x v="2"/>
    <n v="39"/>
    <n v="0"/>
    <s v="05-2026"/>
    <s v=""/>
    <n v="0"/>
    <n v="0"/>
  </r>
  <r>
    <s v="EMP1164"/>
    <s v="Exploring Infinities - Sales"/>
    <s v="SALES"/>
    <s v="Sales - India"/>
    <s v="Director 1"/>
    <s v="Bengaluru"/>
    <s v="WFH"/>
    <d v="2025-10-22T00:00:00"/>
    <d v="2026-04-01T00:00:00"/>
    <s v="Relieved"/>
    <s v="Involuntary"/>
    <x v="9"/>
    <n v="161"/>
    <n v="1"/>
    <s v="10-2025"/>
    <s v="04-2026"/>
    <n v="0"/>
    <n v="1"/>
  </r>
  <r>
    <s v="EMP1183"/>
    <s v="Exploring Infinities - Sales"/>
    <s v="SALES"/>
    <s v="Sales - India"/>
    <s v="Director 1"/>
    <s v="Bengaluru"/>
    <s v="WFH"/>
    <d v="2025-04-23T00:00:00"/>
    <d v="2026-05-11T00:00:00"/>
    <s v="Relieved"/>
    <s v="Involuntary"/>
    <x v="1"/>
    <n v="383"/>
    <n v="1"/>
    <s v="04-2025"/>
    <s v="05-2026"/>
    <n v="0"/>
    <n v="1"/>
  </r>
  <r>
    <s v="EMP1264"/>
    <s v="Exploring Infinities - Sales"/>
    <s v="SALES"/>
    <s v="Sales - India"/>
    <s v="Director 1"/>
    <s v="Bengaluru"/>
    <s v="WFH"/>
    <d v="2026-04-23T00:00:00"/>
    <d v="2026-06-08T00:00:00"/>
    <s v="Relieved"/>
    <s v="Involuntary"/>
    <x v="6"/>
    <n v="46"/>
    <n v="1"/>
    <s v="04-2026"/>
    <s v="06-2026"/>
    <n v="0"/>
    <n v="1"/>
  </r>
  <r>
    <s v="EMP1167"/>
    <s v="Exploring Infinities - Sales"/>
    <s v="SALES"/>
    <s v="Sales - India"/>
    <s v="Director 1"/>
    <s v="Bengaluru"/>
    <s v="WFH"/>
    <d v="2025-12-23T00:00:00"/>
    <d v="2026-04-27T00:00:00"/>
    <s v="Relieved"/>
    <s v="Involuntary"/>
    <x v="9"/>
    <n v="125"/>
    <n v="1"/>
    <s v="12-2025"/>
    <s v="04-2026"/>
    <n v="0"/>
    <n v="1"/>
  </r>
  <r>
    <s v="EMP1186"/>
    <s v="Exploring Infinities - Sales"/>
    <s v="SALES"/>
    <s v="Sales - India"/>
    <s v="Director 1"/>
    <s v="Bengaluru"/>
    <s v="WFH"/>
    <d v="2025-12-23T00:00:00"/>
    <m/>
    <s v="Active"/>
    <m/>
    <x v="2"/>
    <n v="189"/>
    <n v="0"/>
    <s v="12-2025"/>
    <s v=""/>
    <n v="0"/>
    <n v="0"/>
  </r>
  <r>
    <s v="EMP1514"/>
    <s v="Exploring Infinities - Sales"/>
    <s v="SALES"/>
    <s v="Sales - India"/>
    <s v="Director 1"/>
    <s v="Bengaluru"/>
    <s v="WFH"/>
    <d v="2026-06-23T00:00:00"/>
    <d v="2026-06-26T00:00:00"/>
    <s v="Relieved"/>
    <s v="Voluntary"/>
    <x v="10"/>
    <n v="3"/>
    <n v="1"/>
    <s v="06-2026"/>
    <s v="06-2026"/>
    <n v="1"/>
    <n v="0"/>
  </r>
  <r>
    <s v="EMP1519"/>
    <s v="Exploring Infinities - Sales"/>
    <s v="SALES"/>
    <s v="Sales - India"/>
    <s v="Director 1"/>
    <s v="Bengaluru"/>
    <s v="WFH"/>
    <d v="2026-06-23T00:00:00"/>
    <d v="2026-06-23T00:00:00"/>
    <s v="Relieved"/>
    <s v="Voluntary"/>
    <x v="5"/>
    <n v="0"/>
    <n v="1"/>
    <s v="06-2026"/>
    <s v="06-2026"/>
    <n v="1"/>
    <n v="0"/>
  </r>
  <r>
    <s v="EMP1213"/>
    <s v="Exploring Infinities - Sales"/>
    <s v="SALES"/>
    <s v="Sales - India"/>
    <s v="Director 1"/>
    <s v="Bengaluru"/>
    <s v="WFH"/>
    <d v="2025-03-23T00:00:00"/>
    <m/>
    <s v="Active"/>
    <m/>
    <x v="2"/>
    <n v="464"/>
    <n v="0"/>
    <s v="03-2025"/>
    <s v=""/>
    <n v="0"/>
    <n v="0"/>
  </r>
  <r>
    <s v="EMP1379"/>
    <s v="Exploring Infinities - Sales"/>
    <s v="SALES"/>
    <s v="Sales - India"/>
    <s v="Director 1"/>
    <s v="Bengaluru"/>
    <s v="WFH"/>
    <d v="2026-05-23T00:00:00"/>
    <m/>
    <s v="Active"/>
    <m/>
    <x v="2"/>
    <n v="38"/>
    <n v="0"/>
    <s v="05-2026"/>
    <s v=""/>
    <n v="0"/>
    <n v="0"/>
  </r>
  <r>
    <s v="EMP1387"/>
    <s v="Exploring Infinities - Sales"/>
    <s v="SALES"/>
    <s v="Sales - India"/>
    <s v="Director 1"/>
    <s v="Bengaluru"/>
    <s v="WFH"/>
    <d v="2026-05-23T00:00:00"/>
    <m/>
    <s v="Active"/>
    <m/>
    <x v="2"/>
    <n v="38"/>
    <n v="0"/>
    <s v="05-2026"/>
    <s v=""/>
    <n v="0"/>
    <n v="0"/>
  </r>
  <r>
    <s v="EMP1407"/>
    <s v="Exploring Infinities - Sales"/>
    <s v="SALES"/>
    <s v="Sales - India"/>
    <s v="Director 1"/>
    <s v="Bengaluru"/>
    <s v="WFH"/>
    <d v="2026-05-23T00:00:00"/>
    <d v="2026-05-23T00:00:00"/>
    <s v="Relieved"/>
    <s v="Voluntary"/>
    <x v="3"/>
    <n v="0"/>
    <n v="1"/>
    <s v="05-2026"/>
    <s v="05-2026"/>
    <n v="1"/>
    <n v="0"/>
  </r>
  <r>
    <s v="EMP1410"/>
    <s v="Exploring Infinities - Sales"/>
    <s v="SALES"/>
    <s v="Sales - India"/>
    <s v="Director 1"/>
    <s v="Bengaluru"/>
    <s v="WFH"/>
    <d v="2026-05-23T00:00:00"/>
    <d v="2026-05-23T00:00:00"/>
    <s v="Relieved"/>
    <s v="Voluntary"/>
    <x v="5"/>
    <n v="0"/>
    <n v="1"/>
    <s v="05-2026"/>
    <s v="05-2026"/>
    <n v="1"/>
    <n v="0"/>
  </r>
  <r>
    <s v="EMP1222"/>
    <s v="Exploring Infinities - Sales"/>
    <s v="SALES"/>
    <s v="Sales - India"/>
    <s v="Director 1"/>
    <s v="Bengaluru"/>
    <s v="WFH"/>
    <d v="2025-11-23T00:00:00"/>
    <m/>
    <s v="Active"/>
    <m/>
    <x v="2"/>
    <n v="219"/>
    <n v="0"/>
    <s v="11-2025"/>
    <s v=""/>
    <n v="0"/>
    <n v="0"/>
  </r>
  <r>
    <s v="EMP1187"/>
    <s v="Exploring Infinities - Sales"/>
    <s v="SALES"/>
    <s v="Sales - India"/>
    <s v="Director 1"/>
    <s v="Bengaluru"/>
    <s v="WFH"/>
    <d v="2025-09-23T00:00:00"/>
    <d v="2026-06-06T00:00:00"/>
    <s v="Relieved"/>
    <s v="Involuntary"/>
    <x v="9"/>
    <n v="256"/>
    <n v="1"/>
    <s v="09-2025"/>
    <s v="06-2026"/>
    <n v="0"/>
    <n v="1"/>
  </r>
  <r>
    <s v="EMP1282"/>
    <s v="Exploring Infinities - Sales"/>
    <s v="SALES"/>
    <s v="Sales - India"/>
    <s v="Director 1"/>
    <s v="Bengaluru"/>
    <s v="WFH"/>
    <d v="2026-04-24T00:00:00"/>
    <m/>
    <s v="Active"/>
    <m/>
    <x v="2"/>
    <n v="67"/>
    <n v="0"/>
    <s v="04-2026"/>
    <s v=""/>
    <n v="0"/>
    <n v="0"/>
  </r>
  <r>
    <s v="EMP1283"/>
    <s v="Exploring Infinities - Sales"/>
    <s v="SALES"/>
    <s v="Sales - India"/>
    <s v="Director 1"/>
    <s v="Bengaluru"/>
    <s v="WFH"/>
    <d v="2026-04-24T00:00:00"/>
    <d v="2026-06-27T00:00:00"/>
    <s v="Relieved"/>
    <s v="Involuntary"/>
    <x v="7"/>
    <n v="64"/>
    <n v="1"/>
    <s v="04-2026"/>
    <s v="06-2026"/>
    <n v="0"/>
    <n v="1"/>
  </r>
  <r>
    <s v="EMP1301"/>
    <s v="Exploring Infinities - Sales"/>
    <s v="SALES"/>
    <s v="Sales - India"/>
    <s v="Director 1"/>
    <s v="Bengaluru"/>
    <s v="WFH"/>
    <d v="2026-04-24T00:00:00"/>
    <d v="2026-04-24T00:00:00"/>
    <s v="Relieved"/>
    <s v="Voluntary"/>
    <x v="3"/>
    <n v="0"/>
    <n v="1"/>
    <s v="04-2026"/>
    <s v="04-2026"/>
    <n v="1"/>
    <n v="0"/>
  </r>
  <r>
    <s v="EMP1343"/>
    <s v="Exploring Infinities - Sales"/>
    <s v="SALES"/>
    <s v="Sales - India"/>
    <s v="Director 1"/>
    <s v="Bengaluru"/>
    <s v="WFH"/>
    <d v="2026-04-24T00:00:00"/>
    <d v="2026-04-26T00:00:00"/>
    <s v="Relieved"/>
    <s v="Voluntary"/>
    <x v="3"/>
    <n v="2"/>
    <n v="1"/>
    <s v="04-2026"/>
    <s v="04-2026"/>
    <n v="1"/>
    <n v="0"/>
  </r>
  <r>
    <s v="EMP1180"/>
    <s v="Exploring Infinities - Sales"/>
    <s v="SALES"/>
    <s v="Sales - India"/>
    <s v="Director 1"/>
    <s v="Bengaluru"/>
    <s v="WFH"/>
    <d v="2025-02-24T00:00:00"/>
    <d v="2026-04-25T00:00:00"/>
    <s v="Relieved"/>
    <s v="Involuntary"/>
    <x v="1"/>
    <n v="425"/>
    <n v="1"/>
    <s v="02-2025"/>
    <s v="04-2026"/>
    <n v="0"/>
    <n v="1"/>
  </r>
  <r>
    <s v="EMP1170"/>
    <s v="Exploring Infinities - Sales"/>
    <s v="SALES"/>
    <s v="Sales - India"/>
    <s v="Director 1"/>
    <s v="Bengaluru"/>
    <s v="WFH"/>
    <d v="2025-07-24T00:00:00"/>
    <d v="2026-06-08T00:00:00"/>
    <s v="Relieved"/>
    <s v="Involuntary"/>
    <x v="6"/>
    <n v="319"/>
    <n v="1"/>
    <s v="07-2025"/>
    <s v="06-2026"/>
    <n v="0"/>
    <n v="1"/>
  </r>
  <r>
    <s v="EMP1473"/>
    <s v="Exploring Infinities - Sales"/>
    <s v="SALES"/>
    <s v="Sales - India"/>
    <s v="Director 1"/>
    <s v="Bengaluru"/>
    <s v="WFH"/>
    <d v="2026-06-24T00:00:00"/>
    <d v="2026-06-25T00:00:00"/>
    <s v="Relieved"/>
    <s v="Voluntary"/>
    <x v="10"/>
    <n v="1"/>
    <n v="1"/>
    <s v="06-2026"/>
    <s v="06-2026"/>
    <n v="1"/>
    <n v="0"/>
  </r>
  <r>
    <s v="EMP1534"/>
    <s v="Exploring Infinities - Sales"/>
    <s v="SALES"/>
    <s v="Sales - India"/>
    <s v="Director 1"/>
    <s v="Bengaluru"/>
    <s v="WFH"/>
    <d v="2026-06-24T00:00:00"/>
    <d v="2026-06-24T00:00:00"/>
    <s v="Relieved"/>
    <s v="Voluntary"/>
    <x v="4"/>
    <n v="0"/>
    <n v="1"/>
    <s v="06-2026"/>
    <s v="06-2026"/>
    <n v="1"/>
    <n v="0"/>
  </r>
  <r>
    <s v="EMP1538"/>
    <s v="Exploring Infinities - Sales"/>
    <s v="SALES"/>
    <s v="Sales - India"/>
    <s v="Director 1"/>
    <s v="Bengaluru"/>
    <s v="WFH"/>
    <d v="2026-06-24T00:00:00"/>
    <d v="2026-06-24T00:00:00"/>
    <s v="Relieved"/>
    <s v="Voluntary"/>
    <x v="4"/>
    <n v="0"/>
    <n v="1"/>
    <s v="06-2026"/>
    <s v="06-2026"/>
    <n v="1"/>
    <n v="0"/>
  </r>
  <r>
    <s v="EMP1425"/>
    <s v="Exploring Infinities - Sales"/>
    <s v="SALES"/>
    <s v="Sales - India"/>
    <s v="Director 1"/>
    <s v="Bengaluru"/>
    <s v="WFH"/>
    <d v="2026-05-24T00:00:00"/>
    <m/>
    <s v="Active"/>
    <m/>
    <x v="2"/>
    <n v="37"/>
    <n v="0"/>
    <s v="05-2026"/>
    <s v=""/>
    <n v="0"/>
    <n v="0"/>
  </r>
  <r>
    <s v="EMP1443"/>
    <s v="Exploring Infinities - Sales"/>
    <s v="SALES"/>
    <s v="Sales - India"/>
    <s v="Director 1"/>
    <s v="Bengaluru"/>
    <s v="WFH"/>
    <d v="2026-05-24T00:00:00"/>
    <m/>
    <s v="Active"/>
    <m/>
    <x v="2"/>
    <n v="37"/>
    <n v="0"/>
    <s v="05-2026"/>
    <s v=""/>
    <n v="0"/>
    <n v="0"/>
  </r>
  <r>
    <s v="EMP1226"/>
    <s v="Exploring Infinities - Sales"/>
    <s v="SALES"/>
    <s v="Sales - India"/>
    <s v="Director 1"/>
    <s v="Bengaluru"/>
    <s v="WFH"/>
    <d v="2025-09-24T00:00:00"/>
    <d v="2026-06-02T00:00:00"/>
    <s v="Relieved"/>
    <s v="Involuntary"/>
    <x v="7"/>
    <n v="251"/>
    <n v="1"/>
    <s v="09-2025"/>
    <s v="06-2026"/>
    <n v="0"/>
    <n v="1"/>
  </r>
  <r>
    <s v="EMP1262"/>
    <s v="Exploring Infinities - Sales"/>
    <s v="SALES"/>
    <s v="Sales - India"/>
    <s v="Director 1"/>
    <s v="Bengaluru"/>
    <s v="WFH"/>
    <d v="2026-04-25T00:00:00"/>
    <d v="2026-06-01T00:00:00"/>
    <s v="Relieved"/>
    <s v="Involuntary"/>
    <x v="7"/>
    <n v="37"/>
    <n v="1"/>
    <s v="04-2026"/>
    <s v="06-2026"/>
    <n v="0"/>
    <n v="1"/>
  </r>
  <r>
    <s v="EMP1268"/>
    <s v="Exploring Infinities - Sales"/>
    <s v="SALES"/>
    <s v="Sales - India"/>
    <s v="Director 1"/>
    <s v="Bengaluru"/>
    <s v="WFH"/>
    <d v="2026-04-25T00:00:00"/>
    <d v="2026-04-25T00:00:00"/>
    <s v="Relieved"/>
    <s v="Voluntary"/>
    <x v="8"/>
    <n v="0"/>
    <n v="1"/>
    <s v="04-2026"/>
    <s v="04-2026"/>
    <n v="1"/>
    <n v="0"/>
  </r>
  <r>
    <s v="EMP1275"/>
    <s v="Exploring Infinities - Sales"/>
    <s v="SALES"/>
    <s v="Sales - India"/>
    <s v="Director 1"/>
    <s v="Bengaluru"/>
    <s v="WFH"/>
    <d v="2026-04-25T00:00:00"/>
    <d v="2026-04-30T00:00:00"/>
    <s v="Relieved"/>
    <s v="Voluntary"/>
    <x v="0"/>
    <n v="5"/>
    <n v="1"/>
    <s v="04-2026"/>
    <s v="04-2026"/>
    <n v="1"/>
    <n v="0"/>
  </r>
  <r>
    <s v="EMP1331"/>
    <s v="Exploring Infinities - Sales"/>
    <s v="SALES"/>
    <s v="Sales - India"/>
    <s v="Director 1"/>
    <s v="Bengaluru"/>
    <s v="WFH"/>
    <d v="2026-04-25T00:00:00"/>
    <m/>
    <s v="Active"/>
    <m/>
    <x v="2"/>
    <n v="66"/>
    <n v="0"/>
    <s v="04-2026"/>
    <s v=""/>
    <n v="0"/>
    <n v="0"/>
  </r>
  <r>
    <s v="EMP1335"/>
    <s v="Exploring Infinities - Sales"/>
    <s v="SALES"/>
    <s v="Sales - India"/>
    <s v="Director 1"/>
    <s v="Bengaluru"/>
    <s v="WFH"/>
    <d v="2026-04-25T00:00:00"/>
    <d v="2026-05-04T00:00:00"/>
    <s v="Relieved"/>
    <s v="Involuntary"/>
    <x v="9"/>
    <n v="9"/>
    <n v="1"/>
    <s v="04-2026"/>
    <s v="05-2026"/>
    <n v="0"/>
    <n v="1"/>
  </r>
  <r>
    <s v="EMP1350"/>
    <s v="Exploring Infinities - Sales"/>
    <s v="SALES"/>
    <s v="Sales - India"/>
    <s v="Director 1"/>
    <s v="Bengaluru"/>
    <s v="WFH"/>
    <d v="2026-04-25T00:00:00"/>
    <d v="2026-05-28T00:00:00"/>
    <s v="Relieved"/>
    <s v="Involuntary"/>
    <x v="6"/>
    <n v="33"/>
    <n v="1"/>
    <s v="04-2026"/>
    <s v="05-2026"/>
    <n v="0"/>
    <n v="1"/>
  </r>
  <r>
    <s v="EMP1353"/>
    <s v="Exploring Infinities - Sales"/>
    <s v="SALES"/>
    <s v="Sales - India"/>
    <s v="Director 1"/>
    <s v="Bengaluru"/>
    <s v="WFH"/>
    <d v="2026-04-25T00:00:00"/>
    <m/>
    <s v="Active"/>
    <m/>
    <x v="2"/>
    <n v="66"/>
    <n v="0"/>
    <s v="04-2026"/>
    <s v=""/>
    <n v="0"/>
    <n v="0"/>
  </r>
  <r>
    <s v="EMP1469"/>
    <s v="Exploring Infinities - Sales"/>
    <s v="SALES"/>
    <s v="Sales - India"/>
    <s v="Director 1"/>
    <s v="Bengaluru"/>
    <s v="WFH"/>
    <d v="2026-06-25T00:00:00"/>
    <m/>
    <s v="Active"/>
    <m/>
    <x v="2"/>
    <n v="5"/>
    <n v="0"/>
    <s v="06-2026"/>
    <s v=""/>
    <n v="0"/>
    <n v="0"/>
  </r>
  <r>
    <s v="EMP1494"/>
    <s v="Exploring Infinities - Sales"/>
    <s v="SALES"/>
    <s v="Sales - India"/>
    <s v="Director 1"/>
    <s v="Bengaluru"/>
    <s v="WFH"/>
    <d v="2026-06-25T00:00:00"/>
    <d v="2026-06-25T00:00:00"/>
    <s v="Relieved"/>
    <s v="Voluntary"/>
    <x v="5"/>
    <n v="0"/>
    <n v="1"/>
    <s v="06-2026"/>
    <s v="06-2026"/>
    <n v="1"/>
    <n v="0"/>
  </r>
  <r>
    <s v="EMP1502"/>
    <s v="Exploring Infinities - Sales"/>
    <s v="SALES"/>
    <s v="Sales - India"/>
    <s v="Director 1"/>
    <s v="Bengaluru"/>
    <s v="WFH"/>
    <d v="2026-06-25T00:00:00"/>
    <d v="2026-06-25T00:00:00"/>
    <s v="Relieved"/>
    <s v="Voluntary"/>
    <x v="10"/>
    <n v="0"/>
    <n v="1"/>
    <s v="06-2026"/>
    <s v="06-2026"/>
    <n v="1"/>
    <n v="0"/>
  </r>
  <r>
    <s v="EMP1520"/>
    <s v="Exploring Infinities - Sales"/>
    <s v="SALES"/>
    <s v="Sales - India"/>
    <s v="Director 1"/>
    <s v="Bengaluru"/>
    <s v="WFH"/>
    <d v="2026-06-25T00:00:00"/>
    <d v="2026-06-25T00:00:00"/>
    <s v="Relieved"/>
    <s v="Voluntary"/>
    <x v="4"/>
    <n v="0"/>
    <n v="1"/>
    <s v="06-2026"/>
    <s v="06-2026"/>
    <n v="1"/>
    <n v="0"/>
  </r>
  <r>
    <s v="EMP1365"/>
    <s v="Exploring Infinities - Sales"/>
    <s v="SALES"/>
    <s v="Sales - India"/>
    <s v="Director 1"/>
    <s v="Bengaluru"/>
    <s v="WFH"/>
    <d v="2026-05-25T00:00:00"/>
    <d v="2026-05-26T00:00:00"/>
    <s v="Relieved"/>
    <s v="Voluntary"/>
    <x v="4"/>
    <n v="1"/>
    <n v="1"/>
    <s v="05-2026"/>
    <s v="05-2026"/>
    <n v="1"/>
    <n v="0"/>
  </r>
  <r>
    <s v="EMP1369"/>
    <s v="Exploring Infinities - Sales"/>
    <s v="SALES"/>
    <s v="Sales - India"/>
    <s v="Director 1"/>
    <s v="Bengaluru"/>
    <s v="WFH"/>
    <d v="2026-05-25T00:00:00"/>
    <d v="2026-06-05T00:00:00"/>
    <s v="Relieved"/>
    <s v="Involuntary"/>
    <x v="9"/>
    <n v="11"/>
    <n v="1"/>
    <s v="05-2026"/>
    <s v="06-2026"/>
    <n v="0"/>
    <n v="1"/>
  </r>
  <r>
    <s v="EMP1431"/>
    <s v="Exploring Infinities - Sales"/>
    <s v="SALES"/>
    <s v="Sales - India"/>
    <s v="Director 1"/>
    <s v="Bengaluru"/>
    <s v="WFH"/>
    <d v="2026-05-25T00:00:00"/>
    <d v="2026-05-25T00:00:00"/>
    <s v="Relieved"/>
    <s v="Voluntary"/>
    <x v="0"/>
    <n v="0"/>
    <n v="1"/>
    <s v="05-2026"/>
    <s v="05-2026"/>
    <n v="1"/>
    <n v="0"/>
  </r>
  <r>
    <s v="EMP1458"/>
    <s v="Exploring Infinities - Sales"/>
    <s v="SALES"/>
    <s v="Sales - India"/>
    <s v="Director 1"/>
    <s v="Bengaluru"/>
    <s v="WFH"/>
    <d v="2026-05-25T00:00:00"/>
    <d v="2026-05-25T00:00:00"/>
    <s v="Relieved"/>
    <s v="Voluntary"/>
    <x v="4"/>
    <n v="0"/>
    <n v="1"/>
    <s v="05-2026"/>
    <s v="05-2026"/>
    <n v="1"/>
    <n v="0"/>
  </r>
  <r>
    <s v="EMP1285"/>
    <s v="Exploring Infinities - Sales"/>
    <s v="SALES"/>
    <s v="Sales - India"/>
    <s v="Director 1"/>
    <s v="Bengaluru"/>
    <s v="WFH"/>
    <d v="2026-04-26T00:00:00"/>
    <m/>
    <s v="Active"/>
    <m/>
    <x v="2"/>
    <n v="65"/>
    <n v="0"/>
    <s v="04-2026"/>
    <s v=""/>
    <n v="0"/>
    <n v="0"/>
  </r>
  <r>
    <s v="EMP1299"/>
    <s v="Exploring Infinities - Sales"/>
    <s v="SALES"/>
    <s v="Sales - India"/>
    <s v="Director 1"/>
    <s v="Bengaluru"/>
    <s v="WFH"/>
    <d v="2026-04-26T00:00:00"/>
    <d v="2026-05-16T00:00:00"/>
    <s v="Relieved"/>
    <s v="Involuntary"/>
    <x v="6"/>
    <n v="20"/>
    <n v="1"/>
    <s v="04-2026"/>
    <s v="05-2026"/>
    <n v="0"/>
    <n v="1"/>
  </r>
  <r>
    <s v="EMP1188"/>
    <s v="Exploring Infinities - Sales"/>
    <s v="SALES"/>
    <s v="Sales - India"/>
    <s v="Director 1"/>
    <s v="Bengaluru"/>
    <s v="WFH"/>
    <d v="2025-08-26T00:00:00"/>
    <d v="2026-06-10T00:00:00"/>
    <s v="Relieved"/>
    <s v="Involuntary"/>
    <x v="6"/>
    <n v="288"/>
    <n v="1"/>
    <s v="08-2025"/>
    <s v="06-2026"/>
    <n v="0"/>
    <n v="1"/>
  </r>
  <r>
    <s v="EMP1197"/>
    <s v="Exploring Infinities - Sales"/>
    <s v="SALES"/>
    <s v="Sales - India"/>
    <s v="Director 1"/>
    <s v="Bengaluru"/>
    <s v="WFH"/>
    <d v="2025-08-26T00:00:00"/>
    <d v="2026-05-24T00:00:00"/>
    <s v="Relieved"/>
    <s v="Involuntary"/>
    <x v="9"/>
    <n v="271"/>
    <n v="1"/>
    <s v="08-2025"/>
    <s v="05-2026"/>
    <n v="0"/>
    <n v="1"/>
  </r>
  <r>
    <s v="EMP1189"/>
    <s v="Exploring Infinities - Sales"/>
    <s v="SALES"/>
    <s v="Sales - India"/>
    <s v="Director 1"/>
    <s v="Bengaluru"/>
    <s v="WFH"/>
    <d v="2025-01-26T00:00:00"/>
    <d v="2026-05-22T00:00:00"/>
    <s v="Relieved"/>
    <s v="Involuntary"/>
    <x v="6"/>
    <n v="481"/>
    <n v="1"/>
    <s v="01-2025"/>
    <s v="05-2026"/>
    <n v="0"/>
    <n v="1"/>
  </r>
  <r>
    <s v="EMP1498"/>
    <s v="Exploring Infinities - Sales"/>
    <s v="SALES"/>
    <s v="Sales - India"/>
    <s v="Director 1"/>
    <s v="Bengaluru"/>
    <s v="WFH"/>
    <d v="2026-06-26T00:00:00"/>
    <d v="2026-06-26T00:00:00"/>
    <s v="Relieved"/>
    <s v="Voluntary"/>
    <x v="0"/>
    <n v="0"/>
    <n v="1"/>
    <s v="06-2026"/>
    <s v="06-2026"/>
    <n v="1"/>
    <n v="0"/>
  </r>
  <r>
    <s v="EMP1385"/>
    <s v="Exploring Infinities - Sales"/>
    <s v="SALES"/>
    <s v="Sales - India"/>
    <s v="Director 1"/>
    <s v="Bengaluru"/>
    <s v="WFH"/>
    <d v="2026-05-26T00:00:00"/>
    <d v="2026-06-30T00:00:00"/>
    <s v="Relieved"/>
    <s v="Involuntary"/>
    <x v="9"/>
    <n v="35"/>
    <n v="1"/>
    <s v="05-2026"/>
    <s v="06-2026"/>
    <n v="0"/>
    <n v="1"/>
  </r>
  <r>
    <s v="EMP1432"/>
    <s v="Exploring Infinities - Sales"/>
    <s v="SALES"/>
    <s v="Sales - India"/>
    <s v="Director 1"/>
    <s v="Bengaluru"/>
    <s v="WFH"/>
    <d v="2026-05-26T00:00:00"/>
    <d v="2026-05-28T00:00:00"/>
    <s v="Relieved"/>
    <s v="Voluntary"/>
    <x v="0"/>
    <n v="2"/>
    <n v="1"/>
    <s v="05-2026"/>
    <s v="05-2026"/>
    <n v="1"/>
    <n v="0"/>
  </r>
  <r>
    <s v="EMP1437"/>
    <s v="Exploring Infinities - Sales"/>
    <s v="SALES"/>
    <s v="Sales - India"/>
    <s v="Director 1"/>
    <s v="Bengaluru"/>
    <s v="WFH"/>
    <d v="2026-05-26T00:00:00"/>
    <m/>
    <s v="Active"/>
    <m/>
    <x v="2"/>
    <n v="35"/>
    <n v="0"/>
    <s v="05-2026"/>
    <s v=""/>
    <n v="0"/>
    <n v="0"/>
  </r>
  <r>
    <s v="EMP1258"/>
    <s v="Exploring Infinities - Sales"/>
    <s v="SALES"/>
    <s v="Sales - India"/>
    <s v="Director 1"/>
    <s v="Bengaluru"/>
    <s v="WFH"/>
    <d v="2026-04-27T00:00:00"/>
    <d v="2026-04-27T00:00:00"/>
    <s v="Relieved"/>
    <s v="Voluntary"/>
    <x v="10"/>
    <n v="0"/>
    <n v="1"/>
    <s v="04-2026"/>
    <s v="04-2026"/>
    <n v="1"/>
    <n v="0"/>
  </r>
  <r>
    <s v="EMP1279"/>
    <s v="Exploring Infinities - Sales"/>
    <s v="SALES"/>
    <s v="Sales - India"/>
    <s v="Director 1"/>
    <s v="Bengaluru"/>
    <s v="WFH"/>
    <d v="2026-04-27T00:00:00"/>
    <d v="2026-04-27T00:00:00"/>
    <s v="Relieved"/>
    <s v="Voluntary"/>
    <x v="0"/>
    <n v="0"/>
    <n v="1"/>
    <s v="04-2026"/>
    <s v="04-2026"/>
    <n v="1"/>
    <n v="0"/>
  </r>
  <r>
    <s v="EMP1303"/>
    <s v="Exploring Infinities - Sales"/>
    <s v="SALES"/>
    <s v="Sales - India"/>
    <s v="Director 1"/>
    <s v="Bengaluru"/>
    <s v="WFH"/>
    <d v="2026-04-27T00:00:00"/>
    <d v="2026-05-09T00:00:00"/>
    <s v="Relieved"/>
    <s v="Involuntary"/>
    <x v="9"/>
    <n v="12"/>
    <n v="1"/>
    <s v="04-2026"/>
    <s v="05-2026"/>
    <n v="0"/>
    <n v="1"/>
  </r>
  <r>
    <s v="EMP1336"/>
    <s v="Exploring Infinities - Sales"/>
    <s v="SALES"/>
    <s v="Sales - India"/>
    <s v="Director 1"/>
    <s v="Bengaluru"/>
    <s v="WFH"/>
    <d v="2026-04-27T00:00:00"/>
    <d v="2026-04-27T00:00:00"/>
    <s v="Relieved"/>
    <s v="Voluntary"/>
    <x v="4"/>
    <n v="0"/>
    <n v="1"/>
    <s v="04-2026"/>
    <s v="04-2026"/>
    <n v="1"/>
    <n v="0"/>
  </r>
  <r>
    <s v="EMP1339"/>
    <s v="Exploring Infinities - Sales"/>
    <s v="SALES"/>
    <s v="Sales - India"/>
    <s v="Director 1"/>
    <s v="Bengaluru"/>
    <s v="WFH"/>
    <d v="2026-04-27T00:00:00"/>
    <m/>
    <s v="Active"/>
    <m/>
    <x v="2"/>
    <n v="64"/>
    <n v="0"/>
    <s v="04-2026"/>
    <s v=""/>
    <n v="0"/>
    <n v="0"/>
  </r>
  <r>
    <s v="EMP1254"/>
    <s v="Exploring Infinities - Sales"/>
    <s v="SALES"/>
    <s v="Sales - India"/>
    <s v="Director 1"/>
    <s v="Bengaluru"/>
    <s v="WFH"/>
    <d v="2025-08-27T00:00:00"/>
    <d v="2026-06-07T00:00:00"/>
    <s v="Relieved"/>
    <s v="Involuntary"/>
    <x v="9"/>
    <n v="284"/>
    <n v="1"/>
    <s v="08-2025"/>
    <s v="06-2026"/>
    <n v="0"/>
    <n v="1"/>
  </r>
  <r>
    <s v="EMP1503"/>
    <s v="Exploring Infinities - Sales"/>
    <s v="SALES"/>
    <s v="Sales - India"/>
    <s v="Director 1"/>
    <s v="Bengaluru"/>
    <s v="WFH"/>
    <d v="2026-06-27T00:00:00"/>
    <m/>
    <s v="Active"/>
    <m/>
    <x v="2"/>
    <n v="3"/>
    <n v="0"/>
    <s v="06-2026"/>
    <s v=""/>
    <n v="0"/>
    <n v="0"/>
  </r>
  <r>
    <s v="EMP1513"/>
    <s v="Exploring Infinities - Sales"/>
    <s v="SALES"/>
    <s v="Sales - India"/>
    <s v="Director 1"/>
    <s v="Bengaluru"/>
    <s v="WFH"/>
    <d v="2026-06-27T00:00:00"/>
    <d v="2026-06-27T00:00:00"/>
    <s v="Relieved"/>
    <s v="Voluntary"/>
    <x v="5"/>
    <n v="0"/>
    <n v="1"/>
    <s v="06-2026"/>
    <s v="06-2026"/>
    <n v="1"/>
    <n v="0"/>
  </r>
  <r>
    <s v="EMP1234"/>
    <s v="Exploring Infinities - Sales"/>
    <s v="SALES"/>
    <s v="Sales - India"/>
    <s v="Director 1"/>
    <s v="Bengaluru"/>
    <s v="WFH"/>
    <d v="2025-05-27T00:00:00"/>
    <d v="2026-05-26T00:00:00"/>
    <s v="Relieved"/>
    <s v="Involuntary"/>
    <x v="1"/>
    <n v="364"/>
    <n v="1"/>
    <s v="05-2025"/>
    <s v="05-2026"/>
    <n v="0"/>
    <n v="1"/>
  </r>
  <r>
    <s v="EMP1396"/>
    <s v="Exploring Infinities - Sales"/>
    <s v="SALES"/>
    <s v="Sales - India"/>
    <s v="Director 1"/>
    <s v="Bengaluru"/>
    <s v="WFH"/>
    <d v="2026-05-27T00:00:00"/>
    <m/>
    <s v="Active"/>
    <m/>
    <x v="2"/>
    <n v="34"/>
    <n v="0"/>
    <s v="05-2026"/>
    <s v=""/>
    <n v="0"/>
    <n v="0"/>
  </r>
  <r>
    <s v="EMP1403"/>
    <s v="Exploring Infinities - Sales"/>
    <s v="SALES"/>
    <s v="Sales - India"/>
    <s v="Director 1"/>
    <s v="Bengaluru"/>
    <s v="WFH"/>
    <d v="2026-05-27T00:00:00"/>
    <d v="2026-06-23T00:00:00"/>
    <s v="Relieved"/>
    <s v="Involuntary"/>
    <x v="1"/>
    <n v="27"/>
    <n v="1"/>
    <s v="05-2026"/>
    <s v="06-2026"/>
    <n v="0"/>
    <n v="1"/>
  </r>
  <r>
    <s v="EMP1413"/>
    <s v="Exploring Infinities - Sales"/>
    <s v="SALES"/>
    <s v="Sales - India"/>
    <s v="Director 1"/>
    <s v="Bengaluru"/>
    <s v="WFH"/>
    <d v="2026-05-27T00:00:00"/>
    <d v="2026-05-27T00:00:00"/>
    <s v="Relieved"/>
    <s v="Voluntary"/>
    <x v="3"/>
    <n v="0"/>
    <n v="1"/>
    <s v="05-2026"/>
    <s v="05-2026"/>
    <n v="1"/>
    <n v="0"/>
  </r>
  <r>
    <s v="EMP1440"/>
    <s v="Exploring Infinities - Sales"/>
    <s v="SALES"/>
    <s v="Sales - India"/>
    <s v="Director 1"/>
    <s v="Bengaluru"/>
    <s v="WFH"/>
    <d v="2026-05-27T00:00:00"/>
    <m/>
    <s v="Active"/>
    <m/>
    <x v="2"/>
    <n v="34"/>
    <n v="0"/>
    <s v="05-2026"/>
    <s v=""/>
    <n v="0"/>
    <n v="0"/>
  </r>
  <r>
    <s v="EMP1445"/>
    <s v="Exploring Infinities - Sales"/>
    <s v="SALES"/>
    <s v="Sales - India"/>
    <s v="Director 1"/>
    <s v="Bengaluru"/>
    <s v="WFH"/>
    <d v="2026-05-27T00:00:00"/>
    <d v="2026-06-04T00:00:00"/>
    <s v="Relieved"/>
    <s v="Involuntary"/>
    <x v="7"/>
    <n v="8"/>
    <n v="1"/>
    <s v="05-2026"/>
    <s v="06-2026"/>
    <n v="0"/>
    <n v="1"/>
  </r>
  <r>
    <s v="EMP1266"/>
    <s v="Exploring Infinities - Sales"/>
    <s v="SALES"/>
    <s v="Sales - India"/>
    <s v="Director 1"/>
    <s v="Bengaluru"/>
    <s v="WFH"/>
    <d v="2026-04-28T00:00:00"/>
    <m/>
    <s v="Active"/>
    <m/>
    <x v="2"/>
    <n v="63"/>
    <n v="0"/>
    <s v="04-2026"/>
    <s v=""/>
    <n v="0"/>
    <n v="0"/>
  </r>
  <r>
    <s v="EMP1277"/>
    <s v="Exploring Infinities - Sales"/>
    <s v="SALES"/>
    <s v="Sales - India"/>
    <s v="Director 1"/>
    <s v="Bengaluru"/>
    <s v="WFH"/>
    <d v="2026-04-28T00:00:00"/>
    <m/>
    <s v="Active"/>
    <m/>
    <x v="2"/>
    <n v="63"/>
    <n v="0"/>
    <s v="04-2026"/>
    <s v=""/>
    <n v="0"/>
    <n v="0"/>
  </r>
  <r>
    <s v="EMP1320"/>
    <s v="Exploring Infinities - Sales"/>
    <s v="SALES"/>
    <s v="Sales - India"/>
    <s v="Director 1"/>
    <s v="Bengaluru"/>
    <s v="WFH"/>
    <d v="2026-04-28T00:00:00"/>
    <d v="2026-04-28T00:00:00"/>
    <s v="Relieved"/>
    <s v="Voluntary"/>
    <x v="5"/>
    <n v="0"/>
    <n v="1"/>
    <s v="04-2026"/>
    <s v="04-2026"/>
    <n v="1"/>
    <n v="0"/>
  </r>
  <r>
    <s v="EMP1247"/>
    <s v="Exploring Infinities - Sales"/>
    <s v="SALES"/>
    <s v="Sales - India"/>
    <s v="Director 1"/>
    <s v="Bengaluru"/>
    <s v="WFH"/>
    <d v="2025-12-28T00:00:00"/>
    <m/>
    <s v="Active"/>
    <m/>
    <x v="2"/>
    <n v="184"/>
    <n v="0"/>
    <s v="12-2025"/>
    <s v=""/>
    <n v="0"/>
    <n v="0"/>
  </r>
  <r>
    <s v="EMP1224"/>
    <s v="Exploring Infinities - Sales"/>
    <s v="SALES"/>
    <s v="Sales - India"/>
    <s v="Director 1"/>
    <s v="Bengaluru"/>
    <s v="WFH"/>
    <d v="2026-01-28T00:00:00"/>
    <d v="2026-05-11T00:00:00"/>
    <s v="Relieved"/>
    <s v="Involuntary"/>
    <x v="6"/>
    <n v="103"/>
    <n v="1"/>
    <s v="01-2026"/>
    <s v="05-2026"/>
    <n v="0"/>
    <n v="1"/>
  </r>
  <r>
    <s v="EMP1251"/>
    <s v="Exploring Infinities - Sales"/>
    <s v="SALES"/>
    <s v="Sales - India"/>
    <s v="Director 1"/>
    <s v="Bengaluru"/>
    <s v="WFH"/>
    <d v="2025-07-28T00:00:00"/>
    <d v="2026-06-03T00:00:00"/>
    <s v="Relieved"/>
    <s v="Involuntary"/>
    <x v="9"/>
    <n v="310"/>
    <n v="1"/>
    <s v="07-2025"/>
    <s v="06-2026"/>
    <n v="0"/>
    <n v="1"/>
  </r>
  <r>
    <s v="EMP1467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</r>
  <r>
    <s v="EMP1471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</r>
  <r>
    <s v="EMP1487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</r>
  <r>
    <s v="EMP1490"/>
    <s v="Exploring Infinities - Sales"/>
    <s v="SALES"/>
    <s v="Sales - India"/>
    <s v="Director 1"/>
    <s v="Bengaluru"/>
    <s v="WFH"/>
    <d v="2026-06-28T00:00:00"/>
    <d v="2026-06-28T00:00:00"/>
    <s v="Relieved"/>
    <s v="Voluntary"/>
    <x v="3"/>
    <n v="0"/>
    <n v="1"/>
    <s v="06-2026"/>
    <s v="06-2026"/>
    <n v="1"/>
    <n v="0"/>
  </r>
  <r>
    <s v="EMP1500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</r>
  <r>
    <s v="EMP1527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</r>
  <r>
    <s v="EMP1356"/>
    <s v="Exploring Infinities - Sales"/>
    <s v="SALES"/>
    <s v="Sales - India"/>
    <s v="Director 1"/>
    <s v="Bengaluru"/>
    <s v="WFH"/>
    <d v="2026-05-28T00:00:00"/>
    <m/>
    <s v="Active"/>
    <m/>
    <x v="2"/>
    <n v="33"/>
    <n v="0"/>
    <s v="05-2026"/>
    <s v=""/>
    <n v="0"/>
    <n v="0"/>
  </r>
  <r>
    <s v="EMP1428"/>
    <s v="Exploring Infinities - Sales"/>
    <s v="SALES"/>
    <s v="Sales - India"/>
    <s v="Director 1"/>
    <s v="Bengaluru"/>
    <s v="WFH"/>
    <d v="2026-05-28T00:00:00"/>
    <d v="2026-06-08T00:00:00"/>
    <s v="Relieved"/>
    <s v="Involuntary"/>
    <x v="7"/>
    <n v="11"/>
    <n v="1"/>
    <s v="05-2026"/>
    <s v="06-2026"/>
    <n v="0"/>
    <n v="1"/>
  </r>
  <r>
    <s v="EMP1433"/>
    <s v="Exploring Infinities - Sales"/>
    <s v="SALES"/>
    <s v="Sales - India"/>
    <s v="Director 1"/>
    <s v="Bengaluru"/>
    <s v="WFH"/>
    <d v="2026-05-28T00:00:00"/>
    <d v="2026-06-10T00:00:00"/>
    <s v="Relieved"/>
    <s v="Involuntary"/>
    <x v="6"/>
    <n v="13"/>
    <n v="1"/>
    <s v="05-2026"/>
    <s v="06-2026"/>
    <n v="0"/>
    <n v="1"/>
  </r>
  <r>
    <s v="EMP1450"/>
    <s v="Exploring Infinities - Sales"/>
    <s v="SALES"/>
    <s v="Sales - India"/>
    <s v="Director 1"/>
    <s v="Bengaluru"/>
    <s v="WFH"/>
    <d v="2026-05-28T00:00:00"/>
    <d v="2026-06-13T00:00:00"/>
    <s v="Relieved"/>
    <s v="Involuntary"/>
    <x v="9"/>
    <n v="16"/>
    <n v="1"/>
    <s v="05-2026"/>
    <s v="06-2026"/>
    <n v="0"/>
    <n v="1"/>
  </r>
  <r>
    <s v="EMP1243"/>
    <s v="Exploring Infinities - Sales"/>
    <s v="SALES"/>
    <s v="Sales - India"/>
    <s v="Director 1"/>
    <s v="Bengaluru"/>
    <s v="WFH"/>
    <d v="2025-04-29T00:00:00"/>
    <m/>
    <s v="Active"/>
    <m/>
    <x v="2"/>
    <n v="427"/>
    <n v="0"/>
    <s v="04-2025"/>
    <s v=""/>
    <n v="0"/>
    <n v="0"/>
  </r>
  <r>
    <s v="EMP1261"/>
    <s v="Exploring Infinities - Sales"/>
    <s v="SALES"/>
    <s v="Sales - India"/>
    <s v="Director 1"/>
    <s v="Bengaluru"/>
    <s v="WFH"/>
    <d v="2026-04-29T00:00:00"/>
    <d v="2026-04-29T00:00:00"/>
    <s v="Relieved"/>
    <s v="Voluntary"/>
    <x v="3"/>
    <n v="0"/>
    <n v="1"/>
    <s v="04-2026"/>
    <s v="04-2026"/>
    <n v="1"/>
    <n v="0"/>
  </r>
  <r>
    <s v="EMP1267"/>
    <s v="Exploring Infinities - Sales"/>
    <s v="SALES"/>
    <s v="Sales - India"/>
    <s v="Director 1"/>
    <s v="Bengaluru"/>
    <s v="WFH"/>
    <d v="2026-04-29T00:00:00"/>
    <d v="2026-06-13T00:00:00"/>
    <s v="Relieved"/>
    <s v="Involuntary"/>
    <x v="6"/>
    <n v="45"/>
    <n v="1"/>
    <s v="04-2026"/>
    <s v="06-2026"/>
    <n v="0"/>
    <n v="1"/>
  </r>
  <r>
    <s v="EMP1278"/>
    <s v="Exploring Infinities - Sales"/>
    <s v="SALES"/>
    <s v="Sales - India"/>
    <s v="Director 1"/>
    <s v="Bengaluru"/>
    <s v="WFH"/>
    <d v="2026-04-29T00:00:00"/>
    <m/>
    <s v="Active"/>
    <m/>
    <x v="2"/>
    <n v="62"/>
    <n v="0"/>
    <s v="04-2026"/>
    <s v=""/>
    <n v="0"/>
    <n v="0"/>
  </r>
  <r>
    <s v="EMP1287"/>
    <s v="Exploring Infinities - Sales"/>
    <s v="SALES"/>
    <s v="Sales - India"/>
    <s v="Director 1"/>
    <s v="Bengaluru"/>
    <s v="WFH"/>
    <d v="2026-04-29T00:00:00"/>
    <m/>
    <s v="Active"/>
    <m/>
    <x v="2"/>
    <n v="62"/>
    <n v="0"/>
    <s v="04-2026"/>
    <s v=""/>
    <n v="0"/>
    <n v="0"/>
  </r>
  <r>
    <s v="EMP1332"/>
    <s v="Exploring Infinities - Sales"/>
    <s v="SALES"/>
    <s v="Sales - India"/>
    <s v="Director 1"/>
    <s v="Bengaluru"/>
    <s v="WFH"/>
    <d v="2026-04-29T00:00:00"/>
    <m/>
    <s v="Active"/>
    <m/>
    <x v="2"/>
    <n v="62"/>
    <n v="0"/>
    <s v="04-2026"/>
    <s v=""/>
    <n v="0"/>
    <n v="0"/>
  </r>
  <r>
    <s v="EMP1158"/>
    <s v="Exploring Infinities - Sales"/>
    <s v="SALES"/>
    <s v="Sales - India"/>
    <s v="Director 1"/>
    <s v="Bengaluru"/>
    <s v="WFH"/>
    <d v="2026-01-29T00:00:00"/>
    <m/>
    <s v="Active"/>
    <m/>
    <x v="2"/>
    <n v="152"/>
    <n v="0"/>
    <s v="01-2026"/>
    <s v=""/>
    <n v="0"/>
    <n v="0"/>
  </r>
  <r>
    <s v="EMP1378"/>
    <s v="Exploring Infinities - Sales"/>
    <s v="SALES"/>
    <s v="Sales - India"/>
    <s v="Director 1"/>
    <s v="Bengaluru"/>
    <s v="WFH"/>
    <d v="2026-05-29T00:00:00"/>
    <m/>
    <s v="Active"/>
    <m/>
    <x v="2"/>
    <n v="32"/>
    <n v="0"/>
    <s v="05-2026"/>
    <s v=""/>
    <n v="0"/>
    <n v="0"/>
  </r>
  <r>
    <s v="EMP1426"/>
    <s v="Exploring Infinities - Sales"/>
    <s v="SALES"/>
    <s v="Sales - India"/>
    <s v="Director 1"/>
    <s v="Bengaluru"/>
    <s v="WFH"/>
    <d v="2026-05-29T00:00:00"/>
    <m/>
    <s v="Active"/>
    <m/>
    <x v="2"/>
    <n v="32"/>
    <n v="0"/>
    <s v="05-2026"/>
    <s v=""/>
    <n v="0"/>
    <n v="0"/>
  </r>
  <r>
    <s v="EMP1199"/>
    <s v="Exploring Infinities - Sales"/>
    <s v="SALES"/>
    <s v="Sales - India"/>
    <s v="Director 1"/>
    <s v="Bengaluru"/>
    <s v="WFH"/>
    <d v="2025-09-29T00:00:00"/>
    <m/>
    <s v="Active"/>
    <m/>
    <x v="2"/>
    <n v="274"/>
    <n v="0"/>
    <s v="09-2025"/>
    <s v=""/>
    <n v="0"/>
    <n v="0"/>
  </r>
  <r>
    <s v="EMP1305"/>
    <s v="Exploring Infinities - Sales"/>
    <s v="SALES"/>
    <s v="Sales - India"/>
    <s v="Director 1"/>
    <s v="Bengaluru"/>
    <s v="WFH"/>
    <d v="2026-04-30T00:00:00"/>
    <d v="2026-04-30T00:00:00"/>
    <s v="Relieved"/>
    <s v="Voluntary"/>
    <x v="8"/>
    <n v="0"/>
    <n v="1"/>
    <s v="04-2026"/>
    <s v="04-2026"/>
    <n v="1"/>
    <n v="0"/>
  </r>
  <r>
    <s v="EMP1310"/>
    <s v="Exploring Infinities - Sales"/>
    <s v="SALES"/>
    <s v="Sales - India"/>
    <s v="Director 1"/>
    <s v="Bengaluru"/>
    <s v="WFH"/>
    <d v="2026-04-30T00:00:00"/>
    <m/>
    <s v="Active"/>
    <m/>
    <x v="2"/>
    <n v="61"/>
    <n v="0"/>
    <s v="04-2026"/>
    <s v=""/>
    <n v="0"/>
    <n v="0"/>
  </r>
  <r>
    <s v="EMP1178"/>
    <s v="Exploring Infinities - Sales"/>
    <s v="SALES"/>
    <s v="Sales - India"/>
    <s v="Director 1"/>
    <s v="Bengaluru"/>
    <s v="WFH"/>
    <d v="2026-01-30T00:00:00"/>
    <m/>
    <s v="Active"/>
    <m/>
    <x v="2"/>
    <n v="151"/>
    <n v="0"/>
    <s v="01-2026"/>
    <s v=""/>
    <n v="0"/>
    <n v="0"/>
  </r>
  <r>
    <s v="EMP1472"/>
    <s v="Exploring Infinities - Sales"/>
    <s v="SALES"/>
    <s v="Sales - India"/>
    <s v="Director 1"/>
    <s v="Bengaluru"/>
    <s v="WFH"/>
    <d v="2026-06-30T00:00:00"/>
    <m/>
    <s v="Active"/>
    <m/>
    <x v="2"/>
    <n v="0"/>
    <n v="0"/>
    <s v="06-2026"/>
    <s v=""/>
    <n v="0"/>
    <n v="0"/>
  </r>
  <r>
    <s v="EMP1511"/>
    <s v="Exploring Infinities - Sales"/>
    <s v="SALES"/>
    <s v="Sales - India"/>
    <s v="Director 1"/>
    <s v="Bengaluru"/>
    <s v="WFH"/>
    <d v="2026-06-30T00:00:00"/>
    <d v="2026-06-30T00:00:00"/>
    <s v="Relieved"/>
    <s v="Voluntary"/>
    <x v="0"/>
    <n v="0"/>
    <n v="1"/>
    <s v="06-2026"/>
    <s v="06-2026"/>
    <n v="1"/>
    <n v="0"/>
  </r>
  <r>
    <s v="EMP1522"/>
    <s v="Exploring Infinities - Sales"/>
    <s v="SALES"/>
    <s v="Sales - India"/>
    <s v="Director 1"/>
    <s v="Bengaluru"/>
    <s v="WFH"/>
    <d v="2026-06-30T00:00:00"/>
    <m/>
    <s v="Active"/>
    <m/>
    <x v="2"/>
    <n v="0"/>
    <n v="0"/>
    <s v="06-2026"/>
    <s v=""/>
    <n v="0"/>
    <n v="0"/>
  </r>
  <r>
    <s v="EMP1162"/>
    <s v="Exploring Infinities - Sales"/>
    <s v="SALES"/>
    <s v="Sales - India"/>
    <s v="Director 1"/>
    <s v="Bengaluru"/>
    <s v="WFH"/>
    <d v="2026-03-30T00:00:00"/>
    <d v="2026-04-13T00:00:00"/>
    <s v="Relieved"/>
    <s v="Voluntary"/>
    <x v="0"/>
    <n v="14"/>
    <n v="1"/>
    <s v="03-2026"/>
    <s v="04-2026"/>
    <n v="1"/>
    <n v="0"/>
  </r>
  <r>
    <s v="EMP1179"/>
    <s v="Exploring Infinities - Sales"/>
    <s v="SALES"/>
    <s v="Sales - India"/>
    <s v="Director 1"/>
    <s v="Bengaluru"/>
    <s v="WFH"/>
    <d v="2026-03-30T00:00:00"/>
    <m/>
    <s v="Active"/>
    <m/>
    <x v="2"/>
    <n v="92"/>
    <n v="0"/>
    <s v="03-2026"/>
    <s v=""/>
    <n v="0"/>
    <n v="0"/>
  </r>
  <r>
    <s v="EMP1375"/>
    <s v="Exploring Infinities - Sales"/>
    <s v="SALES"/>
    <s v="Sales - India"/>
    <s v="Director 1"/>
    <s v="Bengaluru"/>
    <s v="WFH"/>
    <d v="2026-05-30T00:00:00"/>
    <d v="2026-05-30T00:00:00"/>
    <s v="Relieved"/>
    <s v="Voluntary"/>
    <x v="8"/>
    <n v="0"/>
    <n v="1"/>
    <s v="05-2026"/>
    <s v="05-2026"/>
    <n v="1"/>
    <n v="0"/>
  </r>
  <r>
    <s v="EMP1397"/>
    <s v="Exploring Infinities - Sales"/>
    <s v="SALES"/>
    <s v="Sales - India"/>
    <s v="Director 1"/>
    <s v="Bengaluru"/>
    <s v="WFH"/>
    <d v="2026-05-30T00:00:00"/>
    <d v="2026-05-30T00:00:00"/>
    <s v="Relieved"/>
    <s v="Voluntary"/>
    <x v="4"/>
    <n v="0"/>
    <n v="1"/>
    <s v="05-2026"/>
    <s v="05-2026"/>
    <n v="1"/>
    <n v="0"/>
  </r>
  <r>
    <s v="EMP1406"/>
    <s v="Exploring Infinities - Sales"/>
    <s v="SALES"/>
    <s v="Sales - India"/>
    <s v="Director 1"/>
    <s v="Bengaluru"/>
    <s v="WFH"/>
    <d v="2026-05-30T00:00:00"/>
    <m/>
    <s v="Active"/>
    <m/>
    <x v="2"/>
    <n v="31"/>
    <n v="0"/>
    <s v="05-2026"/>
    <s v=""/>
    <n v="0"/>
    <n v="0"/>
  </r>
  <r>
    <s v="EMP1422"/>
    <s v="Exploring Infinities - Sales"/>
    <s v="SALES"/>
    <s v="Sales - India"/>
    <s v="Director 1"/>
    <s v="Bengaluru"/>
    <s v="WFH"/>
    <d v="2026-05-30T00:00:00"/>
    <d v="2026-05-30T00:00:00"/>
    <s v="Relieved"/>
    <s v="Voluntary"/>
    <x v="4"/>
    <n v="0"/>
    <n v="1"/>
    <s v="05-2026"/>
    <s v="05-2026"/>
    <n v="1"/>
    <n v="0"/>
  </r>
  <r>
    <s v="EMP1436"/>
    <s v="Exploring Infinities - Sales"/>
    <s v="SALES"/>
    <s v="Sales - India"/>
    <s v="Director 1"/>
    <s v="Bengaluru"/>
    <s v="WFH"/>
    <d v="2026-05-30T00:00:00"/>
    <d v="2026-05-30T00:00:00"/>
    <s v="Relieved"/>
    <s v="Voluntary"/>
    <x v="8"/>
    <n v="0"/>
    <n v="1"/>
    <s v="05-2026"/>
    <s v="05-2026"/>
    <n v="1"/>
    <n v="0"/>
  </r>
  <r>
    <s v="EMP1400"/>
    <s v="Exploring Infinities - Sales"/>
    <s v="SALES"/>
    <s v="Sales - India"/>
    <s v="Director 1"/>
    <s v="Bengaluru"/>
    <s v="WFH"/>
    <d v="2026-05-31T00:00:00"/>
    <d v="2026-05-31T00:00:00"/>
    <s v="Relieved"/>
    <s v="Voluntary"/>
    <x v="5"/>
    <n v="0"/>
    <n v="1"/>
    <s v="05-2026"/>
    <s v="05-2026"/>
    <n v="1"/>
    <n v="0"/>
  </r>
  <r>
    <s v="EMP1138"/>
    <s v="Exploring Infinities - Sales"/>
    <s v="SALES"/>
    <s v="Sales - India"/>
    <s v="Director 1"/>
    <s v="Bengaluru"/>
    <s v="WFO"/>
    <d v="2026-06-01T00:00:00"/>
    <m/>
    <s v="Active"/>
    <m/>
    <x v="2"/>
    <n v="29"/>
    <n v="0"/>
    <s v="06-2026"/>
    <s v=""/>
    <n v="0"/>
    <n v="0"/>
  </r>
  <r>
    <s v="EMP1069"/>
    <s v="Exploring Infinities - Sales"/>
    <s v="SALES"/>
    <s v="Sales - India"/>
    <s v="Director 1"/>
    <s v="Bengaluru"/>
    <s v="WFO"/>
    <d v="2026-03-01T00:00:00"/>
    <m/>
    <s v="Active"/>
    <m/>
    <x v="2"/>
    <n v="121"/>
    <n v="0"/>
    <s v="03-2026"/>
    <s v=""/>
    <n v="0"/>
    <n v="0"/>
  </r>
  <r>
    <s v="EMP1079"/>
    <s v="Exploring Infinities - Sales"/>
    <s v="SALES"/>
    <s v="Sales - India"/>
    <s v="Director 1"/>
    <s v="Bengaluru"/>
    <s v="WFO"/>
    <d v="2026-04-02T00:00:00"/>
    <d v="2026-04-14T00:00:00"/>
    <s v="Relieved"/>
    <s v="Voluntary"/>
    <x v="5"/>
    <n v="12"/>
    <n v="1"/>
    <s v="04-2026"/>
    <s v="04-2026"/>
    <n v="1"/>
    <n v="0"/>
  </r>
  <r>
    <s v="EMP1027"/>
    <s v="Exploring Infinities - Sales"/>
    <s v="SALES"/>
    <s v="Sales - India"/>
    <s v="Director 1"/>
    <s v="Bengaluru"/>
    <s v="WFO"/>
    <d v="2026-01-02T00:00:00"/>
    <d v="2026-04-29T00:00:00"/>
    <s v="Relieved"/>
    <s v="Involuntary"/>
    <x v="9"/>
    <n v="117"/>
    <n v="1"/>
    <s v="01-2026"/>
    <s v="04-2026"/>
    <n v="0"/>
    <n v="1"/>
  </r>
  <r>
    <s v="EMP1146"/>
    <s v="Exploring Infinities - Sales"/>
    <s v="SALES"/>
    <s v="Sales - India"/>
    <s v="Director 1"/>
    <s v="Bengaluru"/>
    <s v="WFO"/>
    <d v="2026-06-02T00:00:00"/>
    <m/>
    <s v="Active"/>
    <m/>
    <x v="2"/>
    <n v="28"/>
    <n v="0"/>
    <s v="06-2026"/>
    <s v=""/>
    <n v="0"/>
    <n v="0"/>
  </r>
  <r>
    <s v="EMP1154"/>
    <s v="Exploring Infinities - Sales"/>
    <s v="SALES"/>
    <s v="Sales - India"/>
    <s v="Director 1"/>
    <s v="Bengaluru"/>
    <s v="WFO"/>
    <d v="2026-06-02T00:00:00"/>
    <d v="2026-06-22T00:00:00"/>
    <s v="Relieved"/>
    <s v="Voluntary"/>
    <x v="10"/>
    <n v="20"/>
    <n v="1"/>
    <s v="06-2026"/>
    <s v="06-2026"/>
    <n v="1"/>
    <n v="0"/>
  </r>
  <r>
    <s v="EMP1063"/>
    <s v="Exploring Infinities - Sales"/>
    <s v="SALES"/>
    <s v="Sales - India"/>
    <s v="Director 1"/>
    <s v="Bengaluru"/>
    <s v="WFO"/>
    <d v="2025-10-02T00:00:00"/>
    <d v="2026-04-23T00:00:00"/>
    <s v="Relieved"/>
    <s v="Voluntary"/>
    <x v="5"/>
    <n v="203"/>
    <n v="1"/>
    <s v="10-2025"/>
    <s v="04-2026"/>
    <n v="1"/>
    <n v="0"/>
  </r>
  <r>
    <s v="EMP1078"/>
    <s v="Exploring Infinities - Sales"/>
    <s v="SALES"/>
    <s v="Sales - India"/>
    <s v="Director 1"/>
    <s v="Bengaluru"/>
    <s v="WFO"/>
    <d v="2026-04-03T00:00:00"/>
    <m/>
    <s v="Active"/>
    <m/>
    <x v="2"/>
    <n v="88"/>
    <n v="0"/>
    <s v="04-2026"/>
    <s v=""/>
    <n v="0"/>
    <n v="0"/>
  </r>
  <r>
    <s v="EMP1084"/>
    <s v="Exploring Infinities - Sales"/>
    <s v="SALES"/>
    <s v="Sales - India"/>
    <s v="Director 1"/>
    <s v="Bengaluru"/>
    <s v="WFO"/>
    <d v="2026-04-03T00:00:00"/>
    <m/>
    <s v="Active"/>
    <m/>
    <x v="2"/>
    <n v="88"/>
    <n v="0"/>
    <s v="04-2026"/>
    <s v=""/>
    <n v="0"/>
    <n v="0"/>
  </r>
  <r>
    <s v="EMP1031"/>
    <s v="Exploring Infinities - Sales"/>
    <s v="SALES"/>
    <s v="Sales - India"/>
    <s v="Director 1"/>
    <s v="Bengaluru"/>
    <s v="WFO"/>
    <d v="2025-08-03T00:00:00"/>
    <d v="2026-05-03T00:00:00"/>
    <s v="Relieved"/>
    <s v="Involuntary"/>
    <x v="6"/>
    <n v="273"/>
    <n v="1"/>
    <s v="08-2025"/>
    <s v="05-2026"/>
    <n v="0"/>
    <n v="1"/>
  </r>
  <r>
    <s v="EMP1054"/>
    <s v="Exploring Infinities - Sales"/>
    <s v="SALES"/>
    <s v="Sales - India"/>
    <s v="Director 1"/>
    <s v="Bengaluru"/>
    <s v="WFO"/>
    <d v="2025-07-03T00:00:00"/>
    <d v="2026-04-08T00:00:00"/>
    <s v="Relieved"/>
    <s v="Involuntary"/>
    <x v="9"/>
    <n v="279"/>
    <n v="1"/>
    <s v="07-2025"/>
    <s v="04-2026"/>
    <n v="0"/>
    <n v="1"/>
  </r>
  <r>
    <s v="EMP1140"/>
    <s v="Exploring Infinities - Sales"/>
    <s v="SALES"/>
    <s v="Sales - India"/>
    <s v="Director 1"/>
    <s v="Bengaluru"/>
    <s v="WFO"/>
    <d v="2026-06-03T00:00:00"/>
    <m/>
    <s v="Active"/>
    <m/>
    <x v="2"/>
    <n v="27"/>
    <n v="0"/>
    <s v="06-2026"/>
    <s v=""/>
    <n v="0"/>
    <n v="0"/>
  </r>
  <r>
    <s v="EMP1101"/>
    <s v="Exploring Infinities - Sales"/>
    <s v="SALES"/>
    <s v="Sales - India"/>
    <s v="Director 1"/>
    <s v="Bengaluru"/>
    <s v="WFO"/>
    <d v="2026-05-03T00:00:00"/>
    <d v="2026-05-29T00:00:00"/>
    <s v="Relieved"/>
    <s v="Voluntary"/>
    <x v="8"/>
    <n v="26"/>
    <n v="1"/>
    <s v="05-2026"/>
    <s v="05-2026"/>
    <n v="1"/>
    <n v="0"/>
  </r>
  <r>
    <s v="EMP1088"/>
    <s v="Exploring Infinities - Sales"/>
    <s v="SALES"/>
    <s v="Sales - India"/>
    <s v="Director 1"/>
    <s v="Bengaluru"/>
    <s v="WFO"/>
    <d v="2026-04-04T00:00:00"/>
    <d v="2026-05-24T00:00:00"/>
    <s v="Relieved"/>
    <s v="Involuntary"/>
    <x v="1"/>
    <n v="50"/>
    <n v="1"/>
    <s v="04-2026"/>
    <s v="05-2026"/>
    <n v="0"/>
    <n v="1"/>
  </r>
  <r>
    <s v="EMP1038"/>
    <s v="Exploring Infinities - Sales"/>
    <s v="SALES"/>
    <s v="Sales - India"/>
    <s v="Director 1"/>
    <s v="Bengaluru"/>
    <s v="WFO"/>
    <d v="2025-01-04T00:00:00"/>
    <m/>
    <s v="Active"/>
    <m/>
    <x v="2"/>
    <n v="542"/>
    <n v="0"/>
    <s v="01-2025"/>
    <s v=""/>
    <n v="0"/>
    <n v="0"/>
  </r>
  <r>
    <s v="EMP1139"/>
    <s v="Exploring Infinities - Sales"/>
    <s v="SALES"/>
    <s v="Sales - India"/>
    <s v="Director 1"/>
    <s v="Bengaluru"/>
    <s v="WFO"/>
    <d v="2026-06-04T00:00:00"/>
    <m/>
    <s v="Active"/>
    <m/>
    <x v="2"/>
    <n v="26"/>
    <n v="0"/>
    <s v="06-2026"/>
    <s v=""/>
    <n v="0"/>
    <n v="0"/>
  </r>
  <r>
    <s v="EMP1122"/>
    <s v="Exploring Infinities - Sales"/>
    <s v="SALES"/>
    <s v="Sales - India"/>
    <s v="Director 1"/>
    <s v="Bengaluru"/>
    <s v="WFO"/>
    <d v="2026-05-04T00:00:00"/>
    <m/>
    <s v="Active"/>
    <m/>
    <x v="2"/>
    <n v="57"/>
    <n v="0"/>
    <s v="05-2026"/>
    <s v=""/>
    <n v="0"/>
    <n v="0"/>
  </r>
  <r>
    <s v="EMP1123"/>
    <s v="Exploring Infinities - Sales"/>
    <s v="SALES"/>
    <s v="Sales - India"/>
    <s v="Director 1"/>
    <s v="Bengaluru"/>
    <s v="WFO"/>
    <d v="2026-05-04T00:00:00"/>
    <d v="2026-05-15T00:00:00"/>
    <s v="Relieved"/>
    <s v="Voluntary"/>
    <x v="0"/>
    <n v="11"/>
    <n v="1"/>
    <s v="05-2026"/>
    <s v="05-2026"/>
    <n v="1"/>
    <n v="0"/>
  </r>
  <r>
    <s v="EMP1016"/>
    <s v="Exploring Infinities - Sales"/>
    <s v="SALES"/>
    <s v="Sales - India"/>
    <s v="Director 1"/>
    <s v="Bengaluru"/>
    <s v="WFO"/>
    <d v="2025-08-05T00:00:00"/>
    <d v="2026-06-05T00:00:00"/>
    <s v="Relieved"/>
    <s v="Involuntary"/>
    <x v="9"/>
    <n v="304"/>
    <n v="1"/>
    <s v="08-2025"/>
    <s v="06-2026"/>
    <n v="0"/>
    <n v="1"/>
  </r>
  <r>
    <s v="EMP1043"/>
    <s v="Exploring Infinities - Sales"/>
    <s v="SALES"/>
    <s v="Sales - India"/>
    <s v="Director 1"/>
    <s v="Bengaluru"/>
    <s v="WFO"/>
    <d v="2025-08-05T00:00:00"/>
    <d v="2026-05-09T00:00:00"/>
    <s v="Relieved"/>
    <s v="Involuntary"/>
    <x v="9"/>
    <n v="277"/>
    <n v="1"/>
    <s v="08-2025"/>
    <s v="05-2026"/>
    <n v="0"/>
    <n v="1"/>
  </r>
  <r>
    <s v="EMP1074"/>
    <s v="Exploring Infinities - Sales"/>
    <s v="SALES"/>
    <s v="Sales - India"/>
    <s v="Director 1"/>
    <s v="Bengaluru"/>
    <s v="WFO"/>
    <d v="2025-07-05T00:00:00"/>
    <d v="2026-06-26T00:00:00"/>
    <s v="Relieved"/>
    <s v="Involuntary"/>
    <x v="1"/>
    <n v="356"/>
    <n v="1"/>
    <s v="07-2025"/>
    <s v="06-2026"/>
    <n v="0"/>
    <n v="1"/>
  </r>
  <r>
    <s v="EMP1144"/>
    <s v="Exploring Infinities - Sales"/>
    <s v="SALES"/>
    <s v="Sales - India"/>
    <s v="Director 1"/>
    <s v="Bengaluru"/>
    <s v="WFO"/>
    <d v="2026-06-05T00:00:00"/>
    <d v="2026-06-07T00:00:00"/>
    <s v="Relieved"/>
    <s v="Voluntary"/>
    <x v="10"/>
    <n v="2"/>
    <n v="1"/>
    <s v="06-2026"/>
    <s v="06-2026"/>
    <n v="1"/>
    <n v="0"/>
  </r>
  <r>
    <s v="EMP1151"/>
    <s v="Exploring Infinities - Sales"/>
    <s v="SALES"/>
    <s v="Sales - India"/>
    <s v="Director 1"/>
    <s v="Bengaluru"/>
    <s v="WFO"/>
    <d v="2026-06-05T00:00:00"/>
    <m/>
    <s v="Active"/>
    <m/>
    <x v="2"/>
    <n v="25"/>
    <n v="0"/>
    <s v="06-2026"/>
    <s v=""/>
    <n v="0"/>
    <n v="0"/>
  </r>
  <r>
    <s v="EMP1153"/>
    <s v="Exploring Infinities - Sales"/>
    <s v="SALES"/>
    <s v="Sales - India"/>
    <s v="Director 1"/>
    <s v="Bengaluru"/>
    <s v="WFO"/>
    <d v="2026-06-05T00:00:00"/>
    <d v="2026-06-23T00:00:00"/>
    <s v="Relieved"/>
    <s v="Voluntary"/>
    <x v="0"/>
    <n v="18"/>
    <n v="1"/>
    <s v="06-2026"/>
    <s v="06-2026"/>
    <n v="1"/>
    <n v="0"/>
  </r>
  <r>
    <s v="EMP1064"/>
    <s v="Exploring Infinities - Sales"/>
    <s v="SALES"/>
    <s v="Sales - India"/>
    <s v="Director 1"/>
    <s v="Bengaluru"/>
    <s v="WFO"/>
    <d v="2025-03-05T00:00:00"/>
    <d v="2026-06-11T00:00:00"/>
    <s v="Relieved"/>
    <s v="Voluntary"/>
    <x v="10"/>
    <n v="463"/>
    <n v="1"/>
    <s v="03-2025"/>
    <s v="06-2026"/>
    <n v="1"/>
    <n v="0"/>
  </r>
  <r>
    <s v="EMP1109"/>
    <s v="Exploring Infinities - Sales"/>
    <s v="SALES"/>
    <s v="Sales - India"/>
    <s v="Director 1"/>
    <s v="Bengaluru"/>
    <s v="WFO"/>
    <d v="2026-05-05T00:00:00"/>
    <d v="2026-05-20T00:00:00"/>
    <s v="Relieved"/>
    <s v="Involuntary"/>
    <x v="9"/>
    <n v="15"/>
    <n v="1"/>
    <s v="05-2026"/>
    <s v="05-2026"/>
    <n v="0"/>
    <n v="1"/>
  </r>
  <r>
    <s v="EMP1023"/>
    <s v="Exploring Infinities - Sales"/>
    <s v="SALES"/>
    <s v="Sales - India"/>
    <s v="Director 1"/>
    <s v="Bengaluru"/>
    <s v="WFO"/>
    <d v="2025-11-05T00:00:00"/>
    <d v="2026-04-11T00:00:00"/>
    <s v="Relieved"/>
    <s v="Involuntary"/>
    <x v="9"/>
    <n v="157"/>
    <n v="1"/>
    <s v="11-2025"/>
    <s v="04-2026"/>
    <n v="0"/>
    <n v="1"/>
  </r>
  <r>
    <s v="EMP1095"/>
    <s v="Exploring Infinities - Sales"/>
    <s v="SALES"/>
    <s v="Sales - India"/>
    <s v="Director 1"/>
    <s v="Bengaluru"/>
    <s v="WFO"/>
    <d v="2026-04-06T00:00:00"/>
    <d v="2026-04-30T00:00:00"/>
    <s v="Relieved"/>
    <s v="Voluntary"/>
    <x v="4"/>
    <n v="24"/>
    <n v="1"/>
    <s v="04-2026"/>
    <s v="04-2026"/>
    <n v="1"/>
    <n v="0"/>
  </r>
  <r>
    <s v="EMP1131"/>
    <s v="Exploring Infinities - Sales"/>
    <s v="SALES"/>
    <s v="Sales - India"/>
    <s v="Director 1"/>
    <s v="Bengaluru"/>
    <s v="WFO"/>
    <d v="2026-06-06T00:00:00"/>
    <d v="2026-06-10T00:00:00"/>
    <s v="Relieved"/>
    <s v="Voluntary"/>
    <x v="0"/>
    <n v="4"/>
    <n v="1"/>
    <s v="06-2026"/>
    <s v="06-2026"/>
    <n v="1"/>
    <n v="0"/>
  </r>
  <r>
    <s v="EMP1006"/>
    <s v="Exploring Infinities - Sales"/>
    <s v="SALES"/>
    <s v="Sales - India"/>
    <s v="Director 1"/>
    <s v="Bengaluru"/>
    <s v="WFO"/>
    <d v="2025-05-06T00:00:00"/>
    <m/>
    <s v="Active"/>
    <m/>
    <x v="2"/>
    <n v="420"/>
    <n v="0"/>
    <s v="05-2025"/>
    <s v=""/>
    <n v="0"/>
    <n v="0"/>
  </r>
  <r>
    <s v="EMP1057"/>
    <s v="Exploring Infinities - Sales"/>
    <s v="SALES"/>
    <s v="Sales - India"/>
    <s v="Director 1"/>
    <s v="Bengaluru"/>
    <s v="WFO"/>
    <d v="2025-11-06T00:00:00"/>
    <d v="2026-06-22T00:00:00"/>
    <s v="Relieved"/>
    <s v="Voluntary"/>
    <x v="5"/>
    <n v="228"/>
    <n v="1"/>
    <s v="11-2025"/>
    <s v="06-2026"/>
    <n v="1"/>
    <n v="0"/>
  </r>
  <r>
    <s v="EMP1076"/>
    <s v="Exploring Infinities - Sales"/>
    <s v="SALES"/>
    <s v="Sales - India"/>
    <s v="Director 1"/>
    <s v="Bengaluru"/>
    <s v="WFO"/>
    <d v="2026-04-07T00:00:00"/>
    <m/>
    <s v="Active"/>
    <m/>
    <x v="2"/>
    <n v="84"/>
    <n v="0"/>
    <s v="04-2026"/>
    <s v=""/>
    <n v="0"/>
    <n v="0"/>
  </r>
  <r>
    <s v="EMP1098"/>
    <s v="Exploring Infinities - Sales"/>
    <s v="SALES"/>
    <s v="Sales - India"/>
    <s v="Director 1"/>
    <s v="Bengaluru"/>
    <s v="WFO"/>
    <d v="2026-04-07T00:00:00"/>
    <d v="2026-04-27T00:00:00"/>
    <s v="Relieved"/>
    <s v="Voluntary"/>
    <x v="8"/>
    <n v="20"/>
    <n v="1"/>
    <s v="04-2026"/>
    <s v="04-2026"/>
    <n v="1"/>
    <n v="0"/>
  </r>
  <r>
    <s v="EMP1107"/>
    <s v="Exploring Infinities - Sales"/>
    <s v="SALES"/>
    <s v="Sales - India"/>
    <s v="Director 1"/>
    <s v="Bengaluru"/>
    <s v="WFO"/>
    <d v="2026-05-07T00:00:00"/>
    <d v="2026-05-27T00:00:00"/>
    <s v="Relieved"/>
    <s v="Involuntary"/>
    <x v="7"/>
    <n v="20"/>
    <n v="1"/>
    <s v="05-2026"/>
    <s v="05-2026"/>
    <n v="0"/>
    <n v="1"/>
  </r>
  <r>
    <s v="EMP1121"/>
    <s v="Exploring Infinities - Sales"/>
    <s v="SALES"/>
    <s v="Sales - India"/>
    <s v="Director 1"/>
    <s v="Bengaluru"/>
    <s v="WFO"/>
    <d v="2026-05-07T00:00:00"/>
    <d v="2026-05-07T00:00:00"/>
    <s v="Relieved"/>
    <s v="Voluntary"/>
    <x v="8"/>
    <n v="0"/>
    <n v="1"/>
    <s v="05-2026"/>
    <s v="05-2026"/>
    <n v="1"/>
    <n v="0"/>
  </r>
  <r>
    <s v="EMP1013"/>
    <s v="Exploring Infinities - Sales"/>
    <s v="SALES"/>
    <s v="Sales - India"/>
    <s v="Director 1"/>
    <s v="Bengaluru"/>
    <s v="WFO"/>
    <d v="2025-10-07T00:00:00"/>
    <d v="2026-04-19T00:00:00"/>
    <s v="Relieved"/>
    <s v="Involuntary"/>
    <x v="1"/>
    <n v="194"/>
    <n v="1"/>
    <s v="10-2025"/>
    <s v="04-2026"/>
    <n v="0"/>
    <n v="1"/>
  </r>
  <r>
    <s v="EMP1030"/>
    <s v="Exploring Infinities - Sales"/>
    <s v="SALES"/>
    <s v="Sales - India"/>
    <s v="Director 1"/>
    <s v="Bengaluru"/>
    <s v="WFO"/>
    <d v="2025-10-07T00:00:00"/>
    <m/>
    <s v="Active"/>
    <m/>
    <x v="2"/>
    <n v="266"/>
    <n v="0"/>
    <s v="10-2025"/>
    <s v=""/>
    <n v="0"/>
    <n v="0"/>
  </r>
  <r>
    <s v="EMP1081"/>
    <s v="Exploring Infinities - Sales"/>
    <s v="SALES"/>
    <s v="Sales - India"/>
    <s v="Director 1"/>
    <s v="Bengaluru"/>
    <s v="WFO"/>
    <d v="2026-04-08T00:00:00"/>
    <d v="2026-04-29T00:00:00"/>
    <s v="Relieved"/>
    <s v="Voluntary"/>
    <x v="4"/>
    <n v="21"/>
    <n v="1"/>
    <s v="04-2026"/>
    <s v="04-2026"/>
    <n v="1"/>
    <n v="0"/>
  </r>
  <r>
    <s v="EMP1086"/>
    <s v="Exploring Infinities - Sales"/>
    <s v="SALES"/>
    <s v="Sales - India"/>
    <s v="Director 1"/>
    <s v="Bengaluru"/>
    <s v="WFO"/>
    <d v="2026-04-08T00:00:00"/>
    <m/>
    <s v="Active"/>
    <m/>
    <x v="2"/>
    <n v="83"/>
    <n v="0"/>
    <s v="04-2026"/>
    <s v=""/>
    <n v="0"/>
    <n v="0"/>
  </r>
  <r>
    <s v="EMP1103"/>
    <s v="Exploring Infinities - Sales"/>
    <s v="SALES"/>
    <s v="Sales - India"/>
    <s v="Director 1"/>
    <s v="Bengaluru"/>
    <s v="WFO"/>
    <d v="2026-05-08T00:00:00"/>
    <d v="2026-05-12T00:00:00"/>
    <s v="Relieved"/>
    <s v="Voluntary"/>
    <x v="0"/>
    <n v="4"/>
    <n v="1"/>
    <s v="05-2026"/>
    <s v="05-2026"/>
    <n v="1"/>
    <n v="0"/>
  </r>
  <r>
    <s v="EMP1116"/>
    <s v="Exploring Infinities - Sales"/>
    <s v="SALES"/>
    <s v="Sales - India"/>
    <s v="Director 1"/>
    <s v="Bengaluru"/>
    <s v="WFO"/>
    <d v="2026-05-08T00:00:00"/>
    <m/>
    <s v="Active"/>
    <m/>
    <x v="2"/>
    <n v="53"/>
    <n v="0"/>
    <s v="05-2026"/>
    <s v=""/>
    <n v="0"/>
    <n v="0"/>
  </r>
  <r>
    <s v="EMP1090"/>
    <s v="Exploring Infinities - Sales"/>
    <s v="SALES"/>
    <s v="Sales - India"/>
    <s v="Director 1"/>
    <s v="Bengaluru"/>
    <s v="WFO"/>
    <d v="2026-04-09T00:00:00"/>
    <d v="2026-06-02T00:00:00"/>
    <s v="Relieved"/>
    <s v="Involuntary"/>
    <x v="1"/>
    <n v="54"/>
    <n v="1"/>
    <s v="04-2026"/>
    <s v="06-2026"/>
    <n v="0"/>
    <n v="1"/>
  </r>
  <r>
    <s v="EMP1061"/>
    <s v="Exploring Infinities - Sales"/>
    <s v="SALES"/>
    <s v="Sales - India"/>
    <s v="Director 1"/>
    <s v="Bengaluru"/>
    <s v="WFO"/>
    <d v="2026-01-09T00:00:00"/>
    <m/>
    <s v="Active"/>
    <m/>
    <x v="2"/>
    <n v="172"/>
    <n v="0"/>
    <s v="01-2026"/>
    <s v=""/>
    <n v="0"/>
    <n v="0"/>
  </r>
  <r>
    <s v="EMP1130"/>
    <s v="Exploring Infinities - Sales"/>
    <s v="SALES"/>
    <s v="Sales - India"/>
    <s v="Director 1"/>
    <s v="Bengaluru"/>
    <s v="WFO"/>
    <d v="2026-06-09T00:00:00"/>
    <d v="2026-06-29T00:00:00"/>
    <s v="Relieved"/>
    <s v="Voluntary"/>
    <x v="5"/>
    <n v="20"/>
    <n v="1"/>
    <s v="06-2026"/>
    <s v="06-2026"/>
    <n v="1"/>
    <n v="0"/>
  </r>
  <r>
    <s v="EMP1104"/>
    <s v="Exploring Infinities - Sales"/>
    <s v="SALES"/>
    <s v="Sales - India"/>
    <s v="Director 1"/>
    <s v="Bengaluru"/>
    <s v="WFO"/>
    <d v="2026-05-09T00:00:00"/>
    <d v="2026-05-21T00:00:00"/>
    <s v="Relieved"/>
    <s v="Voluntary"/>
    <x v="0"/>
    <n v="12"/>
    <n v="1"/>
    <s v="05-2026"/>
    <s v="05-2026"/>
    <n v="1"/>
    <n v="0"/>
  </r>
  <r>
    <s v="EMP1083"/>
    <s v="Exploring Infinities - Sales"/>
    <s v="SALES"/>
    <s v="Sales - India"/>
    <s v="Director 1"/>
    <s v="Bengaluru"/>
    <s v="WFO"/>
    <d v="2026-04-10T00:00:00"/>
    <m/>
    <s v="Active"/>
    <m/>
    <x v="2"/>
    <n v="81"/>
    <n v="0"/>
    <s v="04-2026"/>
    <s v=""/>
    <n v="0"/>
    <n v="0"/>
  </r>
  <r>
    <s v="EMP1066"/>
    <s v="Exploring Infinities - Sales"/>
    <s v="SALES"/>
    <s v="Sales - India"/>
    <s v="Director 1"/>
    <s v="Bengaluru"/>
    <s v="WFO"/>
    <d v="2025-02-10T00:00:00"/>
    <d v="2026-04-04T00:00:00"/>
    <s v="Relieved"/>
    <s v="Involuntary"/>
    <x v="1"/>
    <n v="418"/>
    <n v="1"/>
    <s v="02-2025"/>
    <s v="04-2026"/>
    <n v="0"/>
    <n v="1"/>
  </r>
  <r>
    <s v="EMP1055"/>
    <s v="Exploring Infinities - Sales"/>
    <s v="SALES"/>
    <s v="Sales - India"/>
    <s v="Director 1"/>
    <s v="Bengaluru"/>
    <s v="WFO"/>
    <d v="2026-03-10T00:00:00"/>
    <m/>
    <s v="Active"/>
    <m/>
    <x v="2"/>
    <n v="112"/>
    <n v="0"/>
    <s v="03-2026"/>
    <s v=""/>
    <n v="0"/>
    <n v="0"/>
  </r>
  <r>
    <s v="EMP1067"/>
    <s v="Exploring Infinities - Sales"/>
    <s v="SALES"/>
    <s v="Sales - India"/>
    <s v="Director 1"/>
    <s v="Bengaluru"/>
    <s v="WFO"/>
    <d v="2025-10-10T00:00:00"/>
    <m/>
    <s v="Active"/>
    <m/>
    <x v="2"/>
    <n v="263"/>
    <n v="0"/>
    <s v="10-2025"/>
    <s v=""/>
    <n v="0"/>
    <n v="0"/>
  </r>
  <r>
    <s v="EMP1100"/>
    <s v="Exploring Infinities - Sales"/>
    <s v="SALES"/>
    <s v="Sales - India"/>
    <s v="Director 1"/>
    <s v="Bengaluru"/>
    <s v="WFO"/>
    <d v="2026-05-11T00:00:00"/>
    <d v="2026-05-11T00:00:00"/>
    <s v="Relieved"/>
    <s v="Voluntary"/>
    <x v="0"/>
    <n v="0"/>
    <n v="1"/>
    <s v="05-2026"/>
    <s v="05-2026"/>
    <n v="1"/>
    <n v="0"/>
  </r>
  <r>
    <s v="EMP1026"/>
    <s v="Exploring Infinities - Sales"/>
    <s v="SALES"/>
    <s v="Sales - India"/>
    <s v="Director 1"/>
    <s v="Bengaluru"/>
    <s v="WFO"/>
    <d v="2025-04-12T00:00:00"/>
    <m/>
    <s v="Active"/>
    <m/>
    <x v="2"/>
    <n v="444"/>
    <n v="0"/>
    <s v="04-2025"/>
    <s v=""/>
    <n v="0"/>
    <n v="0"/>
  </r>
  <r>
    <s v="EMP1094"/>
    <s v="Exploring Infinities - Sales"/>
    <s v="SALES"/>
    <s v="Sales - India"/>
    <s v="Director 1"/>
    <s v="Bengaluru"/>
    <s v="WFO"/>
    <d v="2026-04-12T00:00:00"/>
    <d v="2026-04-25T00:00:00"/>
    <s v="Relieved"/>
    <s v="Voluntary"/>
    <x v="3"/>
    <n v="13"/>
    <n v="1"/>
    <s v="04-2026"/>
    <s v="04-2026"/>
    <n v="1"/>
    <n v="0"/>
  </r>
  <r>
    <s v="EMP1096"/>
    <s v="Exploring Infinities - Sales"/>
    <s v="SALES"/>
    <s v="Sales - India"/>
    <s v="Director 1"/>
    <s v="Bengaluru"/>
    <s v="WFO"/>
    <d v="2026-04-12T00:00:00"/>
    <d v="2026-04-12T00:00:00"/>
    <s v="Relieved"/>
    <s v="Voluntary"/>
    <x v="8"/>
    <n v="0"/>
    <n v="1"/>
    <s v="04-2026"/>
    <s v="04-2026"/>
    <n v="1"/>
    <n v="0"/>
  </r>
  <r>
    <s v="EMP1097"/>
    <s v="Exploring Infinities - Sales"/>
    <s v="SALES"/>
    <s v="Sales - India"/>
    <s v="Director 1"/>
    <s v="Bengaluru"/>
    <s v="WFO"/>
    <d v="2026-04-12T00:00:00"/>
    <d v="2026-06-10T00:00:00"/>
    <s v="Relieved"/>
    <s v="Involuntary"/>
    <x v="7"/>
    <n v="59"/>
    <n v="1"/>
    <s v="04-2026"/>
    <s v="06-2026"/>
    <n v="0"/>
    <n v="1"/>
  </r>
  <r>
    <s v="EMP1148"/>
    <s v="Exploring Infinities - Sales"/>
    <s v="SALES"/>
    <s v="Sales - India"/>
    <s v="Director 1"/>
    <s v="Bengaluru"/>
    <s v="WFO"/>
    <d v="2026-06-12T00:00:00"/>
    <m/>
    <s v="Active"/>
    <m/>
    <x v="2"/>
    <n v="18"/>
    <n v="0"/>
    <s v="06-2026"/>
    <s v=""/>
    <n v="0"/>
    <n v="0"/>
  </r>
  <r>
    <s v="EMP1126"/>
    <s v="Exploring Infinities - Sales"/>
    <s v="SALES"/>
    <s v="Sales - India"/>
    <s v="Director 1"/>
    <s v="Bengaluru"/>
    <s v="WFO"/>
    <d v="2026-05-12T00:00:00"/>
    <d v="2026-06-15T00:00:00"/>
    <s v="Relieved"/>
    <s v="Voluntary"/>
    <x v="10"/>
    <n v="34"/>
    <n v="1"/>
    <s v="05-2026"/>
    <s v="06-2026"/>
    <n v="1"/>
    <n v="0"/>
  </r>
  <r>
    <s v="EMP1089"/>
    <s v="Exploring Infinities - Sales"/>
    <s v="SALES"/>
    <s v="Sales - India"/>
    <s v="Director 1"/>
    <s v="Bengaluru"/>
    <s v="WFO"/>
    <d v="2026-04-13T00:00:00"/>
    <d v="2026-04-13T00:00:00"/>
    <s v="Relieved"/>
    <s v="Voluntary"/>
    <x v="3"/>
    <n v="0"/>
    <n v="1"/>
    <s v="04-2026"/>
    <s v="04-2026"/>
    <n v="1"/>
    <n v="0"/>
  </r>
  <r>
    <s v="EMP1011"/>
    <s v="Exploring Infinities - Sales"/>
    <s v="SALES"/>
    <s v="Sales - India"/>
    <s v="Director 1"/>
    <s v="Bengaluru"/>
    <s v="WFO"/>
    <d v="2025-12-13T00:00:00"/>
    <m/>
    <s v="Active"/>
    <m/>
    <x v="2"/>
    <n v="199"/>
    <n v="0"/>
    <s v="12-2025"/>
    <s v=""/>
    <n v="0"/>
    <n v="0"/>
  </r>
  <r>
    <s v="EMP1003"/>
    <s v="Exploring Infinities - Sales"/>
    <s v="SALES"/>
    <s v="Sales - India"/>
    <s v="Director 1"/>
    <s v="Bengaluru"/>
    <s v="WFO"/>
    <d v="2025-01-13T00:00:00"/>
    <d v="2026-04-23T00:00:00"/>
    <s v="Relieved"/>
    <s v="Involuntary"/>
    <x v="9"/>
    <n v="465"/>
    <n v="1"/>
    <s v="01-2025"/>
    <s v="04-2026"/>
    <n v="0"/>
    <n v="1"/>
  </r>
  <r>
    <s v="EMP1009"/>
    <s v="Exploring Infinities - Sales"/>
    <s v="SALES"/>
    <s v="Sales - India"/>
    <s v="Director 1"/>
    <s v="Bengaluru"/>
    <s v="WFO"/>
    <d v="2026-01-13T00:00:00"/>
    <m/>
    <s v="Active"/>
    <m/>
    <x v="2"/>
    <n v="168"/>
    <n v="0"/>
    <s v="01-2026"/>
    <s v=""/>
    <n v="0"/>
    <n v="0"/>
  </r>
  <r>
    <s v="EMP1065"/>
    <s v="Exploring Infinities - Sales"/>
    <s v="SALES"/>
    <s v="Sales - India"/>
    <s v="Director 1"/>
    <s v="Bengaluru"/>
    <s v="WFO"/>
    <d v="2025-07-13T00:00:00"/>
    <d v="2026-06-08T00:00:00"/>
    <s v="Relieved"/>
    <s v="Involuntary"/>
    <x v="1"/>
    <n v="330"/>
    <n v="1"/>
    <s v="07-2025"/>
    <s v="06-2026"/>
    <n v="0"/>
    <n v="1"/>
  </r>
  <r>
    <s v="EMP1008"/>
    <s v="Exploring Infinities - Sales"/>
    <s v="SALES"/>
    <s v="Sales - India"/>
    <s v="Director 1"/>
    <s v="Bengaluru"/>
    <s v="WFO"/>
    <d v="2025-03-13T00:00:00"/>
    <d v="2026-05-09T00:00:00"/>
    <s v="Relieved"/>
    <s v="Involuntary"/>
    <x v="7"/>
    <n v="422"/>
    <n v="1"/>
    <s v="03-2025"/>
    <s v="05-2026"/>
    <n v="0"/>
    <n v="1"/>
  </r>
  <r>
    <s v="EMP1071"/>
    <s v="Exploring Infinities - Sales"/>
    <s v="SALES"/>
    <s v="Sales - India"/>
    <s v="Director 1"/>
    <s v="Bengaluru"/>
    <s v="WFO"/>
    <d v="2025-11-13T00:00:00"/>
    <m/>
    <s v="Active"/>
    <m/>
    <x v="2"/>
    <n v="229"/>
    <n v="0"/>
    <s v="11-2025"/>
    <s v=""/>
    <n v="0"/>
    <n v="0"/>
  </r>
  <r>
    <s v="EMP1014"/>
    <s v="Exploring Infinities - Sales"/>
    <s v="SALES"/>
    <s v="Sales - India"/>
    <s v="Director 1"/>
    <s v="Bengaluru"/>
    <s v="WFO"/>
    <d v="2025-02-14T00:00:00"/>
    <d v="2026-05-23T00:00:00"/>
    <s v="Relieved"/>
    <s v="Involuntary"/>
    <x v="7"/>
    <n v="463"/>
    <n v="1"/>
    <s v="02-2025"/>
    <s v="05-2026"/>
    <n v="0"/>
    <n v="1"/>
  </r>
  <r>
    <s v="EMP1024"/>
    <s v="Exploring Infinities - Sales"/>
    <s v="SALES"/>
    <s v="Sales - India"/>
    <s v="Director 1"/>
    <s v="Bengaluru"/>
    <s v="WFO"/>
    <d v="2025-01-14T00:00:00"/>
    <m/>
    <s v="Active"/>
    <m/>
    <x v="2"/>
    <n v="532"/>
    <n v="0"/>
    <s v="01-2025"/>
    <s v=""/>
    <n v="0"/>
    <n v="0"/>
  </r>
  <r>
    <s v="EMP1052"/>
    <s v="Exploring Infinities - Sales"/>
    <s v="SALES"/>
    <s v="Sales - India"/>
    <s v="Director 1"/>
    <s v="Bengaluru"/>
    <s v="WFO"/>
    <d v="2025-07-14T00:00:00"/>
    <d v="2026-05-30T00:00:00"/>
    <s v="Relieved"/>
    <s v="Involuntary"/>
    <x v="9"/>
    <n v="320"/>
    <n v="1"/>
    <s v="07-2025"/>
    <s v="05-2026"/>
    <n v="0"/>
    <n v="1"/>
  </r>
  <r>
    <s v="EMP1136"/>
    <s v="Exploring Infinities - Sales"/>
    <s v="SALES"/>
    <s v="Sales - India"/>
    <s v="Director 1"/>
    <s v="Bengaluru"/>
    <s v="WFO"/>
    <d v="2026-06-14T00:00:00"/>
    <d v="2026-06-14T00:00:00"/>
    <s v="Relieved"/>
    <s v="Voluntary"/>
    <x v="10"/>
    <n v="0"/>
    <n v="1"/>
    <s v="06-2026"/>
    <s v="06-2026"/>
    <n v="1"/>
    <n v="0"/>
  </r>
  <r>
    <s v="EMP1152"/>
    <s v="Exploring Infinities - Sales"/>
    <s v="SALES"/>
    <s v="Sales - India"/>
    <s v="Director 1"/>
    <s v="Bengaluru"/>
    <s v="WFO"/>
    <d v="2026-06-14T00:00:00"/>
    <d v="2026-06-22T00:00:00"/>
    <s v="Relieved"/>
    <s v="Voluntary"/>
    <x v="3"/>
    <n v="8"/>
    <n v="1"/>
    <s v="06-2026"/>
    <s v="06-2026"/>
    <n v="1"/>
    <n v="0"/>
  </r>
  <r>
    <s v="EMP1120"/>
    <s v="Exploring Infinities - Sales"/>
    <s v="SALES"/>
    <s v="Sales - India"/>
    <s v="Director 1"/>
    <s v="Bengaluru"/>
    <s v="WFO"/>
    <d v="2026-05-14T00:00:00"/>
    <m/>
    <s v="Active"/>
    <m/>
    <x v="2"/>
    <n v="47"/>
    <n v="0"/>
    <s v="05-2026"/>
    <s v=""/>
    <n v="0"/>
    <n v="0"/>
  </r>
  <r>
    <s v="EMP1125"/>
    <s v="Exploring Infinities - Sales"/>
    <s v="SALES"/>
    <s v="Sales - India"/>
    <s v="Director 1"/>
    <s v="Bengaluru"/>
    <s v="WFO"/>
    <d v="2026-05-14T00:00:00"/>
    <d v="2026-06-17T00:00:00"/>
    <s v="Relieved"/>
    <s v="Involuntary"/>
    <x v="6"/>
    <n v="34"/>
    <n v="1"/>
    <s v="05-2026"/>
    <s v="06-2026"/>
    <n v="0"/>
    <n v="1"/>
  </r>
  <r>
    <s v="EMP1127"/>
    <s v="Exploring Infinities - Sales"/>
    <s v="SALES"/>
    <s v="Sales - India"/>
    <s v="Director 1"/>
    <s v="Bengaluru"/>
    <s v="WFO"/>
    <d v="2026-05-14T00:00:00"/>
    <m/>
    <s v="Active"/>
    <m/>
    <x v="2"/>
    <n v="47"/>
    <n v="0"/>
    <s v="05-2026"/>
    <s v=""/>
    <n v="0"/>
    <n v="0"/>
  </r>
  <r>
    <s v="EMP1128"/>
    <s v="Exploring Infinities - Sales"/>
    <s v="SALES"/>
    <s v="Sales - India"/>
    <s v="Director 1"/>
    <s v="Bengaluru"/>
    <s v="WFO"/>
    <d v="2026-05-14T00:00:00"/>
    <m/>
    <s v="Active"/>
    <m/>
    <x v="2"/>
    <n v="47"/>
    <n v="0"/>
    <s v="05-2026"/>
    <s v=""/>
    <n v="0"/>
    <n v="0"/>
  </r>
  <r>
    <s v="EMP1091"/>
    <s v="Exploring Infinities - Sales"/>
    <s v="SALES"/>
    <s v="Sales - India"/>
    <s v="Director 1"/>
    <s v="Bengaluru"/>
    <s v="WFO"/>
    <d v="2026-04-15T00:00:00"/>
    <m/>
    <s v="Active"/>
    <m/>
    <x v="2"/>
    <n v="76"/>
    <n v="0"/>
    <s v="04-2026"/>
    <s v=""/>
    <n v="0"/>
    <n v="0"/>
  </r>
  <r>
    <s v="EMP1004"/>
    <s v="Exploring Infinities - Sales"/>
    <s v="SALES"/>
    <s v="Sales - India"/>
    <s v="Director 1"/>
    <s v="Bengaluru"/>
    <s v="WFO"/>
    <d v="2026-01-15T00:00:00"/>
    <m/>
    <s v="Active"/>
    <m/>
    <x v="2"/>
    <n v="166"/>
    <n v="0"/>
    <s v="01-2026"/>
    <s v=""/>
    <n v="0"/>
    <n v="0"/>
  </r>
  <r>
    <s v="EMP1012"/>
    <s v="Exploring Infinities - Sales"/>
    <s v="SALES"/>
    <s v="Sales - India"/>
    <s v="Director 1"/>
    <s v="Bengaluru"/>
    <s v="WFO"/>
    <d v="2026-01-15T00:00:00"/>
    <d v="2026-04-21T00:00:00"/>
    <s v="Relieved"/>
    <s v="Voluntary"/>
    <x v="0"/>
    <n v="96"/>
    <n v="1"/>
    <s v="01-2026"/>
    <s v="04-2026"/>
    <n v="1"/>
    <n v="0"/>
  </r>
  <r>
    <s v="EMP1133"/>
    <s v="Exploring Infinities - Sales"/>
    <s v="SALES"/>
    <s v="Sales - India"/>
    <s v="Director 1"/>
    <s v="Bengaluru"/>
    <s v="WFO"/>
    <d v="2026-06-15T00:00:00"/>
    <m/>
    <s v="Active"/>
    <m/>
    <x v="2"/>
    <n v="15"/>
    <n v="0"/>
    <s v="06-2026"/>
    <s v=""/>
    <n v="0"/>
    <n v="0"/>
  </r>
  <r>
    <s v="EMP1025"/>
    <s v="Exploring Infinities - Sales"/>
    <s v="SALES"/>
    <s v="Sales - India"/>
    <s v="Director 1"/>
    <s v="Bengaluru"/>
    <s v="WFO"/>
    <d v="2025-10-15T00:00:00"/>
    <m/>
    <s v="Active"/>
    <m/>
    <x v="2"/>
    <n v="258"/>
    <n v="0"/>
    <s v="10-2025"/>
    <s v=""/>
    <n v="0"/>
    <n v="0"/>
  </r>
  <r>
    <s v="EMP1018"/>
    <s v="Exploring Infinities - Sales"/>
    <s v="SALES"/>
    <s v="Sales - India"/>
    <s v="Director 1"/>
    <s v="Bengaluru"/>
    <s v="WFO"/>
    <d v="2025-01-16T00:00:00"/>
    <m/>
    <s v="Active"/>
    <m/>
    <x v="2"/>
    <n v="530"/>
    <n v="0"/>
    <s v="01-2025"/>
    <s v=""/>
    <n v="0"/>
    <n v="0"/>
  </r>
  <r>
    <s v="EMP1058"/>
    <s v="Exploring Infinities - Sales"/>
    <s v="SALES"/>
    <s v="Sales - India"/>
    <s v="Director 1"/>
    <s v="Bengaluru"/>
    <s v="WFO"/>
    <d v="2025-05-16T00:00:00"/>
    <m/>
    <s v="Active"/>
    <m/>
    <x v="2"/>
    <n v="410"/>
    <n v="0"/>
    <s v="05-2025"/>
    <s v=""/>
    <n v="0"/>
    <n v="0"/>
  </r>
  <r>
    <s v="EMP1106"/>
    <s v="Exploring Infinities - Sales"/>
    <s v="SALES"/>
    <s v="Sales - India"/>
    <s v="Director 1"/>
    <s v="Bengaluru"/>
    <s v="WFO"/>
    <d v="2026-05-16T00:00:00"/>
    <d v="2026-05-16T00:00:00"/>
    <s v="Relieved"/>
    <s v="Voluntary"/>
    <x v="10"/>
    <n v="0"/>
    <n v="1"/>
    <s v="05-2026"/>
    <s v="05-2026"/>
    <n v="1"/>
    <n v="0"/>
  </r>
  <r>
    <s v="EMP1115"/>
    <s v="Exploring Infinities - Sales"/>
    <s v="SALES"/>
    <s v="Sales - India"/>
    <s v="Director 1"/>
    <s v="Bengaluru"/>
    <s v="WFO"/>
    <d v="2026-05-16T00:00:00"/>
    <m/>
    <s v="Active"/>
    <m/>
    <x v="2"/>
    <n v="45"/>
    <n v="0"/>
    <s v="05-2026"/>
    <s v=""/>
    <n v="0"/>
    <n v="0"/>
  </r>
  <r>
    <s v="EMP1118"/>
    <s v="Exploring Infinities - Sales"/>
    <s v="SALES"/>
    <s v="Sales - India"/>
    <s v="Director 1"/>
    <s v="Bengaluru"/>
    <s v="WFO"/>
    <d v="2026-05-16T00:00:00"/>
    <d v="2026-05-29T00:00:00"/>
    <s v="Relieved"/>
    <s v="Voluntary"/>
    <x v="5"/>
    <n v="13"/>
    <n v="1"/>
    <s v="05-2026"/>
    <s v="05-2026"/>
    <n v="1"/>
    <n v="0"/>
  </r>
  <r>
    <s v="EMP1022"/>
    <s v="Exploring Infinities - Sales"/>
    <s v="SALES"/>
    <s v="Sales - India"/>
    <s v="Director 1"/>
    <s v="Bengaluru"/>
    <s v="WFO"/>
    <d v="2025-09-16T00:00:00"/>
    <d v="2026-05-09T00:00:00"/>
    <s v="Relieved"/>
    <s v="Involuntary"/>
    <x v="9"/>
    <n v="235"/>
    <n v="1"/>
    <s v="09-2025"/>
    <s v="05-2026"/>
    <n v="0"/>
    <n v="1"/>
  </r>
  <r>
    <s v="EMP1019"/>
    <s v="Exploring Infinities - Sales"/>
    <s v="SALES"/>
    <s v="Sales - India"/>
    <s v="Director 1"/>
    <s v="Bengaluru"/>
    <s v="WFO"/>
    <d v="2025-02-17T00:00:00"/>
    <m/>
    <s v="Active"/>
    <m/>
    <x v="2"/>
    <n v="498"/>
    <n v="0"/>
    <s v="02-2025"/>
    <s v=""/>
    <n v="0"/>
    <n v="0"/>
  </r>
  <r>
    <s v="EMP1051"/>
    <s v="Exploring Infinities - Sales"/>
    <s v="SALES"/>
    <s v="Sales - India"/>
    <s v="Director 1"/>
    <s v="Bengaluru"/>
    <s v="WFO"/>
    <d v="2025-02-17T00:00:00"/>
    <m/>
    <s v="Active"/>
    <m/>
    <x v="2"/>
    <n v="498"/>
    <n v="0"/>
    <s v="02-2025"/>
    <s v=""/>
    <n v="0"/>
    <n v="0"/>
  </r>
  <r>
    <s v="EMP1040"/>
    <s v="Exploring Infinities - Sales"/>
    <s v="SALES"/>
    <s v="Sales - India"/>
    <s v="Director 1"/>
    <s v="Bengaluru"/>
    <s v="WFO"/>
    <d v="2026-02-17T00:00:00"/>
    <d v="2026-04-23T00:00:00"/>
    <s v="Relieved"/>
    <s v="Voluntary"/>
    <x v="0"/>
    <n v="65"/>
    <n v="1"/>
    <s v="02-2026"/>
    <s v="04-2026"/>
    <n v="1"/>
    <n v="0"/>
  </r>
  <r>
    <s v="EMP1017"/>
    <s v="Exploring Infinities - Sales"/>
    <s v="SALES"/>
    <s v="Sales - India"/>
    <s v="Director 1"/>
    <s v="Bengaluru"/>
    <s v="WFO"/>
    <d v="2025-01-17T00:00:00"/>
    <d v="2026-06-22T00:00:00"/>
    <s v="Relieved"/>
    <s v="Involuntary"/>
    <x v="9"/>
    <n v="521"/>
    <n v="1"/>
    <s v="01-2025"/>
    <s v="06-2026"/>
    <n v="0"/>
    <n v="1"/>
  </r>
  <r>
    <s v="EMP1102"/>
    <s v="Exploring Infinities - Sales"/>
    <s v="SALES"/>
    <s v="Sales - India"/>
    <s v="Director 1"/>
    <s v="Bengaluru"/>
    <s v="WFO"/>
    <d v="2026-05-17T00:00:00"/>
    <d v="2026-05-30T00:00:00"/>
    <s v="Relieved"/>
    <s v="Voluntary"/>
    <x v="8"/>
    <n v="13"/>
    <n v="1"/>
    <s v="05-2026"/>
    <s v="05-2026"/>
    <n v="1"/>
    <n v="0"/>
  </r>
  <r>
    <s v="EMP1033"/>
    <s v="Exploring Infinities - Sales"/>
    <s v="SALES"/>
    <s v="Sales - India"/>
    <s v="Director 1"/>
    <s v="Bengaluru"/>
    <s v="WFO"/>
    <d v="2025-08-18T00:00:00"/>
    <m/>
    <s v="Active"/>
    <m/>
    <x v="2"/>
    <n v="316"/>
    <n v="0"/>
    <s v="08-2025"/>
    <s v=""/>
    <n v="0"/>
    <n v="0"/>
  </r>
  <r>
    <s v="EMP1059"/>
    <s v="Exploring Infinities - Sales"/>
    <s v="SALES"/>
    <s v="Sales - India"/>
    <s v="Director 1"/>
    <s v="Bengaluru"/>
    <s v="WFO"/>
    <d v="2026-02-18T00:00:00"/>
    <m/>
    <s v="Active"/>
    <m/>
    <x v="2"/>
    <n v="132"/>
    <n v="0"/>
    <s v="02-2026"/>
    <s v=""/>
    <n v="0"/>
    <n v="0"/>
  </r>
  <r>
    <s v="EMP1134"/>
    <s v="Exploring Infinities - Sales"/>
    <s v="SALES"/>
    <s v="Sales - India"/>
    <s v="Director 1"/>
    <s v="Bengaluru"/>
    <s v="WFO"/>
    <d v="2026-06-18T00:00:00"/>
    <d v="2026-06-18T00:00:00"/>
    <s v="Relieved"/>
    <s v="Voluntary"/>
    <x v="10"/>
    <n v="0"/>
    <n v="1"/>
    <s v="06-2026"/>
    <s v="06-2026"/>
    <n v="1"/>
    <n v="0"/>
  </r>
  <r>
    <s v="EMP1137"/>
    <s v="Exploring Infinities - Sales"/>
    <s v="SALES"/>
    <s v="Sales - India"/>
    <s v="Director 1"/>
    <s v="Bengaluru"/>
    <s v="WFO"/>
    <d v="2026-06-18T00:00:00"/>
    <m/>
    <s v="Active"/>
    <m/>
    <x v="2"/>
    <n v="12"/>
    <n v="0"/>
    <s v="06-2026"/>
    <s v=""/>
    <n v="0"/>
    <n v="0"/>
  </r>
  <r>
    <s v="EMP1145"/>
    <s v="Exploring Infinities - Sales"/>
    <s v="SALES"/>
    <s v="Sales - India"/>
    <s v="Director 1"/>
    <s v="Bengaluru"/>
    <s v="WFO"/>
    <d v="2026-06-18T00:00:00"/>
    <d v="2026-06-18T00:00:00"/>
    <s v="Relieved"/>
    <s v="Voluntary"/>
    <x v="10"/>
    <n v="0"/>
    <n v="1"/>
    <s v="06-2026"/>
    <s v="06-2026"/>
    <n v="1"/>
    <n v="0"/>
  </r>
  <r>
    <s v="EMP1150"/>
    <s v="Exploring Infinities - Sales"/>
    <s v="SALES"/>
    <s v="Sales - India"/>
    <s v="Director 1"/>
    <s v="Bengaluru"/>
    <s v="WFO"/>
    <d v="2026-06-18T00:00:00"/>
    <d v="2026-06-20T00:00:00"/>
    <s v="Relieved"/>
    <s v="Voluntary"/>
    <x v="4"/>
    <n v="2"/>
    <n v="1"/>
    <s v="06-2026"/>
    <s v="06-2026"/>
    <n v="1"/>
    <n v="0"/>
  </r>
  <r>
    <s v="EMP1073"/>
    <s v="Exploring Infinities - Sales"/>
    <s v="SALES"/>
    <s v="Sales - India"/>
    <s v="Director 1"/>
    <s v="Bengaluru"/>
    <s v="WFO"/>
    <d v="2026-03-18T00:00:00"/>
    <d v="2026-05-22T00:00:00"/>
    <s v="Relieved"/>
    <s v="Involuntary"/>
    <x v="7"/>
    <n v="65"/>
    <n v="1"/>
    <s v="03-2026"/>
    <s v="05-2026"/>
    <n v="0"/>
    <n v="1"/>
  </r>
  <r>
    <s v="EMP1108"/>
    <s v="Exploring Infinities - Sales"/>
    <s v="SALES"/>
    <s v="Sales - India"/>
    <s v="Director 1"/>
    <s v="Bengaluru"/>
    <s v="WFO"/>
    <d v="2026-05-18T00:00:00"/>
    <m/>
    <s v="Active"/>
    <m/>
    <x v="2"/>
    <n v="43"/>
    <n v="0"/>
    <s v="05-2026"/>
    <s v=""/>
    <n v="0"/>
    <n v="0"/>
  </r>
  <r>
    <s v="EMP1070"/>
    <s v="Exploring Infinities - Sales"/>
    <s v="SALES"/>
    <s v="Sales - India"/>
    <s v="Director 1"/>
    <s v="Bengaluru"/>
    <s v="WFO"/>
    <d v="2025-11-18T00:00:00"/>
    <m/>
    <s v="Active"/>
    <m/>
    <x v="2"/>
    <n v="224"/>
    <n v="0"/>
    <s v="11-2025"/>
    <s v=""/>
    <n v="0"/>
    <n v="0"/>
  </r>
  <r>
    <s v="EMP1075"/>
    <s v="Exploring Infinities - Sales"/>
    <s v="SALES"/>
    <s v="Sales - India"/>
    <s v="Director 1"/>
    <s v="Bengaluru"/>
    <s v="WFO"/>
    <d v="2026-04-19T00:00:00"/>
    <d v="2026-04-25T00:00:00"/>
    <s v="Relieved"/>
    <s v="Voluntary"/>
    <x v="4"/>
    <n v="6"/>
    <n v="1"/>
    <s v="04-2026"/>
    <s v="04-2026"/>
    <n v="1"/>
    <n v="0"/>
  </r>
  <r>
    <s v="EMP1053"/>
    <s v="Exploring Infinities - Sales"/>
    <s v="SALES"/>
    <s v="Sales - India"/>
    <s v="Director 1"/>
    <s v="Bengaluru"/>
    <s v="WFO"/>
    <d v="2025-02-19T00:00:00"/>
    <d v="2026-04-19T00:00:00"/>
    <s v="Relieved"/>
    <s v="Involuntary"/>
    <x v="1"/>
    <n v="424"/>
    <n v="1"/>
    <s v="02-2025"/>
    <s v="04-2026"/>
    <n v="0"/>
    <n v="1"/>
  </r>
  <r>
    <s v="EMP1036"/>
    <s v="Exploring Infinities - Sales"/>
    <s v="SALES"/>
    <s v="Sales - India"/>
    <s v="Director 1"/>
    <s v="Bengaluru"/>
    <s v="WFO"/>
    <d v="2026-02-19T00:00:00"/>
    <m/>
    <s v="Active"/>
    <m/>
    <x v="2"/>
    <n v="131"/>
    <n v="0"/>
    <s v="02-2026"/>
    <s v=""/>
    <n v="0"/>
    <n v="0"/>
  </r>
  <r>
    <s v="EMP1149"/>
    <s v="Exploring Infinities - Sales"/>
    <s v="SALES"/>
    <s v="Sales - India"/>
    <s v="Director 1"/>
    <s v="Bengaluru"/>
    <s v="WFO"/>
    <d v="2026-06-19T00:00:00"/>
    <m/>
    <s v="Active"/>
    <m/>
    <x v="2"/>
    <n v="11"/>
    <n v="0"/>
    <s v="06-2026"/>
    <s v=""/>
    <n v="0"/>
    <n v="0"/>
  </r>
  <r>
    <s v="EMP1113"/>
    <s v="Exploring Infinities - Sales"/>
    <s v="SALES"/>
    <s v="Sales - India"/>
    <s v="Director 1"/>
    <s v="Bengaluru"/>
    <s v="WFO"/>
    <d v="2026-05-19T00:00:00"/>
    <m/>
    <s v="Active"/>
    <m/>
    <x v="2"/>
    <n v="42"/>
    <n v="0"/>
    <s v="05-2026"/>
    <s v=""/>
    <n v="0"/>
    <n v="0"/>
  </r>
  <r>
    <s v="EMP1114"/>
    <s v="Exploring Infinities - Sales"/>
    <s v="SALES"/>
    <s v="Sales - India"/>
    <s v="Director 1"/>
    <s v="Bengaluru"/>
    <s v="WFO"/>
    <d v="2026-05-19T00:00:00"/>
    <d v="2026-05-19T00:00:00"/>
    <s v="Relieved"/>
    <s v="Voluntary"/>
    <x v="5"/>
    <n v="0"/>
    <n v="1"/>
    <s v="05-2026"/>
    <s v="05-2026"/>
    <n v="1"/>
    <n v="0"/>
  </r>
  <r>
    <s v="EMP1047"/>
    <s v="Exploring Infinities - Sales"/>
    <s v="SALES"/>
    <s v="Sales - India"/>
    <s v="Director 1"/>
    <s v="Bengaluru"/>
    <s v="WFO"/>
    <d v="2025-04-21T00:00:00"/>
    <m/>
    <s v="Active"/>
    <m/>
    <x v="2"/>
    <n v="435"/>
    <n v="0"/>
    <s v="04-2025"/>
    <s v=""/>
    <n v="0"/>
    <n v="0"/>
  </r>
  <r>
    <s v="EMP1092"/>
    <s v="Exploring Infinities - Sales"/>
    <s v="SALES"/>
    <s v="Sales - India"/>
    <s v="Director 1"/>
    <s v="Bengaluru"/>
    <s v="WFO"/>
    <d v="2026-04-21T00:00:00"/>
    <d v="2026-04-21T00:00:00"/>
    <s v="Relieved"/>
    <s v="Voluntary"/>
    <x v="4"/>
    <n v="0"/>
    <n v="1"/>
    <s v="04-2026"/>
    <s v="04-2026"/>
    <n v="1"/>
    <n v="0"/>
  </r>
  <r>
    <s v="EMP1129"/>
    <s v="Exploring Infinities - Sales"/>
    <s v="SALES"/>
    <s v="Sales - India"/>
    <s v="Director 1"/>
    <s v="Bengaluru"/>
    <s v="WFO"/>
    <d v="2026-06-21T00:00:00"/>
    <d v="2026-06-21T00:00:00"/>
    <s v="Relieved"/>
    <s v="Voluntary"/>
    <x v="8"/>
    <n v="0"/>
    <n v="1"/>
    <s v="06-2026"/>
    <s v="06-2026"/>
    <n v="1"/>
    <n v="0"/>
  </r>
  <r>
    <s v="EMP1046"/>
    <s v="Exploring Infinities - Sales"/>
    <s v="SALES"/>
    <s v="Sales - India"/>
    <s v="Director 1"/>
    <s v="Bengaluru"/>
    <s v="WFO"/>
    <d v="2025-03-21T00:00:00"/>
    <d v="2026-05-07T00:00:00"/>
    <s v="Relieved"/>
    <s v="Involuntary"/>
    <x v="7"/>
    <n v="412"/>
    <n v="1"/>
    <s v="03-2025"/>
    <s v="05-2026"/>
    <n v="0"/>
    <n v="1"/>
  </r>
  <r>
    <s v="EMP1005"/>
    <s v="Exploring Infinities - Sales"/>
    <s v="SALES"/>
    <s v="Sales - India"/>
    <s v="Director 1"/>
    <s v="Bengaluru"/>
    <s v="WFO"/>
    <d v="2025-05-21T00:00:00"/>
    <m/>
    <s v="Active"/>
    <m/>
    <x v="2"/>
    <n v="405"/>
    <n v="0"/>
    <s v="05-2025"/>
    <s v=""/>
    <n v="0"/>
    <n v="0"/>
  </r>
  <r>
    <s v="EMP1020"/>
    <s v="Exploring Infinities - Sales"/>
    <s v="SALES"/>
    <s v="Sales - India"/>
    <s v="Director 1"/>
    <s v="Bengaluru"/>
    <s v="WFO"/>
    <d v="2025-04-22T00:00:00"/>
    <d v="2026-04-01T00:00:00"/>
    <s v="Relieved"/>
    <s v="Involuntary"/>
    <x v="9"/>
    <n v="344"/>
    <n v="1"/>
    <s v="04-2025"/>
    <s v="04-2026"/>
    <n v="0"/>
    <n v="1"/>
  </r>
  <r>
    <s v="EMP1080"/>
    <s v="Exploring Infinities - Sales"/>
    <s v="SALES"/>
    <s v="Sales - India"/>
    <s v="Director 1"/>
    <s v="Bengaluru"/>
    <s v="WFO"/>
    <d v="2026-04-22T00:00:00"/>
    <d v="2026-04-24T00:00:00"/>
    <s v="Relieved"/>
    <s v="Voluntary"/>
    <x v="10"/>
    <n v="2"/>
    <n v="1"/>
    <s v="04-2026"/>
    <s v="04-2026"/>
    <n v="1"/>
    <n v="0"/>
  </r>
  <r>
    <s v="EMP1010"/>
    <s v="Exploring Infinities - Sales"/>
    <s v="SALES"/>
    <s v="Sales - India"/>
    <s v="Director 1"/>
    <s v="Bengaluru"/>
    <s v="WFO"/>
    <d v="2025-02-22T00:00:00"/>
    <m/>
    <s v="Active"/>
    <m/>
    <x v="2"/>
    <n v="493"/>
    <n v="0"/>
    <s v="02-2025"/>
    <s v=""/>
    <n v="0"/>
    <n v="0"/>
  </r>
  <r>
    <s v="EMP1050"/>
    <s v="Exploring Infinities - Sales"/>
    <s v="SALES"/>
    <s v="Sales - India"/>
    <s v="Director 1"/>
    <s v="Bengaluru"/>
    <s v="WFO"/>
    <d v="2025-02-22T00:00:00"/>
    <d v="2026-04-15T00:00:00"/>
    <s v="Relieved"/>
    <s v="Involuntary"/>
    <x v="6"/>
    <n v="417"/>
    <n v="1"/>
    <s v="02-2025"/>
    <s v="04-2026"/>
    <n v="0"/>
    <n v="1"/>
  </r>
  <r>
    <s v="EMP1049"/>
    <s v="Exploring Infinities - Sales"/>
    <s v="SALES"/>
    <s v="Sales - India"/>
    <s v="Director 1"/>
    <s v="Bengaluru"/>
    <s v="WFO"/>
    <d v="2025-06-22T00:00:00"/>
    <m/>
    <s v="Active"/>
    <m/>
    <x v="2"/>
    <n v="373"/>
    <n v="0"/>
    <s v="06-2025"/>
    <s v=""/>
    <n v="0"/>
    <n v="0"/>
  </r>
  <r>
    <s v="EMP1037"/>
    <s v="Exploring Infinities - Sales"/>
    <s v="SALES"/>
    <s v="Sales - India"/>
    <s v="Director 1"/>
    <s v="Bengaluru"/>
    <s v="WFO"/>
    <d v="2026-03-22T00:00:00"/>
    <m/>
    <s v="Active"/>
    <m/>
    <x v="2"/>
    <n v="100"/>
    <n v="0"/>
    <s v="03-2026"/>
    <s v=""/>
    <n v="0"/>
    <n v="0"/>
  </r>
  <r>
    <s v="EMP1105"/>
    <s v="Exploring Infinities - Sales"/>
    <s v="SALES"/>
    <s v="Sales - India"/>
    <s v="Director 1"/>
    <s v="Bengaluru"/>
    <s v="WFO"/>
    <d v="2026-05-22T00:00:00"/>
    <d v="2026-05-22T00:00:00"/>
    <s v="Relieved"/>
    <s v="Voluntary"/>
    <x v="0"/>
    <n v="0"/>
    <n v="1"/>
    <s v="05-2026"/>
    <s v="05-2026"/>
    <n v="1"/>
    <n v="0"/>
  </r>
  <r>
    <s v="EMP1124"/>
    <s v="Exploring Infinities - Sales"/>
    <s v="SALES"/>
    <s v="Sales - India"/>
    <s v="Director 1"/>
    <s v="Bengaluru"/>
    <s v="WFO"/>
    <d v="2026-05-22T00:00:00"/>
    <d v="2026-05-22T00:00:00"/>
    <s v="Relieved"/>
    <s v="Voluntary"/>
    <x v="3"/>
    <n v="0"/>
    <n v="1"/>
    <s v="05-2026"/>
    <s v="05-2026"/>
    <n v="1"/>
    <n v="0"/>
  </r>
  <r>
    <s v="EMP1032"/>
    <s v="Exploring Infinities - Sales"/>
    <s v="SALES"/>
    <s v="Sales - India"/>
    <s v="Director 1"/>
    <s v="Bengaluru"/>
    <s v="WFO"/>
    <d v="2025-04-23T00:00:00"/>
    <m/>
    <s v="Active"/>
    <m/>
    <x v="2"/>
    <n v="433"/>
    <n v="0"/>
    <s v="04-2025"/>
    <s v=""/>
    <n v="0"/>
    <n v="0"/>
  </r>
  <r>
    <s v="EMP1077"/>
    <s v="Exploring Infinities - Sales"/>
    <s v="SALES"/>
    <s v="Sales - India"/>
    <s v="Director 1"/>
    <s v="Bengaluru"/>
    <s v="WFO"/>
    <d v="2026-04-23T00:00:00"/>
    <d v="2026-04-23T00:00:00"/>
    <s v="Relieved"/>
    <s v="Voluntary"/>
    <x v="0"/>
    <n v="0"/>
    <n v="1"/>
    <s v="04-2026"/>
    <s v="04-2026"/>
    <n v="1"/>
    <n v="0"/>
  </r>
  <r>
    <s v="EMP1060"/>
    <s v="Exploring Infinities - Sales"/>
    <s v="SALES"/>
    <s v="Sales - India"/>
    <s v="Director 1"/>
    <s v="Bengaluru"/>
    <s v="WFO"/>
    <d v="2025-01-23T00:00:00"/>
    <d v="2026-05-27T00:00:00"/>
    <s v="Relieved"/>
    <s v="Involuntary"/>
    <x v="7"/>
    <n v="489"/>
    <n v="1"/>
    <s v="01-2025"/>
    <s v="05-2026"/>
    <n v="0"/>
    <n v="1"/>
  </r>
  <r>
    <s v="EMP1135"/>
    <s v="Exploring Infinities - Sales"/>
    <s v="SALES"/>
    <s v="Sales - India"/>
    <s v="Director 1"/>
    <s v="Bengaluru"/>
    <s v="WFO"/>
    <d v="2026-06-23T00:00:00"/>
    <m/>
    <s v="Active"/>
    <m/>
    <x v="2"/>
    <n v="7"/>
    <n v="0"/>
    <s v="06-2026"/>
    <s v=""/>
    <n v="0"/>
    <n v="0"/>
  </r>
  <r>
    <s v="EMP1142"/>
    <s v="Exploring Infinities - Sales"/>
    <s v="SALES"/>
    <s v="Sales - India"/>
    <s v="Director 1"/>
    <s v="Bengaluru"/>
    <s v="WFO"/>
    <d v="2026-06-23T00:00:00"/>
    <d v="2026-06-23T00:00:00"/>
    <s v="Relieved"/>
    <s v="Voluntary"/>
    <x v="5"/>
    <n v="0"/>
    <n v="1"/>
    <s v="06-2026"/>
    <s v="06-2026"/>
    <n v="1"/>
    <n v="0"/>
  </r>
  <r>
    <s v="EMP1041"/>
    <s v="Exploring Infinities - Sales"/>
    <s v="SALES"/>
    <s v="Sales - India"/>
    <s v="Director 1"/>
    <s v="Bengaluru"/>
    <s v="WFO"/>
    <d v="2025-03-23T00:00:00"/>
    <d v="2026-06-20T00:00:00"/>
    <s v="Relieved"/>
    <s v="Voluntary"/>
    <x v="3"/>
    <n v="454"/>
    <n v="1"/>
    <s v="03-2025"/>
    <s v="06-2026"/>
    <n v="1"/>
    <n v="0"/>
  </r>
  <r>
    <s v="EMP1035"/>
    <s v="Exploring Infinities - Sales"/>
    <s v="SALES"/>
    <s v="Sales - India"/>
    <s v="Director 1"/>
    <s v="Bengaluru"/>
    <s v="WFO"/>
    <d v="2025-05-23T00:00:00"/>
    <d v="2026-05-20T00:00:00"/>
    <s v="Relieved"/>
    <s v="Involuntary"/>
    <x v="1"/>
    <n v="362"/>
    <n v="1"/>
    <s v="05-2025"/>
    <s v="05-2026"/>
    <n v="0"/>
    <n v="1"/>
  </r>
  <r>
    <s v="EMP1045"/>
    <s v="Exploring Infinities - Sales"/>
    <s v="SALES"/>
    <s v="Sales - India"/>
    <s v="Director 1"/>
    <s v="Bengaluru"/>
    <s v="WFO"/>
    <d v="2025-05-23T00:00:00"/>
    <m/>
    <s v="Active"/>
    <m/>
    <x v="2"/>
    <n v="403"/>
    <n v="0"/>
    <s v="05-2025"/>
    <s v=""/>
    <n v="0"/>
    <n v="0"/>
  </r>
  <r>
    <s v="EMP1062"/>
    <s v="Exploring Infinities - Sales"/>
    <s v="SALES"/>
    <s v="Sales - India"/>
    <s v="Director 1"/>
    <s v="Bengaluru"/>
    <s v="WFO"/>
    <d v="2025-08-24T00:00:00"/>
    <d v="2026-05-17T00:00:00"/>
    <s v="Relieved"/>
    <s v="Involuntary"/>
    <x v="6"/>
    <n v="266"/>
    <n v="1"/>
    <s v="08-2025"/>
    <s v="05-2026"/>
    <n v="0"/>
    <n v="1"/>
  </r>
  <r>
    <s v="EMP1042"/>
    <s v="Exploring Infinities - Sales"/>
    <s v="SALES"/>
    <s v="Sales - India"/>
    <s v="Director 1"/>
    <s v="Bengaluru"/>
    <s v="WFO"/>
    <d v="2025-12-24T00:00:00"/>
    <m/>
    <s v="Active"/>
    <m/>
    <x v="2"/>
    <n v="188"/>
    <n v="0"/>
    <s v="12-2025"/>
    <s v=""/>
    <n v="0"/>
    <n v="0"/>
  </r>
  <r>
    <s v="EMP1039"/>
    <s v="Exploring Infinities - Sales"/>
    <s v="SALES"/>
    <s v="Sales - India"/>
    <s v="Director 1"/>
    <s v="Bengaluru"/>
    <s v="WFO"/>
    <d v="2026-01-24T00:00:00"/>
    <m/>
    <s v="Active"/>
    <m/>
    <x v="2"/>
    <n v="157"/>
    <n v="0"/>
    <s v="01-2026"/>
    <s v=""/>
    <n v="0"/>
    <n v="0"/>
  </r>
  <r>
    <s v="EMP1044"/>
    <s v="Exploring Infinities - Sales"/>
    <s v="SALES"/>
    <s v="Sales - India"/>
    <s v="Director 1"/>
    <s v="Bengaluru"/>
    <s v="WFO"/>
    <d v="2025-06-24T00:00:00"/>
    <m/>
    <s v="Active"/>
    <m/>
    <x v="2"/>
    <n v="371"/>
    <n v="0"/>
    <s v="06-2025"/>
    <s v=""/>
    <n v="0"/>
    <n v="0"/>
  </r>
  <r>
    <s v="EMP1132"/>
    <s v="Exploring Infinities - Sales"/>
    <s v="SALES"/>
    <s v="Sales - India"/>
    <s v="Director 1"/>
    <s v="Bengaluru"/>
    <s v="WFO"/>
    <d v="2026-06-24T00:00:00"/>
    <m/>
    <s v="Active"/>
    <m/>
    <x v="2"/>
    <n v="6"/>
    <n v="0"/>
    <s v="06-2026"/>
    <s v=""/>
    <n v="0"/>
    <n v="0"/>
  </r>
  <r>
    <s v="EMP1110"/>
    <s v="Exploring Infinities - Sales"/>
    <s v="SALES"/>
    <s v="Sales - India"/>
    <s v="Director 1"/>
    <s v="Bengaluru"/>
    <s v="WFO"/>
    <d v="2026-05-24T00:00:00"/>
    <d v="2026-05-24T00:00:00"/>
    <s v="Relieved"/>
    <s v="Voluntary"/>
    <x v="10"/>
    <n v="0"/>
    <n v="1"/>
    <s v="05-2026"/>
    <s v="05-2026"/>
    <n v="1"/>
    <n v="0"/>
  </r>
  <r>
    <s v="EMP1001"/>
    <s v="Exploring Infinities - Sales"/>
    <s v="SALES"/>
    <s v="Sales - India"/>
    <s v="Director 1"/>
    <s v="Bengaluru"/>
    <s v="WFO"/>
    <d v="2025-11-24T00:00:00"/>
    <d v="2026-06-22T00:00:00"/>
    <s v="Relieved"/>
    <s v="Involuntary"/>
    <x v="7"/>
    <n v="210"/>
    <n v="1"/>
    <s v="11-2025"/>
    <s v="06-2026"/>
    <n v="0"/>
    <n v="1"/>
  </r>
  <r>
    <s v="EMP1007"/>
    <s v="Exploring Infinities - Sales"/>
    <s v="SALES"/>
    <s v="Sales - India"/>
    <s v="Director 1"/>
    <s v="Bengaluru"/>
    <s v="WFO"/>
    <d v="2025-04-25T00:00:00"/>
    <d v="2026-04-08T00:00:00"/>
    <s v="Relieved"/>
    <s v="Involuntary"/>
    <x v="9"/>
    <n v="348"/>
    <n v="1"/>
    <s v="04-2025"/>
    <s v="04-2026"/>
    <n v="0"/>
    <n v="1"/>
  </r>
  <r>
    <s v="EMP1082"/>
    <s v="Exploring Infinities - Sales"/>
    <s v="SALES"/>
    <s v="Sales - India"/>
    <s v="Director 1"/>
    <s v="Bengaluru"/>
    <s v="WFO"/>
    <d v="2026-04-25T00:00:00"/>
    <m/>
    <s v="Active"/>
    <m/>
    <x v="2"/>
    <n v="66"/>
    <n v="0"/>
    <s v="04-2026"/>
    <s v=""/>
    <n v="0"/>
    <n v="0"/>
  </r>
  <r>
    <s v="EMP1029"/>
    <s v="Exploring Infinities - Sales"/>
    <s v="SALES"/>
    <s v="Sales - India"/>
    <s v="Director 1"/>
    <s v="Bengaluru"/>
    <s v="WFO"/>
    <d v="2025-12-26T00:00:00"/>
    <m/>
    <s v="Active"/>
    <m/>
    <x v="2"/>
    <n v="186"/>
    <n v="0"/>
    <s v="12-2025"/>
    <s v=""/>
    <n v="0"/>
    <n v="0"/>
  </r>
  <r>
    <s v="EMP1048"/>
    <s v="Exploring Infinities - Sales"/>
    <s v="SALES"/>
    <s v="Sales - India"/>
    <s v="Director 1"/>
    <s v="Bengaluru"/>
    <s v="WFO"/>
    <d v="2026-01-26T00:00:00"/>
    <d v="2026-05-02T00:00:00"/>
    <s v="Relieved"/>
    <s v="Involuntary"/>
    <x v="9"/>
    <n v="96"/>
    <n v="1"/>
    <s v="01-2026"/>
    <s v="05-2026"/>
    <n v="0"/>
    <n v="1"/>
  </r>
  <r>
    <s v="EMP1056"/>
    <s v="Exploring Infinities - Sales"/>
    <s v="SALES"/>
    <s v="Sales - India"/>
    <s v="Director 1"/>
    <s v="Bengaluru"/>
    <s v="WFO"/>
    <d v="2025-06-26T00:00:00"/>
    <m/>
    <s v="Active"/>
    <m/>
    <x v="2"/>
    <n v="369"/>
    <n v="0"/>
    <s v="06-2025"/>
    <s v=""/>
    <n v="0"/>
    <n v="0"/>
  </r>
  <r>
    <s v="EMP1117"/>
    <s v="Exploring Infinities - Sales"/>
    <s v="SALES"/>
    <s v="Sales - India"/>
    <s v="Director 1"/>
    <s v="Bengaluru"/>
    <s v="WFO"/>
    <d v="2026-05-26T00:00:00"/>
    <m/>
    <s v="Active"/>
    <m/>
    <x v="2"/>
    <n v="35"/>
    <n v="0"/>
    <s v="05-2026"/>
    <s v=""/>
    <n v="0"/>
    <n v="0"/>
  </r>
  <r>
    <s v="EMP1119"/>
    <s v="Exploring Infinities - Sales"/>
    <s v="SALES"/>
    <s v="Sales - India"/>
    <s v="Director 1"/>
    <s v="Bengaluru"/>
    <s v="WFO"/>
    <d v="2026-05-26T00:00:00"/>
    <d v="2026-05-26T00:00:00"/>
    <s v="Relieved"/>
    <s v="Voluntary"/>
    <x v="4"/>
    <n v="0"/>
    <n v="1"/>
    <s v="05-2026"/>
    <s v="05-2026"/>
    <n v="1"/>
    <n v="0"/>
  </r>
  <r>
    <s v="EMP1093"/>
    <s v="Exploring Infinities - Sales"/>
    <s v="SALES"/>
    <s v="Sales - India"/>
    <s v="Director 1"/>
    <s v="Bengaluru"/>
    <s v="WFO"/>
    <d v="2026-04-27T00:00:00"/>
    <d v="2026-04-27T00:00:00"/>
    <s v="Relieved"/>
    <s v="Voluntary"/>
    <x v="4"/>
    <n v="0"/>
    <n v="1"/>
    <s v="04-2026"/>
    <s v="04-2026"/>
    <n v="1"/>
    <n v="0"/>
  </r>
  <r>
    <s v="EMP1002"/>
    <s v="Exploring Infinities - Sales"/>
    <s v="SALES"/>
    <s v="Sales - India"/>
    <s v="Director 1"/>
    <s v="Bengaluru"/>
    <s v="WFO"/>
    <d v="2025-02-27T00:00:00"/>
    <d v="2026-04-13T00:00:00"/>
    <s v="Relieved"/>
    <s v="Voluntary"/>
    <x v="3"/>
    <n v="410"/>
    <n v="1"/>
    <s v="02-2025"/>
    <s v="04-2026"/>
    <n v="1"/>
    <n v="0"/>
  </r>
  <r>
    <s v="EMP1147"/>
    <s v="Exploring Infinities - Sales"/>
    <s v="SALES"/>
    <s v="Sales - India"/>
    <s v="Director 1"/>
    <s v="Bengaluru"/>
    <s v="WFO"/>
    <d v="2026-06-27T00:00:00"/>
    <m/>
    <s v="Active"/>
    <m/>
    <x v="2"/>
    <n v="3"/>
    <n v="0"/>
    <s v="06-2026"/>
    <s v=""/>
    <n v="0"/>
    <n v="0"/>
  </r>
  <r>
    <s v="EMP1085"/>
    <s v="Exploring Infinities - Sales"/>
    <s v="SALES"/>
    <s v="Sales - India"/>
    <s v="Director 1"/>
    <s v="Bengaluru"/>
    <s v="WFO"/>
    <d v="2026-04-28T00:00:00"/>
    <d v="2026-04-28T00:00:00"/>
    <s v="Relieved"/>
    <s v="Voluntary"/>
    <x v="5"/>
    <n v="0"/>
    <n v="1"/>
    <s v="04-2026"/>
    <s v="04-2026"/>
    <n v="1"/>
    <n v="0"/>
  </r>
  <r>
    <s v="EMP1087"/>
    <s v="Exploring Infinities - Sales"/>
    <s v="SALES"/>
    <s v="Sales - India"/>
    <s v="Director 1"/>
    <s v="Bengaluru"/>
    <s v="WFO"/>
    <d v="2026-04-28T00:00:00"/>
    <d v="2026-04-28T00:00:00"/>
    <s v="Relieved"/>
    <s v="Voluntary"/>
    <x v="5"/>
    <n v="0"/>
    <n v="1"/>
    <s v="04-2026"/>
    <s v="04-2026"/>
    <n v="1"/>
    <n v="0"/>
  </r>
  <r>
    <s v="EMP1099"/>
    <s v="Exploring Infinities - Sales"/>
    <s v="SALES"/>
    <s v="Sales - India"/>
    <s v="Director 1"/>
    <s v="Bengaluru"/>
    <s v="WFO"/>
    <d v="2026-05-28T00:00:00"/>
    <m/>
    <s v="Active"/>
    <m/>
    <x v="2"/>
    <n v="33"/>
    <n v="0"/>
    <s v="05-2026"/>
    <s v=""/>
    <n v="0"/>
    <n v="0"/>
  </r>
  <r>
    <s v="EMP1141"/>
    <s v="Exploring Infinities - Sales"/>
    <s v="SALES"/>
    <s v="Sales - India"/>
    <s v="Director 1"/>
    <s v="Bengaluru"/>
    <s v="WFO"/>
    <d v="2026-06-29T00:00:00"/>
    <d v="2026-06-29T00:00:00"/>
    <s v="Relieved"/>
    <s v="Voluntary"/>
    <x v="4"/>
    <n v="0"/>
    <n v="1"/>
    <s v="06-2026"/>
    <s v="06-2026"/>
    <n v="1"/>
    <n v="0"/>
  </r>
  <r>
    <s v="EMP1143"/>
    <s v="Exploring Infinities - Sales"/>
    <s v="SALES"/>
    <s v="Sales - India"/>
    <s v="Director 1"/>
    <s v="Bengaluru"/>
    <s v="WFO"/>
    <d v="2026-06-29T00:00:00"/>
    <m/>
    <s v="Active"/>
    <m/>
    <x v="2"/>
    <n v="1"/>
    <n v="0"/>
    <s v="06-2026"/>
    <s v=""/>
    <n v="0"/>
    <n v="0"/>
  </r>
  <r>
    <s v="EMP1112"/>
    <s v="Exploring Infinities - Sales"/>
    <s v="SALES"/>
    <s v="Sales - India"/>
    <s v="Director 1"/>
    <s v="Bengaluru"/>
    <s v="WFO"/>
    <d v="2026-05-29T00:00:00"/>
    <m/>
    <s v="Active"/>
    <m/>
    <x v="2"/>
    <n v="32"/>
    <n v="0"/>
    <s v="05-2026"/>
    <s v=""/>
    <n v="0"/>
    <n v="0"/>
  </r>
  <r>
    <s v="EMP1028"/>
    <s v="Exploring Infinities - Sales"/>
    <s v="SALES"/>
    <s v="Sales - India"/>
    <s v="Director 1"/>
    <s v="Bengaluru"/>
    <s v="WFO"/>
    <d v="2025-11-29T00:00:00"/>
    <d v="2026-06-03T00:00:00"/>
    <s v="Relieved"/>
    <s v="Involuntary"/>
    <x v="1"/>
    <n v="186"/>
    <n v="1"/>
    <s v="11-2025"/>
    <s v="06-2026"/>
    <n v="0"/>
    <n v="1"/>
  </r>
  <r>
    <s v="EMP1034"/>
    <s v="Exploring Infinities - Sales"/>
    <s v="SALES"/>
    <s v="Sales - India"/>
    <s v="Director 1"/>
    <s v="Bengaluru"/>
    <s v="WFO"/>
    <d v="2025-10-29T00:00:00"/>
    <d v="2026-05-11T00:00:00"/>
    <s v="Relieved"/>
    <s v="Involuntary"/>
    <x v="1"/>
    <n v="194"/>
    <n v="1"/>
    <s v="10-2025"/>
    <s v="05-2026"/>
    <n v="0"/>
    <n v="1"/>
  </r>
  <r>
    <s v="EMP1021"/>
    <s v="Exploring Infinities - Sales"/>
    <s v="SALES"/>
    <s v="Sales - India"/>
    <s v="Director 1"/>
    <s v="Bengaluru"/>
    <s v="WFO"/>
    <d v="2025-04-30T00:00:00"/>
    <d v="2026-05-29T00:00:00"/>
    <s v="Relieved"/>
    <s v="Involuntary"/>
    <x v="9"/>
    <n v="394"/>
    <n v="1"/>
    <s v="04-2025"/>
    <s v="05-2026"/>
    <n v="0"/>
    <n v="1"/>
  </r>
  <r>
    <s v="EMP1072"/>
    <s v="Exploring Infinities - Sales"/>
    <s v="SALES"/>
    <s v="Sales - India"/>
    <s v="Director 1"/>
    <s v="Bengaluru"/>
    <s v="WFO"/>
    <d v="2026-03-30T00:00:00"/>
    <m/>
    <s v="Active"/>
    <m/>
    <x v="2"/>
    <n v="92"/>
    <n v="0"/>
    <s v="03-2026"/>
    <s v=""/>
    <n v="0"/>
    <n v="0"/>
  </r>
  <r>
    <s v="EMP1111"/>
    <s v="Exploring Infinities - Sales"/>
    <s v="SALES"/>
    <s v="Sales - India"/>
    <s v="Director 1"/>
    <s v="Bengaluru"/>
    <s v="WFO"/>
    <d v="2026-05-30T00:00:00"/>
    <m/>
    <s v="Active"/>
    <m/>
    <x v="2"/>
    <n v="31"/>
    <n v="0"/>
    <s v="05-2026"/>
    <s v=""/>
    <n v="0"/>
    <n v="0"/>
  </r>
  <r>
    <s v="EMP1015"/>
    <s v="Exploring Infinities - Sales"/>
    <s v="SALES"/>
    <s v="Sales - India"/>
    <s v="Director 1"/>
    <s v="Bengaluru"/>
    <s v="WFO"/>
    <d v="2025-10-30T00:00:00"/>
    <m/>
    <s v="Active"/>
    <m/>
    <x v="2"/>
    <n v="243"/>
    <n v="0"/>
    <s v="10-2025"/>
    <s v=""/>
    <n v="0"/>
    <n v="0"/>
  </r>
  <r>
    <s v="EMP1068"/>
    <s v="Exploring Infinities - Sales"/>
    <s v="SALES"/>
    <s v="Sales - India"/>
    <s v="Director 1"/>
    <s v="Bengaluru"/>
    <s v="WFO"/>
    <d v="2025-05-31T00:00:00"/>
    <d v="2026-05-31T00:00:00"/>
    <s v="Relieved"/>
    <s v="Involuntary"/>
    <x v="1"/>
    <n v="365"/>
    <n v="1"/>
    <s v="05-2025"/>
    <s v="05-2026"/>
    <n v="0"/>
    <n v="1"/>
  </r>
  <r>
    <s v="EMP1720"/>
    <s v="Exploring Infinities - Sales"/>
    <s v="SALES"/>
    <s v="Sales - ROW - ANZ"/>
    <s v="Director 3"/>
    <s v="Remote - Australia/NZ"/>
    <s v="WFH"/>
    <d v="2025-11-01T00:00:00"/>
    <m/>
    <s v="Active"/>
    <m/>
    <x v="2"/>
    <n v="241"/>
    <n v="0"/>
    <s v="11-2025"/>
    <s v=""/>
    <n v="0"/>
    <n v="0"/>
  </r>
  <r>
    <s v="EMP1764"/>
    <s v="Exploring Infinities - Sales"/>
    <s v="SALES"/>
    <s v="Sales - ROW - ANZ"/>
    <s v="Director 3"/>
    <s v="Remote - Australia/NZ"/>
    <s v="WFH"/>
    <d v="2026-04-02T00:00:00"/>
    <d v="2026-04-07T00:00:00"/>
    <s v="Relieved"/>
    <s v="Voluntary"/>
    <x v="5"/>
    <n v="5"/>
    <n v="1"/>
    <s v="04-2026"/>
    <s v="04-2026"/>
    <n v="1"/>
    <n v="0"/>
  </r>
  <r>
    <s v="EMP1738"/>
    <s v="Exploring Infinities - Sales"/>
    <s v="SALES"/>
    <s v="Sales - ROW - ANZ"/>
    <s v="Director 3"/>
    <s v="Remote - Australia/NZ"/>
    <s v="WFH"/>
    <d v="2026-02-02T00:00:00"/>
    <m/>
    <s v="Active"/>
    <m/>
    <x v="2"/>
    <n v="148"/>
    <n v="0"/>
    <s v="02-2026"/>
    <s v=""/>
    <n v="0"/>
    <n v="0"/>
  </r>
  <r>
    <s v="EMP1723"/>
    <s v="Exploring Infinities - Sales"/>
    <s v="SALES"/>
    <s v="Sales - ROW - ANZ"/>
    <s v="Director 3"/>
    <s v="Remote - Australia/NZ"/>
    <s v="WFH"/>
    <d v="2025-11-03T00:00:00"/>
    <m/>
    <s v="Active"/>
    <m/>
    <x v="2"/>
    <n v="239"/>
    <n v="0"/>
    <s v="11-2025"/>
    <s v=""/>
    <n v="0"/>
    <n v="0"/>
  </r>
  <r>
    <s v="EMP1718"/>
    <s v="Exploring Infinities - Sales"/>
    <s v="SALES"/>
    <s v="Sales - ROW - ANZ"/>
    <s v="Director 3"/>
    <s v="Remote - Australia/NZ"/>
    <s v="WFH"/>
    <d v="2025-02-04T00:00:00"/>
    <d v="2026-04-15T00:00:00"/>
    <s v="Relieved"/>
    <s v="Involuntary"/>
    <x v="9"/>
    <n v="435"/>
    <n v="1"/>
    <s v="02-2025"/>
    <s v="04-2026"/>
    <n v="0"/>
    <n v="1"/>
  </r>
  <r>
    <s v="EMP1781"/>
    <s v="Exploring Infinities - Sales"/>
    <s v="SALES"/>
    <s v="Sales - ROW - ANZ"/>
    <s v="Director 3"/>
    <s v="Remote - Australia/NZ"/>
    <s v="WFH"/>
    <d v="2026-06-04T00:00:00"/>
    <m/>
    <s v="Active"/>
    <m/>
    <x v="2"/>
    <n v="26"/>
    <n v="0"/>
    <s v="06-2026"/>
    <s v=""/>
    <n v="0"/>
    <n v="0"/>
  </r>
  <r>
    <s v="EMP1783"/>
    <s v="Exploring Infinities - Sales"/>
    <s v="SALES"/>
    <s v="Sales - ROW - ANZ"/>
    <s v="Director 3"/>
    <s v="Remote - Australia/NZ"/>
    <s v="WFH"/>
    <d v="2026-06-04T00:00:00"/>
    <d v="2026-06-30T00:00:00"/>
    <s v="Relieved"/>
    <s v="Voluntary"/>
    <x v="8"/>
    <n v="26"/>
    <n v="1"/>
    <s v="06-2026"/>
    <s v="06-2026"/>
    <n v="1"/>
    <n v="0"/>
  </r>
  <r>
    <s v="EMP1716"/>
    <s v="Exploring Infinities - Sales"/>
    <s v="SALES"/>
    <s v="Sales - ROW - ANZ"/>
    <s v="Director 3"/>
    <s v="Remote - Australia/NZ"/>
    <s v="WFH"/>
    <d v="2025-05-04T00:00:00"/>
    <d v="2026-04-12T00:00:00"/>
    <s v="Relieved"/>
    <s v="Involuntary"/>
    <x v="6"/>
    <n v="343"/>
    <n v="1"/>
    <s v="05-2025"/>
    <s v="04-2026"/>
    <n v="0"/>
    <n v="1"/>
  </r>
  <r>
    <s v="EMP1734"/>
    <s v="Exploring Infinities - Sales"/>
    <s v="SALES"/>
    <s v="Sales - ROW - ANZ"/>
    <s v="Director 3"/>
    <s v="Remote - Australia/NZ"/>
    <s v="WFH"/>
    <d v="2025-10-04T00:00:00"/>
    <d v="2026-04-18T00:00:00"/>
    <s v="Relieved"/>
    <s v="Involuntary"/>
    <x v="7"/>
    <n v="196"/>
    <n v="1"/>
    <s v="10-2025"/>
    <s v="04-2026"/>
    <n v="0"/>
    <n v="1"/>
  </r>
  <r>
    <s v="EMP1757"/>
    <s v="Exploring Infinities - Sales"/>
    <s v="SALES"/>
    <s v="Sales - ROW - ANZ"/>
    <s v="Director 3"/>
    <s v="Remote - Australia/NZ"/>
    <s v="WFH"/>
    <d v="2026-04-05T00:00:00"/>
    <m/>
    <s v="Active"/>
    <m/>
    <x v="2"/>
    <n v="86"/>
    <n v="0"/>
    <s v="04-2026"/>
    <s v=""/>
    <n v="0"/>
    <n v="0"/>
  </r>
  <r>
    <s v="EMP1785"/>
    <s v="Exploring Infinities - Sales"/>
    <s v="SALES"/>
    <s v="Sales - ROW - ANZ"/>
    <s v="Director 3"/>
    <s v="Remote - Australia/NZ"/>
    <s v="WFH"/>
    <d v="2026-06-05T00:00:00"/>
    <d v="2026-06-06T00:00:00"/>
    <s v="Relieved"/>
    <s v="Involuntary"/>
    <x v="7"/>
    <n v="1"/>
    <n v="1"/>
    <s v="06-2026"/>
    <s v="06-2026"/>
    <n v="0"/>
    <n v="1"/>
  </r>
  <r>
    <s v="EMP1770"/>
    <s v="Exploring Infinities - Sales"/>
    <s v="SALES"/>
    <s v="Sales - ROW - ANZ"/>
    <s v="Director 3"/>
    <s v="Remote - Australia/NZ"/>
    <s v="WFH"/>
    <d v="2026-04-06T00:00:00"/>
    <d v="2026-05-18T00:00:00"/>
    <s v="Relieved"/>
    <s v="Involuntary"/>
    <x v="7"/>
    <n v="42"/>
    <n v="1"/>
    <s v="04-2026"/>
    <s v="05-2026"/>
    <n v="0"/>
    <n v="1"/>
  </r>
  <r>
    <s v="EMP1728"/>
    <s v="Exploring Infinities - Sales"/>
    <s v="SALES"/>
    <s v="Sales - ROW - ANZ"/>
    <s v="Director 3"/>
    <s v="Remote - Australia/NZ"/>
    <s v="WFH"/>
    <d v="2025-05-06T00:00:00"/>
    <m/>
    <s v="Active"/>
    <m/>
    <x v="2"/>
    <n v="420"/>
    <n v="0"/>
    <s v="05-2025"/>
    <s v=""/>
    <n v="0"/>
    <n v="0"/>
  </r>
  <r>
    <s v="EMP1787"/>
    <s v="Exploring Infinities - Sales"/>
    <s v="SALES"/>
    <s v="Sales - ROW - ANZ"/>
    <s v="Director 3"/>
    <s v="Remote - Australia/NZ"/>
    <s v="WFH"/>
    <d v="2026-06-07T00:00:00"/>
    <d v="2026-06-22T00:00:00"/>
    <s v="Relieved"/>
    <s v="Voluntary"/>
    <x v="0"/>
    <n v="15"/>
    <n v="1"/>
    <s v="06-2026"/>
    <s v="06-2026"/>
    <n v="1"/>
    <n v="0"/>
  </r>
  <r>
    <s v="EMP1779"/>
    <s v="Exploring Infinities - Sales"/>
    <s v="SALES"/>
    <s v="Sales - ROW - ANZ"/>
    <s v="Director 3"/>
    <s v="Remote - Australia/NZ"/>
    <s v="WFH"/>
    <d v="2026-05-07T00:00:00"/>
    <m/>
    <s v="Active"/>
    <m/>
    <x v="2"/>
    <n v="54"/>
    <n v="0"/>
    <s v="05-2026"/>
    <s v=""/>
    <n v="0"/>
    <n v="0"/>
  </r>
  <r>
    <s v="EMP1754"/>
    <s v="Exploring Infinities - Sales"/>
    <s v="SALES"/>
    <s v="Sales - ROW - ANZ"/>
    <s v="Director 3"/>
    <s v="Remote - Australia/NZ"/>
    <s v="WFH"/>
    <d v="2026-04-08T00:00:00"/>
    <m/>
    <s v="Active"/>
    <m/>
    <x v="2"/>
    <n v="83"/>
    <n v="0"/>
    <s v="04-2026"/>
    <s v=""/>
    <n v="0"/>
    <n v="0"/>
  </r>
  <r>
    <s v="EMP1760"/>
    <s v="Exploring Infinities - Sales"/>
    <s v="SALES"/>
    <s v="Sales - ROW - ANZ"/>
    <s v="Director 3"/>
    <s v="Remote - Australia/NZ"/>
    <s v="WFH"/>
    <d v="2026-04-08T00:00:00"/>
    <m/>
    <s v="Active"/>
    <m/>
    <x v="2"/>
    <n v="83"/>
    <n v="0"/>
    <s v="04-2026"/>
    <s v=""/>
    <n v="0"/>
    <n v="0"/>
  </r>
  <r>
    <s v="EMP1786"/>
    <s v="Exploring Infinities - Sales"/>
    <s v="SALES"/>
    <s v="Sales - ROW - ANZ"/>
    <s v="Director 3"/>
    <s v="Remote - Australia/NZ"/>
    <s v="WFH"/>
    <d v="2026-06-08T00:00:00"/>
    <d v="2026-06-29T00:00:00"/>
    <s v="Relieved"/>
    <s v="Voluntary"/>
    <x v="4"/>
    <n v="21"/>
    <n v="1"/>
    <s v="06-2026"/>
    <s v="06-2026"/>
    <n v="1"/>
    <n v="0"/>
  </r>
  <r>
    <s v="EMP1763"/>
    <s v="Exploring Infinities - Sales"/>
    <s v="SALES"/>
    <s v="Sales - ROW - ANZ"/>
    <s v="Director 3"/>
    <s v="Remote - Australia/NZ"/>
    <s v="WFH"/>
    <d v="2026-04-09T00:00:00"/>
    <m/>
    <s v="Active"/>
    <m/>
    <x v="2"/>
    <n v="82"/>
    <n v="0"/>
    <s v="04-2026"/>
    <s v=""/>
    <n v="0"/>
    <n v="0"/>
  </r>
  <r>
    <s v="EMP1755"/>
    <s v="Exploring Infinities - Sales"/>
    <s v="SALES"/>
    <s v="Sales - ROW - ANZ"/>
    <s v="Director 3"/>
    <s v="Remote - Australia/NZ"/>
    <s v="WFH"/>
    <d v="2026-04-10T00:00:00"/>
    <d v="2026-04-10T00:00:00"/>
    <s v="Relieved"/>
    <s v="Voluntary"/>
    <x v="8"/>
    <n v="0"/>
    <n v="1"/>
    <s v="04-2026"/>
    <s v="04-2026"/>
    <n v="1"/>
    <n v="0"/>
  </r>
  <r>
    <s v="EMP1762"/>
    <s v="Exploring Infinities - Sales"/>
    <s v="SALES"/>
    <s v="Sales - ROW - ANZ"/>
    <s v="Director 3"/>
    <s v="Remote - Australia/NZ"/>
    <s v="WFH"/>
    <d v="2026-04-10T00:00:00"/>
    <d v="2026-04-24T00:00:00"/>
    <s v="Relieved"/>
    <s v="Voluntary"/>
    <x v="8"/>
    <n v="14"/>
    <n v="1"/>
    <s v="04-2026"/>
    <s v="04-2026"/>
    <n v="1"/>
    <n v="0"/>
  </r>
  <r>
    <s v="EMP1745"/>
    <s v="Exploring Infinities - Sales"/>
    <s v="SALES"/>
    <s v="Sales - ROW - ANZ"/>
    <s v="Director 3"/>
    <s v="Remote - Australia/NZ"/>
    <s v="WFH"/>
    <d v="2026-01-10T00:00:00"/>
    <d v="2026-05-01T00:00:00"/>
    <s v="Relieved"/>
    <s v="Voluntary"/>
    <x v="8"/>
    <n v="111"/>
    <n v="1"/>
    <s v="01-2026"/>
    <s v="05-2026"/>
    <n v="1"/>
    <n v="0"/>
  </r>
  <r>
    <s v="EMP1753"/>
    <s v="Exploring Infinities - Sales"/>
    <s v="SALES"/>
    <s v="Sales - ROW - ANZ"/>
    <s v="Director 3"/>
    <s v="Remote - Australia/NZ"/>
    <s v="WFH"/>
    <d v="2026-04-11T00:00:00"/>
    <d v="2026-05-22T00:00:00"/>
    <s v="Relieved"/>
    <s v="Voluntary"/>
    <x v="10"/>
    <n v="41"/>
    <n v="1"/>
    <s v="04-2026"/>
    <s v="05-2026"/>
    <n v="1"/>
    <n v="0"/>
  </r>
  <r>
    <s v="EMP1724"/>
    <s v="Exploring Infinities - Sales"/>
    <s v="SALES"/>
    <s v="Sales - ROW - ANZ"/>
    <s v="Director 3"/>
    <s v="Remote - Australia/NZ"/>
    <s v="WFH"/>
    <d v="2025-12-11T00:00:00"/>
    <d v="2026-06-10T00:00:00"/>
    <s v="Relieved"/>
    <s v="Involuntary"/>
    <x v="1"/>
    <n v="181"/>
    <n v="1"/>
    <s v="12-2025"/>
    <s v="06-2026"/>
    <n v="0"/>
    <n v="1"/>
  </r>
  <r>
    <s v="EMP1777"/>
    <s v="Exploring Infinities - Sales"/>
    <s v="SALES"/>
    <s v="Sales - ROW - ANZ"/>
    <s v="Director 3"/>
    <s v="Remote - Australia/NZ"/>
    <s v="WFH"/>
    <d v="2026-05-11T00:00:00"/>
    <d v="2026-05-11T00:00:00"/>
    <s v="Relieved"/>
    <s v="Voluntary"/>
    <x v="4"/>
    <n v="0"/>
    <n v="1"/>
    <s v="05-2026"/>
    <s v="05-2026"/>
    <n v="1"/>
    <n v="0"/>
  </r>
  <r>
    <s v="EMP1780"/>
    <s v="Exploring Infinities - Sales"/>
    <s v="SALES"/>
    <s v="Sales - ROW - ANZ"/>
    <s v="Director 3"/>
    <s v="Remote - Australia/NZ"/>
    <s v="WFH"/>
    <d v="2026-05-12T00:00:00"/>
    <d v="2026-05-21T00:00:00"/>
    <s v="Relieved"/>
    <s v="Voluntary"/>
    <x v="3"/>
    <n v="9"/>
    <n v="1"/>
    <s v="05-2026"/>
    <s v="05-2026"/>
    <n v="1"/>
    <n v="0"/>
  </r>
  <r>
    <s v="EMP1732"/>
    <s v="Exploring Infinities - Sales"/>
    <s v="SALES"/>
    <s v="Sales - ROW - ANZ"/>
    <s v="Director 3"/>
    <s v="Remote - Australia/NZ"/>
    <s v="WFH"/>
    <d v="2025-08-13T00:00:00"/>
    <d v="2026-05-01T00:00:00"/>
    <s v="Relieved"/>
    <s v="Involuntary"/>
    <x v="6"/>
    <n v="261"/>
    <n v="1"/>
    <s v="08-2025"/>
    <s v="05-2026"/>
    <n v="0"/>
    <n v="1"/>
  </r>
  <r>
    <s v="EMP1747"/>
    <s v="Exploring Infinities - Sales"/>
    <s v="SALES"/>
    <s v="Sales - ROW - ANZ"/>
    <s v="Director 3"/>
    <s v="Remote - Australia/NZ"/>
    <s v="WFH"/>
    <d v="2025-06-13T00:00:00"/>
    <m/>
    <s v="Active"/>
    <m/>
    <x v="2"/>
    <n v="382"/>
    <n v="0"/>
    <s v="06-2025"/>
    <s v=""/>
    <n v="0"/>
    <n v="0"/>
  </r>
  <r>
    <s v="EMP1740"/>
    <s v="Exploring Infinities - Sales"/>
    <s v="SALES"/>
    <s v="Sales - ROW - ANZ"/>
    <s v="Director 3"/>
    <s v="Remote - Australia/NZ"/>
    <s v="WFH"/>
    <d v="2025-03-13T00:00:00"/>
    <d v="2026-06-19T00:00:00"/>
    <s v="Relieved"/>
    <s v="Involuntary"/>
    <x v="1"/>
    <n v="463"/>
    <n v="1"/>
    <s v="03-2025"/>
    <s v="06-2026"/>
    <n v="0"/>
    <n v="1"/>
  </r>
  <r>
    <s v="EMP1761"/>
    <s v="Exploring Infinities - Sales"/>
    <s v="SALES"/>
    <s v="Sales - ROW - ANZ"/>
    <s v="Director 3"/>
    <s v="Remote - Australia/NZ"/>
    <s v="WFH"/>
    <d v="2026-04-14T00:00:00"/>
    <d v="2026-04-23T00:00:00"/>
    <s v="Relieved"/>
    <s v="Involuntary"/>
    <x v="1"/>
    <n v="9"/>
    <n v="1"/>
    <s v="04-2026"/>
    <s v="04-2026"/>
    <n v="0"/>
    <n v="1"/>
  </r>
  <r>
    <s v="EMP1729"/>
    <s v="Exploring Infinities - Sales"/>
    <s v="SALES"/>
    <s v="Sales - ROW - ANZ"/>
    <s v="Director 3"/>
    <s v="Remote - Australia/NZ"/>
    <s v="WFH"/>
    <d v="2026-01-15T00:00:00"/>
    <m/>
    <s v="Active"/>
    <m/>
    <x v="2"/>
    <n v="166"/>
    <n v="0"/>
    <s v="01-2026"/>
    <s v=""/>
    <n v="0"/>
    <n v="0"/>
  </r>
  <r>
    <s v="EMP1741"/>
    <s v="Exploring Infinities - Sales"/>
    <s v="SALES"/>
    <s v="Sales - ROW - ANZ"/>
    <s v="Director 3"/>
    <s v="Remote - Australia/NZ"/>
    <s v="WFH"/>
    <d v="2025-09-15T00:00:00"/>
    <d v="2026-04-13T00:00:00"/>
    <s v="Relieved"/>
    <s v="Involuntary"/>
    <x v="1"/>
    <n v="210"/>
    <n v="1"/>
    <s v="09-2025"/>
    <s v="04-2026"/>
    <n v="0"/>
    <n v="1"/>
  </r>
  <r>
    <s v="EMP1717"/>
    <s v="Exploring Infinities - Sales"/>
    <s v="SALES"/>
    <s v="Sales - ROW - ANZ"/>
    <s v="Director 3"/>
    <s v="Remote - Australia/NZ"/>
    <s v="WFH"/>
    <d v="2025-04-16T00:00:00"/>
    <d v="2026-05-26T00:00:00"/>
    <s v="Relieved"/>
    <s v="Involuntary"/>
    <x v="1"/>
    <n v="405"/>
    <n v="1"/>
    <s v="04-2025"/>
    <s v="05-2026"/>
    <n v="0"/>
    <n v="1"/>
  </r>
  <r>
    <s v="EMP1774"/>
    <s v="Exploring Infinities - Sales"/>
    <s v="SALES"/>
    <s v="Sales - ROW - ANZ"/>
    <s v="Director 3"/>
    <s v="Remote - Australia/NZ"/>
    <s v="WFH"/>
    <d v="2026-05-16T00:00:00"/>
    <d v="2026-05-16T00:00:00"/>
    <s v="Relieved"/>
    <s v="Voluntary"/>
    <x v="0"/>
    <n v="0"/>
    <n v="1"/>
    <s v="05-2026"/>
    <s v="05-2026"/>
    <n v="1"/>
    <n v="0"/>
  </r>
  <r>
    <s v="EMP1759"/>
    <s v="Exploring Infinities - Sales"/>
    <s v="SALES"/>
    <s v="Sales - ROW - ANZ"/>
    <s v="Director 3"/>
    <s v="Remote - Australia/NZ"/>
    <s v="WFH"/>
    <d v="2026-04-17T00:00:00"/>
    <m/>
    <s v="Active"/>
    <m/>
    <x v="2"/>
    <n v="74"/>
    <n v="0"/>
    <s v="04-2026"/>
    <s v=""/>
    <n v="0"/>
    <n v="0"/>
  </r>
  <r>
    <s v="EMP1722"/>
    <s v="Exploring Infinities - Sales"/>
    <s v="SALES"/>
    <s v="Sales - ROW - ANZ"/>
    <s v="Director 3"/>
    <s v="Remote - Australia/NZ"/>
    <s v="WFH"/>
    <d v="2025-08-17T00:00:00"/>
    <d v="2026-05-18T00:00:00"/>
    <s v="Relieved"/>
    <s v="Voluntary"/>
    <x v="4"/>
    <n v="274"/>
    <n v="1"/>
    <s v="08-2025"/>
    <s v="05-2026"/>
    <n v="1"/>
    <n v="0"/>
  </r>
  <r>
    <s v="EMP1784"/>
    <s v="Exploring Infinities - Sales"/>
    <s v="SALES"/>
    <s v="Sales - ROW - ANZ"/>
    <s v="Director 3"/>
    <s v="Remote - Australia/NZ"/>
    <s v="WFH"/>
    <d v="2026-06-17T00:00:00"/>
    <m/>
    <s v="Active"/>
    <m/>
    <x v="2"/>
    <n v="13"/>
    <n v="0"/>
    <s v="06-2026"/>
    <s v=""/>
    <n v="0"/>
    <n v="0"/>
  </r>
  <r>
    <s v="EMP1765"/>
    <s v="Exploring Infinities - Sales"/>
    <s v="SALES"/>
    <s v="Sales - ROW - ANZ"/>
    <s v="Director 3"/>
    <s v="Remote - Australia/NZ"/>
    <s v="WFH"/>
    <d v="2026-04-18T00:00:00"/>
    <d v="2026-06-30T00:00:00"/>
    <s v="Relieved"/>
    <s v="Involuntary"/>
    <x v="9"/>
    <n v="73"/>
    <n v="1"/>
    <s v="04-2026"/>
    <s v="06-2026"/>
    <n v="0"/>
    <n v="1"/>
  </r>
  <r>
    <s v="EMP1721"/>
    <s v="Exploring Infinities - Sales"/>
    <s v="SALES"/>
    <s v="Sales - ROW - ANZ"/>
    <s v="Director 3"/>
    <s v="Remote - Australia/NZ"/>
    <s v="WFH"/>
    <d v="2025-01-18T00:00:00"/>
    <d v="2026-04-18T00:00:00"/>
    <s v="Relieved"/>
    <s v="Involuntary"/>
    <x v="7"/>
    <n v="455"/>
    <n v="1"/>
    <s v="01-2025"/>
    <s v="04-2026"/>
    <n v="0"/>
    <n v="1"/>
  </r>
  <r>
    <s v="EMP1766"/>
    <s v="Exploring Infinities - Sales"/>
    <s v="SALES"/>
    <s v="Sales - ROW - ANZ"/>
    <s v="Director 3"/>
    <s v="Remote - Australia/NZ"/>
    <s v="WFH"/>
    <d v="2026-04-19T00:00:00"/>
    <d v="2026-04-28T00:00:00"/>
    <s v="Relieved"/>
    <s v="Voluntary"/>
    <x v="0"/>
    <n v="9"/>
    <n v="1"/>
    <s v="04-2026"/>
    <s v="04-2026"/>
    <n v="1"/>
    <n v="0"/>
  </r>
  <r>
    <s v="EMP1737"/>
    <s v="Exploring Infinities - Sales"/>
    <s v="SALES"/>
    <s v="Sales - ROW - ANZ"/>
    <s v="Director 3"/>
    <s v="Remote - Australia/NZ"/>
    <s v="WFH"/>
    <d v="2026-03-19T00:00:00"/>
    <d v="2026-04-13T00:00:00"/>
    <s v="Relieved"/>
    <s v="Involuntary"/>
    <x v="6"/>
    <n v="25"/>
    <n v="1"/>
    <s v="03-2026"/>
    <s v="04-2026"/>
    <n v="0"/>
    <n v="1"/>
  </r>
  <r>
    <s v="EMP1749"/>
    <s v="Exploring Infinities - Sales"/>
    <s v="SALES"/>
    <s v="Sales - ROW - ANZ"/>
    <s v="Director 3"/>
    <s v="Remote - Australia/NZ"/>
    <s v="WFH"/>
    <d v="2026-04-20T00:00:00"/>
    <m/>
    <s v="Active"/>
    <m/>
    <x v="2"/>
    <n v="71"/>
    <n v="0"/>
    <s v="04-2026"/>
    <s v=""/>
    <n v="0"/>
    <n v="0"/>
  </r>
  <r>
    <s v="EMP1788"/>
    <s v="Exploring Infinities - Sales"/>
    <s v="SALES"/>
    <s v="Sales - ROW - ANZ"/>
    <s v="Director 3"/>
    <s v="Remote - Australia/NZ"/>
    <s v="WFH"/>
    <d v="2026-06-20T00:00:00"/>
    <d v="2026-06-20T00:00:00"/>
    <s v="Relieved"/>
    <s v="Involuntary"/>
    <x v="1"/>
    <n v="0"/>
    <n v="1"/>
    <s v="06-2026"/>
    <s v="06-2026"/>
    <n v="0"/>
    <n v="1"/>
  </r>
  <r>
    <s v="EMP1771"/>
    <s v="Exploring Infinities - Sales"/>
    <s v="SALES"/>
    <s v="Sales - ROW - ANZ"/>
    <s v="Director 3"/>
    <s v="Remote - Australia/NZ"/>
    <s v="WFH"/>
    <d v="2026-04-21T00:00:00"/>
    <m/>
    <s v="Active"/>
    <m/>
    <x v="2"/>
    <n v="70"/>
    <n v="0"/>
    <s v="04-2026"/>
    <s v=""/>
    <n v="0"/>
    <n v="0"/>
  </r>
  <r>
    <s v="EMP1719"/>
    <s v="Exploring Infinities - Sales"/>
    <s v="SALES"/>
    <s v="Sales - ROW - ANZ"/>
    <s v="Director 3"/>
    <s v="Remote - Australia/NZ"/>
    <s v="WFH"/>
    <d v="2025-02-21T00:00:00"/>
    <m/>
    <s v="Active"/>
    <m/>
    <x v="2"/>
    <n v="494"/>
    <n v="0"/>
    <s v="02-2025"/>
    <s v=""/>
    <n v="0"/>
    <n v="0"/>
  </r>
  <r>
    <s v="EMP1735"/>
    <s v="Exploring Infinities - Sales"/>
    <s v="SALES"/>
    <s v="Sales - ROW - ANZ"/>
    <s v="Director 3"/>
    <s v="Remote - Australia/NZ"/>
    <s v="WFH"/>
    <d v="2025-04-22T00:00:00"/>
    <d v="2026-06-19T00:00:00"/>
    <s v="Relieved"/>
    <s v="Involuntary"/>
    <x v="6"/>
    <n v="423"/>
    <n v="1"/>
    <s v="04-2025"/>
    <s v="06-2026"/>
    <n v="0"/>
    <n v="1"/>
  </r>
  <r>
    <s v="EMP1751"/>
    <s v="Exploring Infinities - Sales"/>
    <s v="SALES"/>
    <s v="Sales - ROW - ANZ"/>
    <s v="Director 3"/>
    <s v="Remote - Australia/NZ"/>
    <s v="WFH"/>
    <d v="2026-04-22T00:00:00"/>
    <m/>
    <s v="Active"/>
    <m/>
    <x v="2"/>
    <n v="69"/>
    <n v="0"/>
    <s v="04-2026"/>
    <s v=""/>
    <n v="0"/>
    <n v="0"/>
  </r>
  <r>
    <s v="EMP1758"/>
    <s v="Exploring Infinities - Sales"/>
    <s v="SALES"/>
    <s v="Sales - ROW - ANZ"/>
    <s v="Director 3"/>
    <s v="Remote - Australia/NZ"/>
    <s v="WFH"/>
    <d v="2026-04-22T00:00:00"/>
    <m/>
    <s v="Active"/>
    <m/>
    <x v="2"/>
    <n v="69"/>
    <n v="0"/>
    <s v="04-2026"/>
    <s v=""/>
    <n v="0"/>
    <n v="0"/>
  </r>
  <r>
    <s v="EMP1744"/>
    <s v="Exploring Infinities - Sales"/>
    <s v="SALES"/>
    <s v="Sales - ROW - ANZ"/>
    <s v="Director 3"/>
    <s v="Remote - Australia/NZ"/>
    <s v="WFH"/>
    <d v="2026-02-22T00:00:00"/>
    <m/>
    <s v="Active"/>
    <m/>
    <x v="2"/>
    <n v="128"/>
    <n v="0"/>
    <s v="02-2026"/>
    <s v=""/>
    <n v="0"/>
    <n v="0"/>
  </r>
  <r>
    <s v="EMP1736"/>
    <s v="Exploring Infinities - Sales"/>
    <s v="SALES"/>
    <s v="Sales - ROW - ANZ"/>
    <s v="Director 3"/>
    <s v="Remote - Australia/NZ"/>
    <s v="WFH"/>
    <d v="2026-01-22T00:00:00"/>
    <m/>
    <s v="Active"/>
    <m/>
    <x v="2"/>
    <n v="159"/>
    <n v="0"/>
    <s v="01-2026"/>
    <s v=""/>
    <n v="0"/>
    <n v="0"/>
  </r>
  <r>
    <s v="EMP1746"/>
    <s v="Exploring Infinities - Sales"/>
    <s v="SALES"/>
    <s v="Sales - ROW - ANZ"/>
    <s v="Director 3"/>
    <s v="Remote - Australia/NZ"/>
    <s v="WFH"/>
    <d v="2025-10-22T00:00:00"/>
    <m/>
    <s v="Active"/>
    <m/>
    <x v="2"/>
    <n v="251"/>
    <n v="0"/>
    <s v="10-2025"/>
    <s v=""/>
    <n v="0"/>
    <n v="0"/>
  </r>
  <r>
    <s v="EMP1730"/>
    <s v="Exploring Infinities - Sales"/>
    <s v="SALES"/>
    <s v="Sales - ROW - ANZ"/>
    <s v="Director 3"/>
    <s v="Remote - Australia/NZ"/>
    <s v="WFH"/>
    <d v="2025-01-23T00:00:00"/>
    <m/>
    <s v="Active"/>
    <m/>
    <x v="2"/>
    <n v="523"/>
    <n v="0"/>
    <s v="01-2025"/>
    <s v=""/>
    <n v="0"/>
    <n v="0"/>
  </r>
  <r>
    <s v="EMP1726"/>
    <s v="Exploring Infinities - Sales"/>
    <s v="SALES"/>
    <s v="Sales - ROW - ANZ"/>
    <s v="Director 3"/>
    <s v="Remote - Australia/NZ"/>
    <s v="WFH"/>
    <d v="2026-03-23T00:00:00"/>
    <d v="2026-05-14T00:00:00"/>
    <s v="Relieved"/>
    <s v="Voluntary"/>
    <x v="8"/>
    <n v="52"/>
    <n v="1"/>
    <s v="03-2026"/>
    <s v="05-2026"/>
    <n v="1"/>
    <n v="0"/>
  </r>
  <r>
    <s v="EMP1748"/>
    <s v="Exploring Infinities - Sales"/>
    <s v="SALES"/>
    <s v="Sales - ROW - ANZ"/>
    <s v="Director 3"/>
    <s v="Remote - Australia/NZ"/>
    <s v="WFH"/>
    <d v="2025-10-23T00:00:00"/>
    <d v="2026-04-25T00:00:00"/>
    <s v="Relieved"/>
    <s v="Involuntary"/>
    <x v="7"/>
    <n v="184"/>
    <n v="1"/>
    <s v="10-2025"/>
    <s v="04-2026"/>
    <n v="0"/>
    <n v="1"/>
  </r>
  <r>
    <s v="EMP1768"/>
    <s v="Exploring Infinities - Sales"/>
    <s v="SALES"/>
    <s v="Sales - ROW - ANZ"/>
    <s v="Director 3"/>
    <s v="Remote - Australia/NZ"/>
    <s v="WFH"/>
    <d v="2026-04-24T00:00:00"/>
    <d v="2026-06-25T00:00:00"/>
    <s v="Relieved"/>
    <s v="Involuntary"/>
    <x v="6"/>
    <n v="62"/>
    <n v="1"/>
    <s v="04-2026"/>
    <s v="06-2026"/>
    <n v="0"/>
    <n v="1"/>
  </r>
  <r>
    <s v="EMP1773"/>
    <s v="Exploring Infinities - Sales"/>
    <s v="SALES"/>
    <s v="Sales - ROW - ANZ"/>
    <s v="Director 3"/>
    <s v="Remote - Australia/NZ"/>
    <s v="WFH"/>
    <d v="2026-05-24T00:00:00"/>
    <d v="2026-05-24T00:00:00"/>
    <s v="Relieved"/>
    <s v="Voluntary"/>
    <x v="3"/>
    <n v="0"/>
    <n v="1"/>
    <s v="05-2026"/>
    <s v="05-2026"/>
    <n v="1"/>
    <n v="0"/>
  </r>
  <r>
    <s v="EMP1750"/>
    <s v="Exploring Infinities - Sales"/>
    <s v="SALES"/>
    <s v="Sales - ROW - ANZ"/>
    <s v="Director 3"/>
    <s v="Remote - Australia/NZ"/>
    <s v="WFH"/>
    <d v="2026-04-25T00:00:00"/>
    <m/>
    <s v="Active"/>
    <m/>
    <x v="2"/>
    <n v="66"/>
    <n v="0"/>
    <s v="04-2026"/>
    <s v=""/>
    <n v="0"/>
    <n v="0"/>
  </r>
  <r>
    <s v="EMP1727"/>
    <s v="Exploring Infinities - Sales"/>
    <s v="SALES"/>
    <s v="Sales - ROW - ANZ"/>
    <s v="Director 3"/>
    <s v="Remote - Australia/NZ"/>
    <s v="WFH"/>
    <d v="2025-01-25T00:00:00"/>
    <d v="2026-06-19T00:00:00"/>
    <s v="Relieved"/>
    <s v="Involuntary"/>
    <x v="1"/>
    <n v="510"/>
    <n v="1"/>
    <s v="01-2025"/>
    <s v="06-2026"/>
    <n v="0"/>
    <n v="1"/>
  </r>
  <r>
    <s v="EMP1731"/>
    <s v="Exploring Infinities - Sales"/>
    <s v="SALES"/>
    <s v="Sales - ROW - ANZ"/>
    <s v="Director 3"/>
    <s v="Remote - Australia/NZ"/>
    <s v="WFH"/>
    <d v="2025-07-25T00:00:00"/>
    <m/>
    <s v="Active"/>
    <m/>
    <x v="2"/>
    <n v="340"/>
    <n v="0"/>
    <s v="07-2025"/>
    <s v=""/>
    <n v="0"/>
    <n v="0"/>
  </r>
  <r>
    <s v="EMP1775"/>
    <s v="Exploring Infinities - Sales"/>
    <s v="SALES"/>
    <s v="Sales - ROW - ANZ"/>
    <s v="Director 3"/>
    <s v="Remote - Australia/NZ"/>
    <s v="WFH"/>
    <d v="2026-05-25T00:00:00"/>
    <d v="2026-05-30T00:00:00"/>
    <s v="Relieved"/>
    <s v="Voluntary"/>
    <x v="10"/>
    <n v="5"/>
    <n v="1"/>
    <s v="05-2026"/>
    <s v="05-2026"/>
    <n v="1"/>
    <n v="0"/>
  </r>
  <r>
    <s v="EMP1772"/>
    <s v="Exploring Infinities - Sales"/>
    <s v="SALES"/>
    <s v="Sales - ROW - ANZ"/>
    <s v="Director 3"/>
    <s v="Remote - Australia/NZ"/>
    <s v="WFH"/>
    <d v="2026-05-26T00:00:00"/>
    <d v="2026-05-26T00:00:00"/>
    <s v="Relieved"/>
    <s v="Voluntary"/>
    <x v="8"/>
    <n v="0"/>
    <n v="1"/>
    <s v="05-2026"/>
    <s v="05-2026"/>
    <n v="1"/>
    <n v="0"/>
  </r>
  <r>
    <s v="EMP1752"/>
    <s v="Exploring Infinities - Sales"/>
    <s v="SALES"/>
    <s v="Sales - ROW - ANZ"/>
    <s v="Director 3"/>
    <s v="Remote - Australia/NZ"/>
    <s v="WFH"/>
    <d v="2026-04-27T00:00:00"/>
    <m/>
    <s v="Active"/>
    <m/>
    <x v="2"/>
    <n v="64"/>
    <n v="0"/>
    <s v="04-2026"/>
    <s v=""/>
    <n v="0"/>
    <n v="0"/>
  </r>
  <r>
    <s v="EMP1725"/>
    <s v="Exploring Infinities - Sales"/>
    <s v="SALES"/>
    <s v="Sales - ROW - ANZ"/>
    <s v="Director 3"/>
    <s v="Remote - Australia/NZ"/>
    <s v="WFH"/>
    <d v="2025-12-27T00:00:00"/>
    <d v="2026-05-01T00:00:00"/>
    <s v="Relieved"/>
    <s v="Involuntary"/>
    <x v="7"/>
    <n v="125"/>
    <n v="1"/>
    <s v="12-2025"/>
    <s v="05-2026"/>
    <n v="0"/>
    <n v="1"/>
  </r>
  <r>
    <s v="EMP1776"/>
    <s v="Exploring Infinities - Sales"/>
    <s v="SALES"/>
    <s v="Sales - ROW - ANZ"/>
    <s v="Director 3"/>
    <s v="Remote - Australia/NZ"/>
    <s v="WFH"/>
    <d v="2026-05-27T00:00:00"/>
    <d v="2026-05-30T00:00:00"/>
    <s v="Relieved"/>
    <s v="Voluntary"/>
    <x v="4"/>
    <n v="3"/>
    <n v="1"/>
    <s v="05-2026"/>
    <s v="05-2026"/>
    <n v="1"/>
    <n v="0"/>
  </r>
  <r>
    <s v="EMP1756"/>
    <s v="Exploring Infinities - Sales"/>
    <s v="SALES"/>
    <s v="Sales - ROW - ANZ"/>
    <s v="Director 3"/>
    <s v="Remote - Australia/NZ"/>
    <s v="WFH"/>
    <d v="2026-04-29T00:00:00"/>
    <m/>
    <s v="Active"/>
    <m/>
    <x v="2"/>
    <n v="62"/>
    <n v="0"/>
    <s v="04-2026"/>
    <s v=""/>
    <n v="0"/>
    <n v="0"/>
  </r>
  <r>
    <s v="EMP1767"/>
    <s v="Exploring Infinities - Sales"/>
    <s v="SALES"/>
    <s v="Sales - ROW - ANZ"/>
    <s v="Director 3"/>
    <s v="Remote - Australia/NZ"/>
    <s v="WFH"/>
    <d v="2026-04-29T00:00:00"/>
    <d v="2026-04-29T00:00:00"/>
    <s v="Relieved"/>
    <s v="Voluntary"/>
    <x v="10"/>
    <n v="0"/>
    <n v="1"/>
    <s v="04-2026"/>
    <s v="04-2026"/>
    <n v="1"/>
    <n v="0"/>
  </r>
  <r>
    <s v="EMP1739"/>
    <s v="Exploring Infinities - Sales"/>
    <s v="SALES"/>
    <s v="Sales - ROW - ANZ"/>
    <s v="Director 3"/>
    <s v="Remote - Australia/NZ"/>
    <s v="WFH"/>
    <d v="2025-01-29T00:00:00"/>
    <d v="2026-04-10T00:00:00"/>
    <s v="Relieved"/>
    <s v="Involuntary"/>
    <x v="7"/>
    <n v="436"/>
    <n v="1"/>
    <s v="01-2025"/>
    <s v="04-2026"/>
    <n v="0"/>
    <n v="1"/>
  </r>
  <r>
    <s v="EMP1742"/>
    <s v="Exploring Infinities - Sales"/>
    <s v="SALES"/>
    <s v="Sales - ROW - ANZ"/>
    <s v="Director 3"/>
    <s v="Remote - Australia/NZ"/>
    <s v="WFH"/>
    <d v="2025-05-29T00:00:00"/>
    <m/>
    <s v="Active"/>
    <m/>
    <x v="2"/>
    <n v="397"/>
    <n v="0"/>
    <s v="05-2025"/>
    <s v=""/>
    <n v="0"/>
    <n v="0"/>
  </r>
  <r>
    <s v="EMP1733"/>
    <s v="Exploring Infinities - Sales"/>
    <s v="SALES"/>
    <s v="Sales - ROW - ANZ"/>
    <s v="Director 3"/>
    <s v="Remote - Australia/NZ"/>
    <s v="WFH"/>
    <d v="2025-04-30T00:00:00"/>
    <m/>
    <s v="Active"/>
    <m/>
    <x v="2"/>
    <n v="426"/>
    <n v="0"/>
    <s v="04-2025"/>
    <s v=""/>
    <n v="0"/>
    <n v="0"/>
  </r>
  <r>
    <s v="EMP1743"/>
    <s v="Exploring Infinities - Sales"/>
    <s v="SALES"/>
    <s v="Sales - ROW - ANZ"/>
    <s v="Director 3"/>
    <s v="Remote - Australia/NZ"/>
    <s v="WFH"/>
    <d v="2025-04-30T00:00:00"/>
    <m/>
    <s v="Active"/>
    <m/>
    <x v="2"/>
    <n v="426"/>
    <n v="0"/>
    <s v="04-2025"/>
    <s v=""/>
    <n v="0"/>
    <n v="0"/>
  </r>
  <r>
    <s v="EMP1769"/>
    <s v="Exploring Infinities - Sales"/>
    <s v="SALES"/>
    <s v="Sales - ROW - ANZ"/>
    <s v="Director 3"/>
    <s v="Remote - Australia/NZ"/>
    <s v="WFH"/>
    <d v="2026-04-30T00:00:00"/>
    <d v="2026-04-30T00:00:00"/>
    <s v="Relieved"/>
    <s v="Involuntary"/>
    <x v="1"/>
    <n v="0"/>
    <n v="1"/>
    <s v="04-2026"/>
    <s v="04-2026"/>
    <n v="0"/>
    <n v="1"/>
  </r>
  <r>
    <s v="EMP1782"/>
    <s v="Exploring Infinities - Sales"/>
    <s v="SALES"/>
    <s v="Sales - ROW - ANZ"/>
    <s v="Director 3"/>
    <s v="Remote - Australia/NZ"/>
    <s v="WFH"/>
    <d v="2026-06-30T00:00:00"/>
    <d v="2026-06-30T00:00:00"/>
    <s v="Relieved"/>
    <s v="Involuntary"/>
    <x v="9"/>
    <n v="0"/>
    <n v="1"/>
    <s v="06-2026"/>
    <s v="06-2026"/>
    <n v="0"/>
    <n v="1"/>
  </r>
  <r>
    <s v="EMP1778"/>
    <s v="Exploring Infinities - Sales"/>
    <s v="SALES"/>
    <s v="Sales - ROW - ANZ"/>
    <s v="Director 3"/>
    <s v="Remote - Australia/NZ"/>
    <s v="WFH"/>
    <d v="2026-05-30T00:00:00"/>
    <d v="2026-05-30T00:00:00"/>
    <s v="Relieved"/>
    <s v="Voluntary"/>
    <x v="4"/>
    <n v="0"/>
    <n v="1"/>
    <s v="05-2026"/>
    <s v="05-2026"/>
    <n v="1"/>
    <n v="0"/>
  </r>
  <r>
    <s v="EMP1855"/>
    <s v="Exploring Infinities - Sales"/>
    <s v="SALES"/>
    <s v="Sales - ROW - GCC"/>
    <s v="Director 3"/>
    <s v="Remote - GCC"/>
    <s v="WFH"/>
    <d v="2026-04-01T00:00:00"/>
    <d v="2026-04-13T00:00:00"/>
    <s v="Relieved"/>
    <s v="Voluntary"/>
    <x v="0"/>
    <n v="12"/>
    <n v="1"/>
    <s v="04-2026"/>
    <s v="04-2026"/>
    <n v="1"/>
    <n v="0"/>
  </r>
  <r>
    <s v="EMP1815"/>
    <s v="Exploring Infinities - Sales"/>
    <s v="SALES"/>
    <s v="Sales - ROW - GCC"/>
    <s v="Director 3"/>
    <s v="Remote - GCC"/>
    <s v="WFH"/>
    <d v="2026-02-01T00:00:00"/>
    <d v="2026-06-18T00:00:00"/>
    <s v="Relieved"/>
    <s v="Involuntary"/>
    <x v="9"/>
    <n v="137"/>
    <n v="1"/>
    <s v="02-2026"/>
    <s v="06-2026"/>
    <n v="0"/>
    <n v="1"/>
  </r>
  <r>
    <s v="EMP1881"/>
    <s v="Exploring Infinities - Sales"/>
    <s v="SALES"/>
    <s v="Sales - ROW - GCC"/>
    <s v="Director 3"/>
    <s v="Remote - GCC"/>
    <s v="WFH"/>
    <d v="2026-06-01T00:00:00"/>
    <d v="2026-06-23T00:00:00"/>
    <s v="Relieved"/>
    <s v="Voluntary"/>
    <x v="10"/>
    <n v="22"/>
    <n v="1"/>
    <s v="06-2026"/>
    <s v="06-2026"/>
    <n v="1"/>
    <n v="0"/>
  </r>
  <r>
    <s v="EMP1890"/>
    <s v="Exploring Infinities - Sales"/>
    <s v="SALES"/>
    <s v="Sales - ROW - GCC"/>
    <s v="Director 3"/>
    <s v="Remote - GCC"/>
    <s v="WFH"/>
    <d v="2026-06-01T00:00:00"/>
    <m/>
    <s v="Active"/>
    <m/>
    <x v="2"/>
    <n v="29"/>
    <n v="0"/>
    <s v="06-2026"/>
    <s v=""/>
    <n v="0"/>
    <n v="0"/>
  </r>
  <r>
    <s v="EMP1813"/>
    <s v="Exploring Infinities - Sales"/>
    <s v="SALES"/>
    <s v="Sales - ROW - GCC"/>
    <s v="Director 3"/>
    <s v="Remote - GCC"/>
    <s v="WFH"/>
    <d v="2025-11-01T00:00:00"/>
    <m/>
    <s v="Active"/>
    <m/>
    <x v="2"/>
    <n v="241"/>
    <n v="0"/>
    <s v="11-2025"/>
    <s v=""/>
    <n v="0"/>
    <n v="0"/>
  </r>
  <r>
    <s v="EMP1824"/>
    <s v="Exploring Infinities - Sales"/>
    <s v="SALES"/>
    <s v="Sales - ROW - GCC"/>
    <s v="Director 3"/>
    <s v="Remote - GCC"/>
    <s v="WFH"/>
    <d v="2025-07-02T00:00:00"/>
    <d v="2026-06-12T00:00:00"/>
    <s v="Relieved"/>
    <s v="Involuntary"/>
    <x v="9"/>
    <n v="345"/>
    <n v="1"/>
    <s v="07-2025"/>
    <s v="06-2026"/>
    <n v="0"/>
    <n v="1"/>
  </r>
  <r>
    <s v="EMP1833"/>
    <s v="Exploring Infinities - Sales"/>
    <s v="SALES"/>
    <s v="Sales - ROW - GCC"/>
    <s v="Director 3"/>
    <s v="Remote - GCC"/>
    <s v="WFH"/>
    <d v="2026-04-03T00:00:00"/>
    <d v="2026-04-10T00:00:00"/>
    <s v="Relieved"/>
    <s v="Voluntary"/>
    <x v="0"/>
    <n v="7"/>
    <n v="1"/>
    <s v="04-2026"/>
    <s v="04-2026"/>
    <n v="1"/>
    <n v="0"/>
  </r>
  <r>
    <s v="EMP1840"/>
    <s v="Exploring Infinities - Sales"/>
    <s v="SALES"/>
    <s v="Sales - ROW - GCC"/>
    <s v="Director 3"/>
    <s v="Remote - GCC"/>
    <s v="WFH"/>
    <d v="2026-04-03T00:00:00"/>
    <d v="2026-04-20T00:00:00"/>
    <s v="Relieved"/>
    <s v="Voluntary"/>
    <x v="5"/>
    <n v="17"/>
    <n v="1"/>
    <s v="04-2026"/>
    <s v="04-2026"/>
    <n v="1"/>
    <n v="0"/>
  </r>
  <r>
    <s v="EMP1841"/>
    <s v="Exploring Infinities - Sales"/>
    <s v="SALES"/>
    <s v="Sales - ROW - GCC"/>
    <s v="Director 3"/>
    <s v="Remote - GCC"/>
    <s v="WFH"/>
    <d v="2026-04-03T00:00:00"/>
    <d v="2026-06-04T00:00:00"/>
    <s v="Relieved"/>
    <s v="Involuntary"/>
    <x v="7"/>
    <n v="62"/>
    <n v="1"/>
    <s v="04-2026"/>
    <s v="06-2026"/>
    <n v="0"/>
    <n v="1"/>
  </r>
  <r>
    <s v="EMP1854"/>
    <s v="Exploring Infinities - Sales"/>
    <s v="SALES"/>
    <s v="Sales - ROW - GCC"/>
    <s v="Director 3"/>
    <s v="Remote - GCC"/>
    <s v="WFH"/>
    <d v="2026-04-03T00:00:00"/>
    <d v="2026-05-08T00:00:00"/>
    <s v="Relieved"/>
    <s v="Involuntary"/>
    <x v="6"/>
    <n v="35"/>
    <n v="1"/>
    <s v="04-2026"/>
    <s v="05-2026"/>
    <n v="0"/>
    <n v="1"/>
  </r>
  <r>
    <s v="EMP1859"/>
    <s v="Exploring Infinities - Sales"/>
    <s v="SALES"/>
    <s v="Sales - ROW - GCC"/>
    <s v="Director 3"/>
    <s v="Remote - GCC"/>
    <s v="WFH"/>
    <d v="2026-05-03T00:00:00"/>
    <m/>
    <s v="Active"/>
    <m/>
    <x v="2"/>
    <n v="58"/>
    <n v="0"/>
    <s v="05-2026"/>
    <s v=""/>
    <n v="0"/>
    <n v="0"/>
  </r>
  <r>
    <s v="EMP1853"/>
    <s v="Exploring Infinities - Sales"/>
    <s v="SALES"/>
    <s v="Sales - ROW - GCC"/>
    <s v="Director 3"/>
    <s v="Remote - GCC"/>
    <s v="WFH"/>
    <d v="2026-04-04T00:00:00"/>
    <m/>
    <s v="Active"/>
    <m/>
    <x v="2"/>
    <n v="87"/>
    <n v="0"/>
    <s v="04-2026"/>
    <s v=""/>
    <n v="0"/>
    <n v="0"/>
  </r>
  <r>
    <s v="EMP1790"/>
    <s v="Exploring Infinities - Sales"/>
    <s v="SALES"/>
    <s v="Sales - ROW - GCC"/>
    <s v="Director 3"/>
    <s v="Remote - GCC"/>
    <s v="WFH"/>
    <d v="2025-10-04T00:00:00"/>
    <d v="2026-05-11T00:00:00"/>
    <s v="Relieved"/>
    <s v="Involuntary"/>
    <x v="6"/>
    <n v="219"/>
    <n v="1"/>
    <s v="10-2025"/>
    <s v="05-2026"/>
    <n v="0"/>
    <n v="1"/>
  </r>
  <r>
    <s v="EMP1843"/>
    <s v="Exploring Infinities - Sales"/>
    <s v="SALES"/>
    <s v="Sales - ROW - GCC"/>
    <s v="Director 3"/>
    <s v="Remote - GCC"/>
    <s v="WFH"/>
    <d v="2026-04-05T00:00:00"/>
    <d v="2026-04-27T00:00:00"/>
    <s v="Relieved"/>
    <s v="Voluntary"/>
    <x v="3"/>
    <n v="22"/>
    <n v="1"/>
    <s v="04-2026"/>
    <s v="04-2026"/>
    <n v="1"/>
    <n v="0"/>
  </r>
  <r>
    <s v="EMP1848"/>
    <s v="Exploring Infinities - Sales"/>
    <s v="SALES"/>
    <s v="Sales - ROW - GCC"/>
    <s v="Director 3"/>
    <s v="Remote - GCC"/>
    <s v="WFH"/>
    <d v="2026-04-05T00:00:00"/>
    <m/>
    <s v="Active"/>
    <m/>
    <x v="2"/>
    <n v="86"/>
    <n v="0"/>
    <s v="04-2026"/>
    <s v=""/>
    <n v="0"/>
    <n v="0"/>
  </r>
  <r>
    <s v="EMP1867"/>
    <s v="Exploring Infinities - Sales"/>
    <s v="SALES"/>
    <s v="Sales - ROW - GCC"/>
    <s v="Director 3"/>
    <s v="Remote - GCC"/>
    <s v="WFH"/>
    <d v="2026-05-05T00:00:00"/>
    <m/>
    <s v="Active"/>
    <m/>
    <x v="2"/>
    <n v="56"/>
    <n v="0"/>
    <s v="05-2026"/>
    <s v=""/>
    <n v="0"/>
    <n v="0"/>
  </r>
  <r>
    <s v="EMP1873"/>
    <s v="Exploring Infinities - Sales"/>
    <s v="SALES"/>
    <s v="Sales - ROW - GCC"/>
    <s v="Director 3"/>
    <s v="Remote - GCC"/>
    <s v="WFH"/>
    <d v="2026-05-05T00:00:00"/>
    <d v="2026-05-05T00:00:00"/>
    <s v="Relieved"/>
    <s v="Voluntary"/>
    <x v="0"/>
    <n v="0"/>
    <n v="1"/>
    <s v="05-2026"/>
    <s v="05-2026"/>
    <n v="1"/>
    <n v="0"/>
  </r>
  <r>
    <s v="EMP1828"/>
    <s v="Exploring Infinities - Sales"/>
    <s v="SALES"/>
    <s v="Sales - ROW - GCC"/>
    <s v="Director 3"/>
    <s v="Remote - GCC"/>
    <s v="WFH"/>
    <d v="2025-04-06T00:00:00"/>
    <m/>
    <s v="Active"/>
    <m/>
    <x v="2"/>
    <n v="450"/>
    <n v="0"/>
    <s v="04-2025"/>
    <s v=""/>
    <n v="0"/>
    <n v="0"/>
  </r>
  <r>
    <s v="EMP1820"/>
    <s v="Exploring Infinities - Sales"/>
    <s v="SALES"/>
    <s v="Sales - ROW - GCC"/>
    <s v="Director 3"/>
    <s v="Remote - GCC"/>
    <s v="WFH"/>
    <d v="2026-02-06T00:00:00"/>
    <d v="2026-04-09T00:00:00"/>
    <s v="Relieved"/>
    <s v="Involuntary"/>
    <x v="6"/>
    <n v="62"/>
    <n v="1"/>
    <s v="02-2026"/>
    <s v="04-2026"/>
    <n v="0"/>
    <n v="1"/>
  </r>
  <r>
    <s v="EMP1798"/>
    <s v="Exploring Infinities - Sales"/>
    <s v="SALES"/>
    <s v="Sales - ROW - GCC"/>
    <s v="Director 3"/>
    <s v="Remote - GCC"/>
    <s v="WFH"/>
    <d v="2026-01-06T00:00:00"/>
    <m/>
    <s v="Active"/>
    <m/>
    <x v="2"/>
    <n v="175"/>
    <n v="0"/>
    <s v="01-2026"/>
    <s v=""/>
    <n v="0"/>
    <n v="0"/>
  </r>
  <r>
    <s v="EMP1876"/>
    <s v="Exploring Infinities - Sales"/>
    <s v="SALES"/>
    <s v="Sales - ROW - GCC"/>
    <s v="Director 3"/>
    <s v="Remote - GCC"/>
    <s v="WFH"/>
    <d v="2026-06-06T00:00:00"/>
    <m/>
    <s v="Active"/>
    <m/>
    <x v="2"/>
    <n v="24"/>
    <n v="0"/>
    <s v="06-2026"/>
    <s v=""/>
    <n v="0"/>
    <n v="0"/>
  </r>
  <r>
    <s v="EMP1807"/>
    <s v="Exploring Infinities - Sales"/>
    <s v="SALES"/>
    <s v="Sales - ROW - GCC"/>
    <s v="Director 3"/>
    <s v="Remote - GCC"/>
    <s v="WFH"/>
    <d v="2026-03-06T00:00:00"/>
    <d v="2026-06-25T00:00:00"/>
    <s v="Relieved"/>
    <s v="Involuntary"/>
    <x v="7"/>
    <n v="111"/>
    <n v="1"/>
    <s v="03-2026"/>
    <s v="06-2026"/>
    <n v="0"/>
    <n v="1"/>
  </r>
  <r>
    <s v="EMP1810"/>
    <s v="Exploring Infinities - Sales"/>
    <s v="SALES"/>
    <s v="Sales - ROW - GCC"/>
    <s v="Director 3"/>
    <s v="Remote - GCC"/>
    <s v="WFH"/>
    <d v="2025-11-06T00:00:00"/>
    <d v="2026-04-24T00:00:00"/>
    <s v="Relieved"/>
    <s v="Involuntary"/>
    <x v="6"/>
    <n v="169"/>
    <n v="1"/>
    <s v="11-2025"/>
    <s v="04-2026"/>
    <n v="0"/>
    <n v="1"/>
  </r>
  <r>
    <s v="EMP1885"/>
    <s v="Exploring Infinities - Sales"/>
    <s v="SALES"/>
    <s v="Sales - ROW - GCC"/>
    <s v="Director 3"/>
    <s v="Remote - GCC"/>
    <s v="WFH"/>
    <d v="2026-06-07T00:00:00"/>
    <d v="2026-06-16T00:00:00"/>
    <s v="Relieved"/>
    <s v="Voluntary"/>
    <x v="10"/>
    <n v="9"/>
    <n v="1"/>
    <s v="06-2026"/>
    <s v="06-2026"/>
    <n v="1"/>
    <n v="0"/>
  </r>
  <r>
    <s v="EMP1892"/>
    <s v="Exploring Infinities - Sales"/>
    <s v="SALES"/>
    <s v="Sales - ROW - GCC"/>
    <s v="Director 3"/>
    <s v="Remote - GCC"/>
    <s v="WFH"/>
    <d v="2026-06-07T00:00:00"/>
    <m/>
    <s v="Active"/>
    <m/>
    <x v="2"/>
    <n v="23"/>
    <n v="0"/>
    <s v="06-2026"/>
    <s v=""/>
    <n v="0"/>
    <n v="0"/>
  </r>
  <r>
    <s v="EMP1893"/>
    <s v="Exploring Infinities - Sales"/>
    <s v="SALES"/>
    <s v="Sales - ROW - GCC"/>
    <s v="Director 3"/>
    <s v="Remote - GCC"/>
    <s v="WFH"/>
    <d v="2026-06-07T00:00:00"/>
    <d v="2026-06-10T00:00:00"/>
    <s v="Relieved"/>
    <s v="Voluntary"/>
    <x v="8"/>
    <n v="3"/>
    <n v="1"/>
    <s v="06-2026"/>
    <s v="06-2026"/>
    <n v="1"/>
    <n v="0"/>
  </r>
  <r>
    <s v="EMP1838"/>
    <s v="Exploring Infinities - Sales"/>
    <s v="SALES"/>
    <s v="Sales - ROW - GCC"/>
    <s v="Director 3"/>
    <s v="Remote - GCC"/>
    <s v="WFH"/>
    <d v="2026-04-08T00:00:00"/>
    <d v="2026-06-15T00:00:00"/>
    <s v="Relieved"/>
    <s v="Involuntary"/>
    <x v="7"/>
    <n v="68"/>
    <n v="1"/>
    <s v="04-2026"/>
    <s v="06-2026"/>
    <n v="0"/>
    <n v="1"/>
  </r>
  <r>
    <s v="EMP1808"/>
    <s v="Exploring Infinities - Sales"/>
    <s v="SALES"/>
    <s v="Sales - ROW - GCC"/>
    <s v="Director 3"/>
    <s v="Remote - GCC"/>
    <s v="WFH"/>
    <d v="2025-02-08T00:00:00"/>
    <d v="2026-04-30T00:00:00"/>
    <s v="Relieved"/>
    <s v="Involuntary"/>
    <x v="1"/>
    <n v="446"/>
    <n v="1"/>
    <s v="02-2025"/>
    <s v="04-2026"/>
    <n v="0"/>
    <n v="1"/>
  </r>
  <r>
    <s v="EMP1870"/>
    <s v="Exploring Infinities - Sales"/>
    <s v="SALES"/>
    <s v="Sales - ROW - GCC"/>
    <s v="Director 3"/>
    <s v="Remote - GCC"/>
    <s v="WFH"/>
    <d v="2026-05-08T00:00:00"/>
    <m/>
    <s v="Active"/>
    <m/>
    <x v="2"/>
    <n v="53"/>
    <n v="0"/>
    <s v="05-2026"/>
    <s v=""/>
    <n v="0"/>
    <n v="0"/>
  </r>
  <r>
    <s v="EMP1842"/>
    <s v="Exploring Infinities - Sales"/>
    <s v="SALES"/>
    <s v="Sales - ROW - GCC"/>
    <s v="Director 3"/>
    <s v="Remote - GCC"/>
    <s v="WFH"/>
    <d v="2026-04-09T00:00:00"/>
    <d v="2026-04-09T00:00:00"/>
    <s v="Relieved"/>
    <s v="Voluntary"/>
    <x v="10"/>
    <n v="0"/>
    <n v="1"/>
    <s v="04-2026"/>
    <s v="04-2026"/>
    <n v="1"/>
    <n v="0"/>
  </r>
  <r>
    <s v="EMP1796"/>
    <s v="Exploring Infinities - Sales"/>
    <s v="SALES"/>
    <s v="Sales - ROW - GCC"/>
    <s v="Director 3"/>
    <s v="Remote - GCC"/>
    <s v="WFH"/>
    <d v="2026-02-09T00:00:00"/>
    <d v="2026-04-23T00:00:00"/>
    <s v="Relieved"/>
    <s v="Involuntary"/>
    <x v="1"/>
    <n v="73"/>
    <n v="1"/>
    <s v="02-2026"/>
    <s v="04-2026"/>
    <n v="0"/>
    <n v="1"/>
  </r>
  <r>
    <s v="EMP1894"/>
    <s v="Exploring Infinities - Sales"/>
    <s v="SALES"/>
    <s v="Sales - ROW - GCC"/>
    <s v="Director 3"/>
    <s v="Remote - GCC"/>
    <s v="WFH"/>
    <d v="2026-06-09T00:00:00"/>
    <d v="2026-06-09T00:00:00"/>
    <s v="Relieved"/>
    <s v="Voluntary"/>
    <x v="5"/>
    <n v="0"/>
    <n v="1"/>
    <s v="06-2026"/>
    <s v="06-2026"/>
    <n v="1"/>
    <n v="0"/>
  </r>
  <r>
    <s v="EMP1871"/>
    <s v="Exploring Infinities - Sales"/>
    <s v="SALES"/>
    <s v="Sales - ROW - GCC"/>
    <s v="Director 3"/>
    <s v="Remote - GCC"/>
    <s v="WFH"/>
    <d v="2026-05-09T00:00:00"/>
    <d v="2026-05-12T00:00:00"/>
    <s v="Relieved"/>
    <s v="Voluntary"/>
    <x v="10"/>
    <n v="3"/>
    <n v="1"/>
    <s v="05-2026"/>
    <s v="05-2026"/>
    <n v="1"/>
    <n v="0"/>
  </r>
  <r>
    <s v="EMP1822"/>
    <s v="Exploring Infinities - Sales"/>
    <s v="SALES"/>
    <s v="Sales - ROW - GCC"/>
    <s v="Director 3"/>
    <s v="Remote - GCC"/>
    <s v="WFH"/>
    <d v="2025-09-09T00:00:00"/>
    <m/>
    <s v="Active"/>
    <m/>
    <x v="2"/>
    <n v="294"/>
    <n v="0"/>
    <s v="09-2025"/>
    <s v=""/>
    <n v="0"/>
    <n v="0"/>
  </r>
  <r>
    <s v="EMP1836"/>
    <s v="Exploring Infinities - Sales"/>
    <s v="SALES"/>
    <s v="Sales - ROW - GCC"/>
    <s v="Director 3"/>
    <s v="Remote - GCC"/>
    <s v="WFH"/>
    <d v="2026-04-10T00:00:00"/>
    <m/>
    <s v="Active"/>
    <m/>
    <x v="2"/>
    <n v="81"/>
    <n v="0"/>
    <s v="04-2026"/>
    <s v=""/>
    <n v="0"/>
    <n v="0"/>
  </r>
  <r>
    <s v="EMP1856"/>
    <s v="Exploring Infinities - Sales"/>
    <s v="SALES"/>
    <s v="Sales - ROW - GCC"/>
    <s v="Director 3"/>
    <s v="Remote - GCC"/>
    <s v="WFH"/>
    <d v="2026-04-10T00:00:00"/>
    <d v="2026-05-22T00:00:00"/>
    <s v="Relieved"/>
    <s v="Voluntary"/>
    <x v="5"/>
    <n v="42"/>
    <n v="1"/>
    <s v="04-2026"/>
    <s v="05-2026"/>
    <n v="1"/>
    <n v="0"/>
  </r>
  <r>
    <s v="EMP1827"/>
    <s v="Exploring Infinities - Sales"/>
    <s v="SALES"/>
    <s v="Sales - ROW - GCC"/>
    <s v="Director 3"/>
    <s v="Remote - GCC"/>
    <s v="WFH"/>
    <d v="2025-08-10T00:00:00"/>
    <m/>
    <s v="Active"/>
    <m/>
    <x v="2"/>
    <n v="324"/>
    <n v="0"/>
    <s v="08-2025"/>
    <s v=""/>
    <n v="0"/>
    <n v="0"/>
  </r>
  <r>
    <s v="EMP1799"/>
    <s v="Exploring Infinities - Sales"/>
    <s v="SALES"/>
    <s v="Sales - ROW - GCC"/>
    <s v="Director 3"/>
    <s v="Remote - GCC"/>
    <s v="WFH"/>
    <d v="2025-02-10T00:00:00"/>
    <m/>
    <s v="Active"/>
    <m/>
    <x v="2"/>
    <n v="505"/>
    <n v="0"/>
    <s v="02-2025"/>
    <s v=""/>
    <n v="0"/>
    <n v="0"/>
  </r>
  <r>
    <s v="EMP1869"/>
    <s v="Exploring Infinities - Sales"/>
    <s v="SALES"/>
    <s v="Sales - ROW - GCC"/>
    <s v="Director 3"/>
    <s v="Remote - GCC"/>
    <s v="WFH"/>
    <d v="2026-05-10T00:00:00"/>
    <m/>
    <s v="Active"/>
    <m/>
    <x v="2"/>
    <n v="51"/>
    <n v="0"/>
    <s v="05-2026"/>
    <s v=""/>
    <n v="0"/>
    <n v="0"/>
  </r>
  <r>
    <s v="EMP1851"/>
    <s v="Exploring Infinities - Sales"/>
    <s v="SALES"/>
    <s v="Sales - ROW - GCC"/>
    <s v="Director 3"/>
    <s v="Remote - GCC"/>
    <s v="WFH"/>
    <d v="2026-04-11T00:00:00"/>
    <m/>
    <s v="Active"/>
    <m/>
    <x v="2"/>
    <n v="80"/>
    <n v="0"/>
    <s v="04-2026"/>
    <s v=""/>
    <n v="0"/>
    <n v="0"/>
  </r>
  <r>
    <s v="EMP1812"/>
    <s v="Exploring Infinities - Sales"/>
    <s v="SALES"/>
    <s v="Sales - ROW - GCC"/>
    <s v="Director 3"/>
    <s v="Remote - GCC"/>
    <s v="WFH"/>
    <d v="2025-11-11T00:00:00"/>
    <d v="2026-04-15T00:00:00"/>
    <s v="Relieved"/>
    <s v="Involuntary"/>
    <x v="7"/>
    <n v="155"/>
    <n v="1"/>
    <s v="11-2025"/>
    <s v="04-2026"/>
    <n v="0"/>
    <n v="1"/>
  </r>
  <r>
    <s v="EMP1825"/>
    <s v="Exploring Infinities - Sales"/>
    <s v="SALES"/>
    <s v="Sales - ROW - GCC"/>
    <s v="Director 3"/>
    <s v="Remote - GCC"/>
    <s v="WFH"/>
    <d v="2025-10-11T00:00:00"/>
    <m/>
    <s v="Active"/>
    <m/>
    <x v="2"/>
    <n v="262"/>
    <n v="0"/>
    <s v="10-2025"/>
    <s v=""/>
    <n v="0"/>
    <n v="0"/>
  </r>
  <r>
    <s v="EMP1852"/>
    <s v="Exploring Infinities - Sales"/>
    <s v="SALES"/>
    <s v="Sales - ROW - GCC"/>
    <s v="Director 3"/>
    <s v="Remote - GCC"/>
    <s v="WFH"/>
    <d v="2026-04-12T00:00:00"/>
    <d v="2026-04-12T00:00:00"/>
    <s v="Relieved"/>
    <s v="Voluntary"/>
    <x v="5"/>
    <n v="0"/>
    <n v="1"/>
    <s v="04-2026"/>
    <s v="04-2026"/>
    <n v="1"/>
    <n v="0"/>
  </r>
  <r>
    <s v="EMP1805"/>
    <s v="Exploring Infinities - Sales"/>
    <s v="SALES"/>
    <s v="Sales - ROW - GCC"/>
    <s v="Director 3"/>
    <s v="Remote - GCC"/>
    <s v="WFH"/>
    <d v="2025-08-12T00:00:00"/>
    <d v="2026-06-10T00:00:00"/>
    <s v="Relieved"/>
    <s v="Involuntary"/>
    <x v="9"/>
    <n v="302"/>
    <n v="1"/>
    <s v="08-2025"/>
    <s v="06-2026"/>
    <n v="0"/>
    <n v="1"/>
  </r>
  <r>
    <s v="EMP1826"/>
    <s v="Exploring Infinities - Sales"/>
    <s v="SALES"/>
    <s v="Sales - ROW - GCC"/>
    <s v="Director 3"/>
    <s v="Remote - GCC"/>
    <s v="WFH"/>
    <d v="2025-07-12T00:00:00"/>
    <d v="2026-04-11T00:00:00"/>
    <s v="Relieved"/>
    <s v="Involuntary"/>
    <x v="6"/>
    <n v="273"/>
    <n v="1"/>
    <s v="07-2025"/>
    <s v="04-2026"/>
    <n v="0"/>
    <n v="1"/>
  </r>
  <r>
    <s v="EMP1832"/>
    <s v="Exploring Infinities - Sales"/>
    <s v="SALES"/>
    <s v="Sales - ROW - GCC"/>
    <s v="Director 3"/>
    <s v="Remote - GCC"/>
    <s v="WFH"/>
    <d v="2026-04-13T00:00:00"/>
    <d v="2026-04-13T00:00:00"/>
    <s v="Relieved"/>
    <s v="Voluntary"/>
    <x v="10"/>
    <n v="0"/>
    <n v="1"/>
    <s v="04-2026"/>
    <s v="04-2026"/>
    <n v="1"/>
    <n v="0"/>
  </r>
  <r>
    <s v="EMP1844"/>
    <s v="Exploring Infinities - Sales"/>
    <s v="SALES"/>
    <s v="Sales - ROW - GCC"/>
    <s v="Director 3"/>
    <s v="Remote - GCC"/>
    <s v="WFH"/>
    <d v="2026-04-13T00:00:00"/>
    <m/>
    <s v="Active"/>
    <m/>
    <x v="2"/>
    <n v="78"/>
    <n v="0"/>
    <s v="04-2026"/>
    <s v=""/>
    <n v="0"/>
    <n v="0"/>
  </r>
  <r>
    <s v="EMP1850"/>
    <s v="Exploring Infinities - Sales"/>
    <s v="SALES"/>
    <s v="Sales - ROW - GCC"/>
    <s v="Director 3"/>
    <s v="Remote - GCC"/>
    <s v="WFH"/>
    <d v="2026-04-13T00:00:00"/>
    <d v="2026-04-13T00:00:00"/>
    <s v="Relieved"/>
    <s v="Voluntary"/>
    <x v="3"/>
    <n v="0"/>
    <n v="1"/>
    <s v="04-2026"/>
    <s v="04-2026"/>
    <n v="1"/>
    <n v="0"/>
  </r>
  <r>
    <s v="EMP1789"/>
    <s v="Exploring Infinities - Sales"/>
    <s v="SALES"/>
    <s v="Sales - ROW - GCC"/>
    <s v="Director 3"/>
    <s v="Remote - GCC"/>
    <s v="WFH"/>
    <d v="2025-12-13T00:00:00"/>
    <d v="2026-06-24T00:00:00"/>
    <s v="Relieved"/>
    <s v="Involuntary"/>
    <x v="1"/>
    <n v="193"/>
    <n v="1"/>
    <s v="12-2025"/>
    <s v="06-2026"/>
    <n v="0"/>
    <n v="1"/>
  </r>
  <r>
    <s v="EMP1880"/>
    <s v="Exploring Infinities - Sales"/>
    <s v="SALES"/>
    <s v="Sales - ROW - GCC"/>
    <s v="Director 3"/>
    <s v="Remote - GCC"/>
    <s v="WFH"/>
    <d v="2026-06-13T00:00:00"/>
    <m/>
    <s v="Active"/>
    <m/>
    <x v="2"/>
    <n v="17"/>
    <n v="0"/>
    <s v="06-2026"/>
    <s v=""/>
    <n v="0"/>
    <n v="0"/>
  </r>
  <r>
    <s v="EMP1889"/>
    <s v="Exploring Infinities - Sales"/>
    <s v="SALES"/>
    <s v="Sales - ROW - GCC"/>
    <s v="Director 3"/>
    <s v="Remote - GCC"/>
    <s v="WFH"/>
    <d v="2026-06-13T00:00:00"/>
    <d v="2026-06-13T00:00:00"/>
    <s v="Relieved"/>
    <s v="Voluntary"/>
    <x v="10"/>
    <n v="0"/>
    <n v="1"/>
    <s v="06-2026"/>
    <s v="06-2026"/>
    <n v="1"/>
    <n v="0"/>
  </r>
  <r>
    <s v="EMP1795"/>
    <s v="Exploring Infinities - Sales"/>
    <s v="SALES"/>
    <s v="Sales - ROW - GCC"/>
    <s v="Director 3"/>
    <s v="Remote - GCC"/>
    <s v="WFH"/>
    <d v="2025-03-13T00:00:00"/>
    <d v="2026-06-15T00:00:00"/>
    <s v="Relieved"/>
    <s v="Involuntary"/>
    <x v="9"/>
    <n v="459"/>
    <n v="1"/>
    <s v="03-2025"/>
    <s v="06-2026"/>
    <n v="0"/>
    <n v="1"/>
  </r>
  <r>
    <s v="EMP1794"/>
    <s v="Exploring Infinities - Sales"/>
    <s v="SALES"/>
    <s v="Sales - ROW - GCC"/>
    <s v="Director 3"/>
    <s v="Remote - GCC"/>
    <s v="WFH"/>
    <d v="2026-01-14T00:00:00"/>
    <d v="2026-05-21T00:00:00"/>
    <s v="Relieved"/>
    <s v="Involuntary"/>
    <x v="1"/>
    <n v="127"/>
    <n v="1"/>
    <s v="01-2026"/>
    <s v="05-2026"/>
    <n v="0"/>
    <n v="1"/>
  </r>
  <r>
    <s v="EMP1879"/>
    <s v="Exploring Infinities - Sales"/>
    <s v="SALES"/>
    <s v="Sales - ROW - GCC"/>
    <s v="Director 3"/>
    <s v="Remote - GCC"/>
    <s v="WFH"/>
    <d v="2026-06-14T00:00:00"/>
    <d v="2026-06-16T00:00:00"/>
    <s v="Relieved"/>
    <s v="Voluntary"/>
    <x v="5"/>
    <n v="2"/>
    <n v="1"/>
    <s v="06-2026"/>
    <s v="06-2026"/>
    <n v="1"/>
    <n v="0"/>
  </r>
  <r>
    <s v="EMP1888"/>
    <s v="Exploring Infinities - Sales"/>
    <s v="SALES"/>
    <s v="Sales - ROW - GCC"/>
    <s v="Director 3"/>
    <s v="Remote - GCC"/>
    <s v="WFH"/>
    <d v="2026-06-14T00:00:00"/>
    <d v="2026-06-25T00:00:00"/>
    <s v="Relieved"/>
    <s v="Voluntary"/>
    <x v="10"/>
    <n v="11"/>
    <n v="1"/>
    <s v="06-2026"/>
    <s v="06-2026"/>
    <n v="1"/>
    <n v="0"/>
  </r>
  <r>
    <s v="EMP1864"/>
    <s v="Exploring Infinities - Sales"/>
    <s v="SALES"/>
    <s v="Sales - ROW - GCC"/>
    <s v="Director 3"/>
    <s v="Remote - GCC"/>
    <s v="WFH"/>
    <d v="2026-05-14T00:00:00"/>
    <m/>
    <s v="Active"/>
    <m/>
    <x v="2"/>
    <n v="47"/>
    <n v="0"/>
    <s v="05-2026"/>
    <s v=""/>
    <n v="0"/>
    <n v="0"/>
  </r>
  <r>
    <s v="EMP1875"/>
    <s v="Exploring Infinities - Sales"/>
    <s v="SALES"/>
    <s v="Sales - ROW - GCC"/>
    <s v="Director 3"/>
    <s v="Remote - GCC"/>
    <s v="WFH"/>
    <d v="2026-05-14T00:00:00"/>
    <d v="2026-05-15T00:00:00"/>
    <s v="Relieved"/>
    <s v="Voluntary"/>
    <x v="5"/>
    <n v="1"/>
    <n v="1"/>
    <s v="05-2026"/>
    <s v="05-2026"/>
    <n v="1"/>
    <n v="0"/>
  </r>
  <r>
    <s v="EMP1800"/>
    <s v="Exploring Infinities - Sales"/>
    <s v="SALES"/>
    <s v="Sales - ROW - GCC"/>
    <s v="Director 3"/>
    <s v="Remote - GCC"/>
    <s v="WFH"/>
    <d v="2025-09-14T00:00:00"/>
    <d v="2026-06-04T00:00:00"/>
    <s v="Relieved"/>
    <s v="Voluntary"/>
    <x v="4"/>
    <n v="263"/>
    <n v="1"/>
    <s v="09-2025"/>
    <s v="06-2026"/>
    <n v="1"/>
    <n v="0"/>
  </r>
  <r>
    <s v="EMP1829"/>
    <s v="Exploring Infinities - Sales"/>
    <s v="SALES"/>
    <s v="Sales - ROW - GCC"/>
    <s v="Director 3"/>
    <s v="Remote - GCC"/>
    <s v="WFH"/>
    <d v="2025-12-15T00:00:00"/>
    <d v="2026-05-30T00:00:00"/>
    <s v="Relieved"/>
    <s v="Voluntary"/>
    <x v="3"/>
    <n v="166"/>
    <n v="1"/>
    <s v="12-2025"/>
    <s v="05-2026"/>
    <n v="1"/>
    <n v="0"/>
  </r>
  <r>
    <s v="EMP1886"/>
    <s v="Exploring Infinities - Sales"/>
    <s v="SALES"/>
    <s v="Sales - ROW - GCC"/>
    <s v="Director 3"/>
    <s v="Remote - GCC"/>
    <s v="WFH"/>
    <d v="2026-06-15T00:00:00"/>
    <m/>
    <s v="Active"/>
    <m/>
    <x v="2"/>
    <n v="15"/>
    <n v="0"/>
    <s v="06-2026"/>
    <s v=""/>
    <n v="0"/>
    <n v="0"/>
  </r>
  <r>
    <s v="EMP1817"/>
    <s v="Exploring Infinities - Sales"/>
    <s v="SALES"/>
    <s v="Sales - ROW - GCC"/>
    <s v="Director 3"/>
    <s v="Remote - GCC"/>
    <s v="WFH"/>
    <d v="2025-01-16T00:00:00"/>
    <m/>
    <s v="Active"/>
    <m/>
    <x v="2"/>
    <n v="530"/>
    <n v="0"/>
    <s v="01-2025"/>
    <s v=""/>
    <n v="0"/>
    <n v="0"/>
  </r>
  <r>
    <s v="EMP1792"/>
    <s v="Exploring Infinities - Sales"/>
    <s v="SALES"/>
    <s v="Sales - ROW - GCC"/>
    <s v="Director 3"/>
    <s v="Remote - GCC"/>
    <s v="WFH"/>
    <d v="2025-07-16T00:00:00"/>
    <d v="2026-04-19T00:00:00"/>
    <s v="Relieved"/>
    <s v="Involuntary"/>
    <x v="1"/>
    <n v="277"/>
    <n v="1"/>
    <s v="07-2025"/>
    <s v="04-2026"/>
    <n v="0"/>
    <n v="1"/>
  </r>
  <r>
    <s v="EMP1866"/>
    <s v="Exploring Infinities - Sales"/>
    <s v="SALES"/>
    <s v="Sales - ROW - GCC"/>
    <s v="Director 3"/>
    <s v="Remote - GCC"/>
    <s v="WFH"/>
    <d v="2026-05-16T00:00:00"/>
    <m/>
    <s v="Active"/>
    <m/>
    <x v="2"/>
    <n v="45"/>
    <n v="0"/>
    <s v="05-2026"/>
    <s v=""/>
    <n v="0"/>
    <n v="0"/>
  </r>
  <r>
    <s v="EMP1801"/>
    <s v="Exploring Infinities - Sales"/>
    <s v="SALES"/>
    <s v="Sales - ROW - GCC"/>
    <s v="Director 3"/>
    <s v="Remote - GCC"/>
    <s v="WFH"/>
    <d v="2026-01-17T00:00:00"/>
    <d v="2026-04-12T00:00:00"/>
    <s v="Relieved"/>
    <s v="Involuntary"/>
    <x v="9"/>
    <n v="85"/>
    <n v="1"/>
    <s v="01-2026"/>
    <s v="04-2026"/>
    <n v="0"/>
    <n v="1"/>
  </r>
  <r>
    <s v="EMP1816"/>
    <s v="Exploring Infinities - Sales"/>
    <s v="SALES"/>
    <s v="Sales - ROW - GCC"/>
    <s v="Director 3"/>
    <s v="Remote - GCC"/>
    <s v="WFH"/>
    <d v="2025-06-17T00:00:00"/>
    <d v="2026-05-08T00:00:00"/>
    <s v="Relieved"/>
    <s v="Involuntary"/>
    <x v="1"/>
    <n v="325"/>
    <n v="1"/>
    <s v="06-2025"/>
    <s v="05-2026"/>
    <n v="0"/>
    <n v="1"/>
  </r>
  <r>
    <s v="EMP1821"/>
    <s v="Exploring Infinities - Sales"/>
    <s v="SALES"/>
    <s v="Sales - ROW - GCC"/>
    <s v="Director 3"/>
    <s v="Remote - GCC"/>
    <s v="WFH"/>
    <d v="2025-08-19T00:00:00"/>
    <m/>
    <s v="Active"/>
    <m/>
    <x v="2"/>
    <n v="315"/>
    <n v="0"/>
    <s v="08-2025"/>
    <s v=""/>
    <n v="0"/>
    <n v="0"/>
  </r>
  <r>
    <s v="EMP1797"/>
    <s v="Exploring Infinities - Sales"/>
    <s v="SALES"/>
    <s v="Sales - ROW - GCC"/>
    <s v="Director 3"/>
    <s v="Remote - GCC"/>
    <s v="WFH"/>
    <d v="2025-12-19T00:00:00"/>
    <d v="2026-06-18T00:00:00"/>
    <s v="Relieved"/>
    <s v="Involuntary"/>
    <x v="1"/>
    <n v="181"/>
    <n v="1"/>
    <s v="12-2025"/>
    <s v="06-2026"/>
    <n v="0"/>
    <n v="1"/>
  </r>
  <r>
    <s v="EMP1791"/>
    <s v="Exploring Infinities - Sales"/>
    <s v="SALES"/>
    <s v="Sales - ROW - GCC"/>
    <s v="Director 3"/>
    <s v="Remote - GCC"/>
    <s v="WFH"/>
    <d v="2025-06-19T00:00:00"/>
    <d v="2026-06-25T00:00:00"/>
    <s v="Relieved"/>
    <s v="Involuntary"/>
    <x v="6"/>
    <n v="371"/>
    <n v="1"/>
    <s v="06-2025"/>
    <s v="06-2026"/>
    <n v="0"/>
    <n v="1"/>
  </r>
  <r>
    <s v="EMP1887"/>
    <s v="Exploring Infinities - Sales"/>
    <s v="SALES"/>
    <s v="Sales - ROW - GCC"/>
    <s v="Director 3"/>
    <s v="Remote - GCC"/>
    <s v="WFH"/>
    <d v="2026-06-19T00:00:00"/>
    <m/>
    <s v="Active"/>
    <m/>
    <x v="2"/>
    <n v="11"/>
    <n v="0"/>
    <s v="06-2026"/>
    <s v=""/>
    <n v="0"/>
    <n v="0"/>
  </r>
  <r>
    <s v="EMP1835"/>
    <s v="Exploring Infinities - Sales"/>
    <s v="SALES"/>
    <s v="Sales - ROW - GCC"/>
    <s v="Director 3"/>
    <s v="Remote - GCC"/>
    <s v="WFH"/>
    <d v="2026-04-20T00:00:00"/>
    <m/>
    <s v="Active"/>
    <m/>
    <x v="2"/>
    <n v="71"/>
    <n v="0"/>
    <s v="04-2026"/>
    <s v=""/>
    <n v="0"/>
    <n v="0"/>
  </r>
  <r>
    <s v="EMP1804"/>
    <s v="Exploring Infinities - Sales"/>
    <s v="SALES"/>
    <s v="Sales - ROW - GCC"/>
    <s v="Director 3"/>
    <s v="Remote - GCC"/>
    <s v="WFH"/>
    <d v="2025-02-20T00:00:00"/>
    <m/>
    <s v="Active"/>
    <m/>
    <x v="2"/>
    <n v="495"/>
    <n v="0"/>
    <s v="02-2025"/>
    <s v=""/>
    <n v="0"/>
    <n v="0"/>
  </r>
  <r>
    <s v="EMP1883"/>
    <s v="Exploring Infinities - Sales"/>
    <s v="SALES"/>
    <s v="Sales - ROW - GCC"/>
    <s v="Director 3"/>
    <s v="Remote - GCC"/>
    <s v="WFH"/>
    <d v="2026-06-20T00:00:00"/>
    <m/>
    <s v="Active"/>
    <m/>
    <x v="2"/>
    <n v="10"/>
    <n v="0"/>
    <s v="06-2026"/>
    <s v=""/>
    <n v="0"/>
    <n v="0"/>
  </r>
  <r>
    <s v="EMP1819"/>
    <s v="Exploring Infinities - Sales"/>
    <s v="SALES"/>
    <s v="Sales - ROW - GCC"/>
    <s v="Director 3"/>
    <s v="Remote - GCC"/>
    <s v="WFH"/>
    <d v="2025-05-20T00:00:00"/>
    <d v="2026-06-25T00:00:00"/>
    <s v="Relieved"/>
    <s v="Involuntary"/>
    <x v="1"/>
    <n v="401"/>
    <n v="1"/>
    <s v="05-2025"/>
    <s v="06-2026"/>
    <n v="0"/>
    <n v="1"/>
  </r>
  <r>
    <s v="EMP1847"/>
    <s v="Exploring Infinities - Sales"/>
    <s v="SALES"/>
    <s v="Sales - ROW - GCC"/>
    <s v="Director 3"/>
    <s v="Remote - GCC"/>
    <s v="WFH"/>
    <d v="2026-04-21T00:00:00"/>
    <m/>
    <s v="Active"/>
    <m/>
    <x v="2"/>
    <n v="70"/>
    <n v="0"/>
    <s v="04-2026"/>
    <s v=""/>
    <n v="0"/>
    <n v="0"/>
  </r>
  <r>
    <s v="EMP1877"/>
    <s v="Exploring Infinities - Sales"/>
    <s v="SALES"/>
    <s v="Sales - ROW - GCC"/>
    <s v="Director 3"/>
    <s v="Remote - GCC"/>
    <s v="WFH"/>
    <d v="2026-06-21T00:00:00"/>
    <d v="2026-06-21T00:00:00"/>
    <s v="Relieved"/>
    <s v="Voluntary"/>
    <x v="4"/>
    <n v="0"/>
    <n v="1"/>
    <s v="06-2026"/>
    <s v="06-2026"/>
    <n v="1"/>
    <n v="0"/>
  </r>
  <r>
    <s v="EMP1868"/>
    <s v="Exploring Infinities - Sales"/>
    <s v="SALES"/>
    <s v="Sales - ROW - GCC"/>
    <s v="Director 3"/>
    <s v="Remote - GCC"/>
    <s v="WFH"/>
    <d v="2026-05-21T00:00:00"/>
    <d v="2026-05-21T00:00:00"/>
    <s v="Relieved"/>
    <s v="Voluntary"/>
    <x v="0"/>
    <n v="0"/>
    <n v="1"/>
    <s v="05-2026"/>
    <s v="05-2026"/>
    <n v="1"/>
    <n v="0"/>
  </r>
  <r>
    <s v="EMP1818"/>
    <s v="Exploring Infinities - Sales"/>
    <s v="SALES"/>
    <s v="Sales - ROW - GCC"/>
    <s v="Director 3"/>
    <s v="Remote - GCC"/>
    <s v="WFH"/>
    <d v="2025-11-21T00:00:00"/>
    <m/>
    <s v="Active"/>
    <m/>
    <x v="2"/>
    <n v="221"/>
    <n v="0"/>
    <s v="11-2025"/>
    <s v=""/>
    <n v="0"/>
    <n v="0"/>
  </r>
  <r>
    <s v="EMP1831"/>
    <s v="Exploring Infinities - Sales"/>
    <s v="SALES"/>
    <s v="Sales - ROW - GCC"/>
    <s v="Director 3"/>
    <s v="Remote - GCC"/>
    <s v="WFH"/>
    <d v="2026-04-22T00:00:00"/>
    <d v="2026-04-23T00:00:00"/>
    <s v="Relieved"/>
    <s v="Involuntary"/>
    <x v="6"/>
    <n v="1"/>
    <n v="1"/>
    <s v="04-2026"/>
    <s v="04-2026"/>
    <n v="0"/>
    <n v="1"/>
  </r>
  <r>
    <s v="EMP1793"/>
    <s v="Exploring Infinities - Sales"/>
    <s v="SALES"/>
    <s v="Sales - ROW - GCC"/>
    <s v="Director 3"/>
    <s v="Remote - GCC"/>
    <s v="WFH"/>
    <d v="2026-01-22T00:00:00"/>
    <d v="2026-05-21T00:00:00"/>
    <s v="Relieved"/>
    <s v="Voluntary"/>
    <x v="8"/>
    <n v="119"/>
    <n v="1"/>
    <s v="01-2026"/>
    <s v="05-2026"/>
    <n v="1"/>
    <n v="0"/>
  </r>
  <r>
    <s v="EMP1878"/>
    <s v="Exploring Infinities - Sales"/>
    <s v="SALES"/>
    <s v="Sales - ROW - GCC"/>
    <s v="Director 3"/>
    <s v="Remote - GCC"/>
    <s v="WFH"/>
    <d v="2026-06-22T00:00:00"/>
    <m/>
    <s v="Active"/>
    <m/>
    <x v="2"/>
    <n v="8"/>
    <n v="0"/>
    <s v="06-2026"/>
    <s v=""/>
    <n v="0"/>
    <n v="0"/>
  </r>
  <r>
    <s v="EMP1865"/>
    <s v="Exploring Infinities - Sales"/>
    <s v="SALES"/>
    <s v="Sales - ROW - GCC"/>
    <s v="Director 3"/>
    <s v="Remote - GCC"/>
    <s v="WFH"/>
    <d v="2026-05-22T00:00:00"/>
    <m/>
    <s v="Active"/>
    <m/>
    <x v="2"/>
    <n v="39"/>
    <n v="0"/>
    <s v="05-2026"/>
    <s v=""/>
    <n v="0"/>
    <n v="0"/>
  </r>
  <r>
    <s v="EMP1872"/>
    <s v="Exploring Infinities - Sales"/>
    <s v="SALES"/>
    <s v="Sales - ROW - GCC"/>
    <s v="Director 3"/>
    <s v="Remote - GCC"/>
    <s v="WFH"/>
    <d v="2026-05-22T00:00:00"/>
    <d v="2026-05-22T00:00:00"/>
    <s v="Relieved"/>
    <s v="Voluntary"/>
    <x v="8"/>
    <n v="0"/>
    <n v="1"/>
    <s v="05-2026"/>
    <s v="05-2026"/>
    <n v="1"/>
    <n v="0"/>
  </r>
  <r>
    <s v="EMP1839"/>
    <s v="Exploring Infinities - Sales"/>
    <s v="SALES"/>
    <s v="Sales - ROW - GCC"/>
    <s v="Director 3"/>
    <s v="Remote - GCC"/>
    <s v="WFH"/>
    <d v="2026-04-23T00:00:00"/>
    <m/>
    <s v="Active"/>
    <m/>
    <x v="2"/>
    <n v="68"/>
    <n v="0"/>
    <s v="04-2026"/>
    <s v=""/>
    <n v="0"/>
    <n v="0"/>
  </r>
  <r>
    <s v="EMP1845"/>
    <s v="Exploring Infinities - Sales"/>
    <s v="SALES"/>
    <s v="Sales - ROW - GCC"/>
    <s v="Director 3"/>
    <s v="Remote - GCC"/>
    <s v="WFH"/>
    <d v="2026-04-23T00:00:00"/>
    <d v="2026-06-14T00:00:00"/>
    <s v="Relieved"/>
    <s v="Involuntary"/>
    <x v="9"/>
    <n v="52"/>
    <n v="1"/>
    <s v="04-2026"/>
    <s v="06-2026"/>
    <n v="0"/>
    <n v="1"/>
  </r>
  <r>
    <s v="EMP1814"/>
    <s v="Exploring Infinities - Sales"/>
    <s v="SALES"/>
    <s v="Sales - ROW - GCC"/>
    <s v="Director 3"/>
    <s v="Remote - GCC"/>
    <s v="WFH"/>
    <d v="2025-07-23T00:00:00"/>
    <d v="2026-04-19T00:00:00"/>
    <s v="Relieved"/>
    <s v="Involuntary"/>
    <x v="1"/>
    <n v="270"/>
    <n v="1"/>
    <s v="07-2025"/>
    <s v="04-2026"/>
    <n v="0"/>
    <n v="1"/>
  </r>
  <r>
    <s v="EMP1891"/>
    <s v="Exploring Infinities - Sales"/>
    <s v="SALES"/>
    <s v="Sales - ROW - GCC"/>
    <s v="Director 3"/>
    <s v="Remote - GCC"/>
    <s v="WFH"/>
    <d v="2026-06-23T00:00:00"/>
    <d v="2026-06-23T00:00:00"/>
    <s v="Relieved"/>
    <s v="Voluntary"/>
    <x v="4"/>
    <n v="0"/>
    <n v="1"/>
    <s v="06-2026"/>
    <s v="06-2026"/>
    <n v="1"/>
    <n v="0"/>
  </r>
  <r>
    <s v="EMP1896"/>
    <s v="Exploring Infinities - Sales"/>
    <s v="SALES"/>
    <s v="Sales - ROW - GCC"/>
    <s v="Director 3"/>
    <s v="Remote - GCC"/>
    <s v="WFH"/>
    <d v="2026-06-23T00:00:00"/>
    <d v="2026-06-23T00:00:00"/>
    <s v="Relieved"/>
    <s v="Voluntary"/>
    <x v="0"/>
    <n v="0"/>
    <n v="1"/>
    <s v="06-2026"/>
    <s v="06-2026"/>
    <n v="1"/>
    <n v="0"/>
  </r>
  <r>
    <s v="EMP1858"/>
    <s v="Exploring Infinities - Sales"/>
    <s v="SALES"/>
    <s v="Sales - ROW - GCC"/>
    <s v="Director 3"/>
    <s v="Remote - GCC"/>
    <s v="WFH"/>
    <d v="2026-05-23T00:00:00"/>
    <d v="2026-05-23T00:00:00"/>
    <s v="Relieved"/>
    <s v="Voluntary"/>
    <x v="10"/>
    <n v="0"/>
    <n v="1"/>
    <s v="05-2026"/>
    <s v="05-2026"/>
    <n v="1"/>
    <n v="0"/>
  </r>
  <r>
    <s v="EMP1874"/>
    <s v="Exploring Infinities - Sales"/>
    <s v="SALES"/>
    <s v="Sales - ROW - GCC"/>
    <s v="Director 3"/>
    <s v="Remote - GCC"/>
    <s v="WFH"/>
    <d v="2026-05-23T00:00:00"/>
    <d v="2026-05-23T00:00:00"/>
    <s v="Relieved"/>
    <s v="Voluntary"/>
    <x v="10"/>
    <n v="0"/>
    <n v="1"/>
    <s v="05-2026"/>
    <s v="05-2026"/>
    <n v="1"/>
    <n v="0"/>
  </r>
  <r>
    <s v="EMP1849"/>
    <s v="Exploring Infinities - Sales"/>
    <s v="SALES"/>
    <s v="Sales - ROW - GCC"/>
    <s v="Director 3"/>
    <s v="Remote - GCC"/>
    <s v="WFH"/>
    <d v="2026-04-24T00:00:00"/>
    <d v="2026-04-24T00:00:00"/>
    <s v="Relieved"/>
    <s v="Voluntary"/>
    <x v="3"/>
    <n v="0"/>
    <n v="1"/>
    <s v="04-2026"/>
    <s v="04-2026"/>
    <n v="1"/>
    <n v="0"/>
  </r>
  <r>
    <s v="EMP1809"/>
    <s v="Exploring Infinities - Sales"/>
    <s v="SALES"/>
    <s v="Sales - ROW - GCC"/>
    <s v="Director 3"/>
    <s v="Remote - GCC"/>
    <s v="WFH"/>
    <d v="2025-06-24T00:00:00"/>
    <m/>
    <s v="Active"/>
    <m/>
    <x v="2"/>
    <n v="371"/>
    <n v="0"/>
    <s v="06-2025"/>
    <s v=""/>
    <n v="0"/>
    <n v="0"/>
  </r>
  <r>
    <s v="EMP1882"/>
    <s v="Exploring Infinities - Sales"/>
    <s v="SALES"/>
    <s v="Sales - ROW - GCC"/>
    <s v="Director 3"/>
    <s v="Remote - GCC"/>
    <s v="WFH"/>
    <d v="2026-06-24T00:00:00"/>
    <d v="2026-06-24T00:00:00"/>
    <s v="Relieved"/>
    <s v="Voluntary"/>
    <x v="3"/>
    <n v="0"/>
    <n v="1"/>
    <s v="06-2026"/>
    <s v="06-2026"/>
    <n v="1"/>
    <n v="0"/>
  </r>
  <r>
    <s v="EMP1834"/>
    <s v="Exploring Infinities - Sales"/>
    <s v="SALES"/>
    <s v="Sales - ROW - GCC"/>
    <s v="Director 3"/>
    <s v="Remote - GCC"/>
    <s v="WFH"/>
    <d v="2026-04-25T00:00:00"/>
    <m/>
    <s v="Active"/>
    <m/>
    <x v="2"/>
    <n v="66"/>
    <n v="0"/>
    <s v="04-2026"/>
    <s v=""/>
    <n v="0"/>
    <n v="0"/>
  </r>
  <r>
    <s v="EMP1895"/>
    <s v="Exploring Infinities - Sales"/>
    <s v="SALES"/>
    <s v="Sales - ROW - GCC"/>
    <s v="Director 3"/>
    <s v="Remote - GCC"/>
    <s v="WFH"/>
    <d v="2026-06-25T00:00:00"/>
    <d v="2026-06-25T00:00:00"/>
    <s v="Relieved"/>
    <s v="Voluntary"/>
    <x v="3"/>
    <n v="0"/>
    <n v="1"/>
    <s v="06-2026"/>
    <s v="06-2026"/>
    <n v="1"/>
    <n v="0"/>
  </r>
  <r>
    <s v="EMP1837"/>
    <s v="Exploring Infinities - Sales"/>
    <s v="SALES"/>
    <s v="Sales - ROW - GCC"/>
    <s v="Director 3"/>
    <s v="Remote - GCC"/>
    <s v="WFH"/>
    <d v="2026-04-26T00:00:00"/>
    <d v="2026-05-31T00:00:00"/>
    <s v="Relieved"/>
    <s v="Involuntary"/>
    <x v="6"/>
    <n v="35"/>
    <n v="1"/>
    <s v="04-2026"/>
    <s v="05-2026"/>
    <n v="0"/>
    <n v="1"/>
  </r>
  <r>
    <s v="EMP1846"/>
    <s v="Exploring Infinities - Sales"/>
    <s v="SALES"/>
    <s v="Sales - ROW - GCC"/>
    <s v="Director 3"/>
    <s v="Remote - GCC"/>
    <s v="WFH"/>
    <d v="2026-04-26T00:00:00"/>
    <m/>
    <s v="Active"/>
    <m/>
    <x v="2"/>
    <n v="65"/>
    <n v="0"/>
    <s v="04-2026"/>
    <s v=""/>
    <n v="0"/>
    <n v="0"/>
  </r>
  <r>
    <s v="EMP1897"/>
    <s v="Exploring Infinities - Sales"/>
    <s v="SALES"/>
    <s v="Sales - ROW - GCC"/>
    <s v="Director 3"/>
    <s v="Remote - GCC"/>
    <s v="WFH"/>
    <d v="2026-06-26T00:00:00"/>
    <m/>
    <s v="Active"/>
    <m/>
    <x v="2"/>
    <n v="4"/>
    <n v="0"/>
    <s v="06-2026"/>
    <s v=""/>
    <n v="0"/>
    <n v="0"/>
  </r>
  <r>
    <s v="EMP1862"/>
    <s v="Exploring Infinities - Sales"/>
    <s v="SALES"/>
    <s v="Sales - ROW - GCC"/>
    <s v="Director 3"/>
    <s v="Remote - GCC"/>
    <s v="WFH"/>
    <d v="2026-05-26T00:00:00"/>
    <m/>
    <s v="Active"/>
    <m/>
    <x v="2"/>
    <n v="35"/>
    <n v="0"/>
    <s v="05-2026"/>
    <s v=""/>
    <n v="0"/>
    <n v="0"/>
  </r>
  <r>
    <s v="EMP1863"/>
    <s v="Exploring Infinities - Sales"/>
    <s v="SALES"/>
    <s v="Sales - ROW - GCC"/>
    <s v="Director 3"/>
    <s v="Remote - GCC"/>
    <s v="WFH"/>
    <d v="2026-05-26T00:00:00"/>
    <m/>
    <s v="Active"/>
    <m/>
    <x v="2"/>
    <n v="35"/>
    <n v="0"/>
    <s v="05-2026"/>
    <s v=""/>
    <n v="0"/>
    <n v="0"/>
  </r>
  <r>
    <s v="EMP1823"/>
    <s v="Exploring Infinities - Sales"/>
    <s v="SALES"/>
    <s v="Sales - ROW - GCC"/>
    <s v="Director 3"/>
    <s v="Remote - GCC"/>
    <s v="WFH"/>
    <d v="2025-04-27T00:00:00"/>
    <m/>
    <s v="Active"/>
    <m/>
    <x v="2"/>
    <n v="429"/>
    <n v="0"/>
    <s v="04-2025"/>
    <s v=""/>
    <n v="0"/>
    <n v="0"/>
  </r>
  <r>
    <s v="EMP1802"/>
    <s v="Exploring Infinities - Sales"/>
    <s v="SALES"/>
    <s v="Sales - ROW - GCC"/>
    <s v="Director 3"/>
    <s v="Remote - GCC"/>
    <s v="WFH"/>
    <d v="2025-06-27T00:00:00"/>
    <m/>
    <s v="Active"/>
    <m/>
    <x v="2"/>
    <n v="368"/>
    <n v="0"/>
    <s v="06-2025"/>
    <s v=""/>
    <n v="0"/>
    <n v="0"/>
  </r>
  <r>
    <s v="EMP1857"/>
    <s v="Exploring Infinities - Sales"/>
    <s v="SALES"/>
    <s v="Sales - ROW - GCC"/>
    <s v="Director 3"/>
    <s v="Remote - GCC"/>
    <s v="WFH"/>
    <d v="2026-05-27T00:00:00"/>
    <m/>
    <s v="Active"/>
    <m/>
    <x v="2"/>
    <n v="34"/>
    <n v="0"/>
    <s v="05-2026"/>
    <s v=""/>
    <n v="0"/>
    <n v="0"/>
  </r>
  <r>
    <s v="EMP1860"/>
    <s v="Exploring Infinities - Sales"/>
    <s v="SALES"/>
    <s v="Sales - ROW - GCC"/>
    <s v="Director 3"/>
    <s v="Remote - GCC"/>
    <s v="WFH"/>
    <d v="2026-05-27T00:00:00"/>
    <d v="2026-05-27T00:00:00"/>
    <s v="Relieved"/>
    <s v="Voluntary"/>
    <x v="3"/>
    <n v="0"/>
    <n v="1"/>
    <s v="05-2026"/>
    <s v="05-2026"/>
    <n v="1"/>
    <n v="0"/>
  </r>
  <r>
    <s v="EMP1830"/>
    <s v="Exploring Infinities - Sales"/>
    <s v="SALES"/>
    <s v="Sales - ROW - GCC"/>
    <s v="Director 3"/>
    <s v="Remote - GCC"/>
    <s v="WFH"/>
    <d v="2025-10-27T00:00:00"/>
    <d v="2026-05-18T00:00:00"/>
    <s v="Relieved"/>
    <s v="Involuntary"/>
    <x v="1"/>
    <n v="203"/>
    <n v="1"/>
    <s v="10-2025"/>
    <s v="05-2026"/>
    <n v="0"/>
    <n v="1"/>
  </r>
  <r>
    <s v="EMP1803"/>
    <s v="Exploring Infinities - Sales"/>
    <s v="SALES"/>
    <s v="Sales - ROW - GCC"/>
    <s v="Director 3"/>
    <s v="Remote - GCC"/>
    <s v="WFH"/>
    <d v="2025-01-28T00:00:00"/>
    <d v="2026-04-22T00:00:00"/>
    <s v="Relieved"/>
    <s v="Involuntary"/>
    <x v="9"/>
    <n v="449"/>
    <n v="1"/>
    <s v="01-2025"/>
    <s v="04-2026"/>
    <n v="0"/>
    <n v="1"/>
  </r>
  <r>
    <s v="EMP1861"/>
    <s v="Exploring Infinities - Sales"/>
    <s v="SALES"/>
    <s v="Sales - ROW - GCC"/>
    <s v="Director 3"/>
    <s v="Remote - GCC"/>
    <s v="WFH"/>
    <d v="2026-05-28T00:00:00"/>
    <d v="2026-05-28T00:00:00"/>
    <s v="Relieved"/>
    <s v="Voluntary"/>
    <x v="3"/>
    <n v="0"/>
    <n v="1"/>
    <s v="05-2026"/>
    <s v="05-2026"/>
    <n v="1"/>
    <n v="0"/>
  </r>
  <r>
    <s v="EMP1806"/>
    <s v="Exploring Infinities - Sales"/>
    <s v="SALES"/>
    <s v="Sales - ROW - GCC"/>
    <s v="Director 3"/>
    <s v="Remote - GCC"/>
    <s v="WFH"/>
    <d v="2025-04-29T00:00:00"/>
    <d v="2026-05-28T00:00:00"/>
    <s v="Relieved"/>
    <s v="Voluntary"/>
    <x v="0"/>
    <n v="394"/>
    <n v="1"/>
    <s v="04-2025"/>
    <s v="05-2026"/>
    <n v="1"/>
    <n v="0"/>
  </r>
  <r>
    <s v="EMP1811"/>
    <s v="Exploring Infinities - Sales"/>
    <s v="SALES"/>
    <s v="Sales - ROW - GCC"/>
    <s v="Director 3"/>
    <s v="Remote - GCC"/>
    <s v="WFH"/>
    <d v="2026-01-29T00:00:00"/>
    <m/>
    <s v="Active"/>
    <m/>
    <x v="2"/>
    <n v="152"/>
    <n v="0"/>
    <s v="01-2026"/>
    <s v=""/>
    <n v="0"/>
    <n v="0"/>
  </r>
  <r>
    <s v="EMP1884"/>
    <s v="Exploring Infinities - Sales"/>
    <s v="SALES"/>
    <s v="Sales - ROW - GCC"/>
    <s v="Director 3"/>
    <s v="Remote - GCC"/>
    <s v="WFH"/>
    <d v="2026-06-29T00:00:00"/>
    <d v="2026-06-29T00:00:00"/>
    <s v="Relieved"/>
    <s v="Voluntary"/>
    <x v="5"/>
    <n v="0"/>
    <n v="1"/>
    <s v="06-2026"/>
    <s v="06-2026"/>
    <n v="1"/>
    <n v="0"/>
  </r>
  <r>
    <m/>
    <m/>
    <m/>
    <m/>
    <m/>
    <m/>
    <m/>
    <m/>
    <m/>
    <m/>
    <m/>
    <x v="2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8">
  <r>
    <s v="EMP1644"/>
    <s v="Exploring Infinities - Sales"/>
    <s v="SALES"/>
    <s v="Sales - English - India"/>
    <s v="Director 2"/>
    <s v="Hyderabad"/>
    <s v="WFH"/>
    <d v="2026-04-01T00:00:00"/>
    <d v="2026-04-23T00:00:00"/>
    <s v="Relieved"/>
    <s v="Voluntary"/>
    <x v="0"/>
    <n v="22"/>
    <n v="1"/>
    <s v="04-2026"/>
    <s v="04-2026"/>
    <n v="1"/>
    <n v="0"/>
    <x v="0"/>
  </r>
  <r>
    <s v="EMP1639"/>
    <s v="Exploring Infinities - Sales"/>
    <s v="SALES"/>
    <s v="Sales - English - India"/>
    <s v="Director 2"/>
    <s v="Hyderabad"/>
    <s v="WFH"/>
    <d v="2025-12-01T00:00:00"/>
    <d v="2026-06-09T00:00:00"/>
    <s v="Relieved"/>
    <s v="Involuntary"/>
    <x v="1"/>
    <n v="190"/>
    <n v="1"/>
    <s v="12-2025"/>
    <s v="06-2026"/>
    <n v="0"/>
    <n v="1"/>
    <x v="1"/>
  </r>
  <r>
    <s v="EMP1656"/>
    <s v="Exploring Infinities - Sales"/>
    <s v="SALES"/>
    <s v="Sales - English - India"/>
    <s v="Director 2"/>
    <s v="Hyderabad"/>
    <s v="WFH"/>
    <d v="2026-04-02T00:00:00"/>
    <m/>
    <s v="Active"/>
    <m/>
    <x v="2"/>
    <n v="89"/>
    <n v="0"/>
    <s v="04-2026"/>
    <s v=""/>
    <n v="0"/>
    <n v="0"/>
    <x v="0"/>
  </r>
  <r>
    <s v="EMP1658"/>
    <s v="Exploring Infinities - Sales"/>
    <s v="SALES"/>
    <s v="Sales - English - India"/>
    <s v="Director 2"/>
    <s v="Hyderabad"/>
    <s v="WFH"/>
    <d v="2026-04-02T00:00:00"/>
    <m/>
    <s v="Active"/>
    <m/>
    <x v="2"/>
    <n v="89"/>
    <n v="0"/>
    <s v="04-2026"/>
    <s v=""/>
    <n v="0"/>
    <n v="0"/>
    <x v="0"/>
  </r>
  <r>
    <s v="EMP1692"/>
    <s v="Exploring Infinities - Sales"/>
    <s v="SALES"/>
    <s v="Sales - English - India"/>
    <s v="Director 2"/>
    <s v="Hyderabad"/>
    <s v="WFH"/>
    <d v="2026-04-02T00:00:00"/>
    <d v="2026-04-20T00:00:00"/>
    <s v="Relieved"/>
    <s v="Voluntary"/>
    <x v="3"/>
    <n v="18"/>
    <n v="1"/>
    <s v="04-2026"/>
    <s v="04-2026"/>
    <n v="1"/>
    <n v="0"/>
    <x v="0"/>
  </r>
  <r>
    <s v="EMP1693"/>
    <s v="Exploring Infinities - Sales"/>
    <s v="SALES"/>
    <s v="Sales - English - India"/>
    <s v="Director 2"/>
    <s v="Hyderabad"/>
    <s v="WFH"/>
    <d v="2026-04-02T00:00:00"/>
    <d v="2026-05-19T00:00:00"/>
    <s v="Relieved"/>
    <s v="Involuntary"/>
    <x v="1"/>
    <n v="47"/>
    <n v="1"/>
    <s v="04-2026"/>
    <s v="05-2026"/>
    <n v="0"/>
    <n v="1"/>
    <x v="0"/>
  </r>
  <r>
    <s v="EMP1694"/>
    <s v="Exploring Infinities - Sales"/>
    <s v="SALES"/>
    <s v="Sales - English - India"/>
    <s v="Director 2"/>
    <s v="Hyderabad"/>
    <s v="WFH"/>
    <d v="2026-04-02T00:00:00"/>
    <d v="2026-04-09T00:00:00"/>
    <s v="Relieved"/>
    <s v="Voluntary"/>
    <x v="4"/>
    <n v="7"/>
    <n v="1"/>
    <s v="04-2026"/>
    <s v="04-2026"/>
    <n v="1"/>
    <n v="0"/>
    <x v="0"/>
  </r>
  <r>
    <s v="EMP1713"/>
    <s v="Exploring Infinities - Sales"/>
    <s v="SALES"/>
    <s v="Sales - English - India"/>
    <s v="Director 2"/>
    <s v="Hyderabad"/>
    <s v="WFH"/>
    <d v="2026-06-02T00:00:00"/>
    <m/>
    <s v="Active"/>
    <m/>
    <x v="2"/>
    <n v="28"/>
    <n v="0"/>
    <s v="06-2026"/>
    <s v=""/>
    <n v="0"/>
    <n v="0"/>
    <x v="0"/>
  </r>
  <r>
    <s v="EMP1636"/>
    <s v="Exploring Infinities - Sales"/>
    <s v="SALES"/>
    <s v="Sales - English - India"/>
    <s v="Director 2"/>
    <s v="Hyderabad"/>
    <s v="WFH"/>
    <d v="2025-11-02T00:00:00"/>
    <m/>
    <s v="Active"/>
    <m/>
    <x v="2"/>
    <n v="240"/>
    <n v="0"/>
    <s v="11-2025"/>
    <s v=""/>
    <n v="0"/>
    <n v="0"/>
    <x v="1"/>
  </r>
  <r>
    <s v="EMP1665"/>
    <s v="Exploring Infinities - Sales"/>
    <s v="SALES"/>
    <s v="Sales - English - India"/>
    <s v="Director 2"/>
    <s v="Hyderabad"/>
    <s v="WFH"/>
    <d v="2026-04-03T00:00:00"/>
    <d v="2026-04-22T00:00:00"/>
    <s v="Relieved"/>
    <s v="Voluntary"/>
    <x v="5"/>
    <n v="19"/>
    <n v="1"/>
    <s v="04-2026"/>
    <s v="04-2026"/>
    <n v="1"/>
    <n v="0"/>
    <x v="0"/>
  </r>
  <r>
    <s v="EMP1711"/>
    <s v="Exploring Infinities - Sales"/>
    <s v="SALES"/>
    <s v="Sales - English - India"/>
    <s v="Director 2"/>
    <s v="Hyderabad"/>
    <s v="WFH"/>
    <d v="2026-06-03T00:00:00"/>
    <d v="2026-06-22T00:00:00"/>
    <s v="Relieved"/>
    <s v="Voluntary"/>
    <x v="3"/>
    <n v="19"/>
    <n v="1"/>
    <s v="06-2026"/>
    <s v="06-2026"/>
    <n v="1"/>
    <n v="0"/>
    <x v="0"/>
  </r>
  <r>
    <s v="EMP1646"/>
    <s v="Exploring Infinities - Sales"/>
    <s v="SALES"/>
    <s v="Sales - English - India"/>
    <s v="Director 2"/>
    <s v="Hyderabad"/>
    <s v="WFH"/>
    <d v="2026-04-04T00:00:00"/>
    <d v="2026-05-24T00:00:00"/>
    <s v="Relieved"/>
    <s v="Involuntary"/>
    <x v="1"/>
    <n v="50"/>
    <n v="1"/>
    <s v="04-2026"/>
    <s v="05-2026"/>
    <n v="0"/>
    <n v="1"/>
    <x v="0"/>
  </r>
  <r>
    <s v="EMP1676"/>
    <s v="Exploring Infinities - Sales"/>
    <s v="SALES"/>
    <s v="Sales - English - India"/>
    <s v="Director 2"/>
    <s v="Hyderabad"/>
    <s v="WFH"/>
    <d v="2026-04-04T00:00:00"/>
    <d v="2026-05-02T00:00:00"/>
    <s v="Relieved"/>
    <s v="Involuntary"/>
    <x v="6"/>
    <n v="28"/>
    <n v="1"/>
    <s v="04-2026"/>
    <s v="05-2026"/>
    <n v="0"/>
    <n v="1"/>
    <x v="0"/>
  </r>
  <r>
    <s v="EMP1678"/>
    <s v="Exploring Infinities - Sales"/>
    <s v="SALES"/>
    <s v="Sales - English - India"/>
    <s v="Director 2"/>
    <s v="Hyderabad"/>
    <s v="WFH"/>
    <d v="2026-04-04T00:00:00"/>
    <d v="2026-04-19T00:00:00"/>
    <s v="Relieved"/>
    <s v="Voluntary"/>
    <x v="5"/>
    <n v="15"/>
    <n v="1"/>
    <s v="04-2026"/>
    <s v="04-2026"/>
    <n v="1"/>
    <n v="0"/>
    <x v="0"/>
  </r>
  <r>
    <s v="EMP1628"/>
    <s v="Exploring Infinities - Sales"/>
    <s v="SALES"/>
    <s v="Sales - English - India"/>
    <s v="Director 2"/>
    <s v="Hyderabad"/>
    <s v="WFH"/>
    <d v="2025-05-04T00:00:00"/>
    <d v="2026-05-22T00:00:00"/>
    <s v="Relieved"/>
    <s v="Involuntary"/>
    <x v="7"/>
    <n v="383"/>
    <n v="1"/>
    <s v="05-2025"/>
    <s v="05-2026"/>
    <n v="0"/>
    <n v="1"/>
    <x v="2"/>
  </r>
  <r>
    <s v="EMP1648"/>
    <s v="Exploring Infinities - Sales"/>
    <s v="SALES"/>
    <s v="Sales - English - India"/>
    <s v="Director 2"/>
    <s v="Hyderabad"/>
    <s v="WFH"/>
    <d v="2026-04-05T00:00:00"/>
    <m/>
    <s v="Active"/>
    <m/>
    <x v="2"/>
    <n v="86"/>
    <n v="0"/>
    <s v="04-2026"/>
    <s v=""/>
    <n v="0"/>
    <n v="0"/>
    <x v="0"/>
  </r>
  <r>
    <s v="EMP1677"/>
    <s v="Exploring Infinities - Sales"/>
    <s v="SALES"/>
    <s v="Sales - English - India"/>
    <s v="Director 2"/>
    <s v="Hyderabad"/>
    <s v="WFH"/>
    <d v="2026-04-05T00:00:00"/>
    <d v="2026-04-14T00:00:00"/>
    <s v="Relieved"/>
    <s v="Voluntary"/>
    <x v="3"/>
    <n v="9"/>
    <n v="1"/>
    <s v="04-2026"/>
    <s v="04-2026"/>
    <n v="1"/>
    <n v="0"/>
    <x v="0"/>
  </r>
  <r>
    <s v="EMP1686"/>
    <s v="Exploring Infinities - Sales"/>
    <s v="SALES"/>
    <s v="Sales - English - India"/>
    <s v="Director 2"/>
    <s v="Hyderabad"/>
    <s v="WFH"/>
    <d v="2026-04-05T00:00:00"/>
    <m/>
    <s v="Active"/>
    <m/>
    <x v="2"/>
    <n v="86"/>
    <n v="0"/>
    <s v="04-2026"/>
    <s v=""/>
    <n v="0"/>
    <n v="0"/>
    <x v="0"/>
  </r>
  <r>
    <s v="EMP1695"/>
    <s v="Exploring Infinities - Sales"/>
    <s v="SALES"/>
    <s v="Sales - English - India"/>
    <s v="Director 2"/>
    <s v="Hyderabad"/>
    <s v="WFH"/>
    <d v="2026-04-05T00:00:00"/>
    <d v="2026-04-21T00:00:00"/>
    <s v="Relieved"/>
    <s v="Voluntary"/>
    <x v="0"/>
    <n v="16"/>
    <n v="1"/>
    <s v="04-2026"/>
    <s v="04-2026"/>
    <n v="1"/>
    <n v="0"/>
    <x v="0"/>
  </r>
  <r>
    <s v="EMP1702"/>
    <s v="Exploring Infinities - Sales"/>
    <s v="SALES"/>
    <s v="Sales - English - India"/>
    <s v="Director 2"/>
    <s v="Hyderabad"/>
    <s v="WFH"/>
    <d v="2026-04-05T00:00:00"/>
    <d v="2026-04-08T00:00:00"/>
    <s v="Relieved"/>
    <s v="Voluntary"/>
    <x v="8"/>
    <n v="3"/>
    <n v="1"/>
    <s v="04-2026"/>
    <s v="04-2026"/>
    <n v="1"/>
    <n v="0"/>
    <x v="0"/>
  </r>
  <r>
    <s v="EMP1706"/>
    <s v="Exploring Infinities - Sales"/>
    <s v="SALES"/>
    <s v="Sales - English - India"/>
    <s v="Director 2"/>
    <s v="Hyderabad"/>
    <s v="WFH"/>
    <d v="2026-04-05T00:00:00"/>
    <d v="2026-04-08T00:00:00"/>
    <s v="Relieved"/>
    <s v="Voluntary"/>
    <x v="3"/>
    <n v="3"/>
    <n v="1"/>
    <s v="04-2026"/>
    <s v="04-2026"/>
    <n v="1"/>
    <n v="0"/>
    <x v="0"/>
  </r>
  <r>
    <s v="EMP1611"/>
    <s v="Exploring Infinities - Sales"/>
    <s v="SALES"/>
    <s v="Sales - English - India"/>
    <s v="Director 2"/>
    <s v="Hyderabad"/>
    <s v="WFH"/>
    <d v="2026-01-05T00:00:00"/>
    <d v="2026-05-25T00:00:00"/>
    <s v="Relieved"/>
    <s v="Involuntary"/>
    <x v="1"/>
    <n v="140"/>
    <n v="1"/>
    <s v="01-2026"/>
    <s v="05-2026"/>
    <n v="0"/>
    <n v="1"/>
    <x v="3"/>
  </r>
  <r>
    <s v="EMP1661"/>
    <s v="Exploring Infinities - Sales"/>
    <s v="SALES"/>
    <s v="Sales - English - India"/>
    <s v="Director 2"/>
    <s v="Hyderabad"/>
    <s v="WFH"/>
    <d v="2026-04-07T00:00:00"/>
    <m/>
    <s v="Active"/>
    <m/>
    <x v="2"/>
    <n v="84"/>
    <n v="0"/>
    <s v="04-2026"/>
    <s v=""/>
    <n v="0"/>
    <n v="0"/>
    <x v="0"/>
  </r>
  <r>
    <s v="EMP1687"/>
    <s v="Exploring Infinities - Sales"/>
    <s v="SALES"/>
    <s v="Sales - English - India"/>
    <s v="Director 2"/>
    <s v="Hyderabad"/>
    <s v="WFH"/>
    <d v="2026-04-07T00:00:00"/>
    <d v="2026-05-24T00:00:00"/>
    <s v="Relieved"/>
    <s v="Involuntary"/>
    <x v="9"/>
    <n v="47"/>
    <n v="1"/>
    <s v="04-2026"/>
    <s v="05-2026"/>
    <n v="0"/>
    <n v="1"/>
    <x v="0"/>
  </r>
  <r>
    <s v="EMP1621"/>
    <s v="Exploring Infinities - Sales"/>
    <s v="SALES"/>
    <s v="Sales - English - India"/>
    <s v="Director 2"/>
    <s v="Hyderabad"/>
    <s v="WFH"/>
    <d v="2025-06-07T00:00:00"/>
    <d v="2026-04-10T00:00:00"/>
    <s v="Relieved"/>
    <s v="Involuntary"/>
    <x v="6"/>
    <n v="307"/>
    <n v="1"/>
    <s v="06-2025"/>
    <s v="04-2026"/>
    <n v="0"/>
    <n v="1"/>
    <x v="1"/>
  </r>
  <r>
    <s v="EMP1613"/>
    <s v="Exploring Infinities - Sales"/>
    <s v="SALES"/>
    <s v="Sales - English - India"/>
    <s v="Director 2"/>
    <s v="Hyderabad"/>
    <s v="WFH"/>
    <d v="2025-04-08T00:00:00"/>
    <d v="2026-04-07T00:00:00"/>
    <s v="Relieved"/>
    <s v="Voluntary"/>
    <x v="0"/>
    <n v="364"/>
    <n v="1"/>
    <s v="04-2025"/>
    <s v="04-2026"/>
    <n v="1"/>
    <n v="0"/>
    <x v="1"/>
  </r>
  <r>
    <s v="EMP1638"/>
    <s v="Exploring Infinities - Sales"/>
    <s v="SALES"/>
    <s v="Sales - English - India"/>
    <s v="Director 2"/>
    <s v="Hyderabad"/>
    <s v="WFH"/>
    <d v="2026-03-08T00:00:00"/>
    <d v="2026-04-19T00:00:00"/>
    <s v="Relieved"/>
    <s v="Involuntary"/>
    <x v="9"/>
    <n v="42"/>
    <n v="1"/>
    <s v="03-2026"/>
    <s v="04-2026"/>
    <n v="0"/>
    <n v="1"/>
    <x v="0"/>
  </r>
  <r>
    <s v="EMP1650"/>
    <s v="Exploring Infinities - Sales"/>
    <s v="SALES"/>
    <s v="Sales - English - India"/>
    <s v="Director 2"/>
    <s v="Hyderabad"/>
    <s v="WFH"/>
    <d v="2026-04-09T00:00:00"/>
    <d v="2026-05-15T00:00:00"/>
    <s v="Relieved"/>
    <s v="Voluntary"/>
    <x v="3"/>
    <n v="36"/>
    <n v="1"/>
    <s v="04-2026"/>
    <s v="05-2026"/>
    <n v="1"/>
    <n v="0"/>
    <x v="0"/>
  </r>
  <r>
    <s v="EMP1671"/>
    <s v="Exploring Infinities - Sales"/>
    <s v="SALES"/>
    <s v="Sales - English - India"/>
    <s v="Director 2"/>
    <s v="Hyderabad"/>
    <s v="WFH"/>
    <d v="2026-04-09T00:00:00"/>
    <d v="2026-04-12T00:00:00"/>
    <s v="Relieved"/>
    <s v="Voluntary"/>
    <x v="10"/>
    <n v="3"/>
    <n v="1"/>
    <s v="04-2026"/>
    <s v="04-2026"/>
    <n v="1"/>
    <n v="0"/>
    <x v="0"/>
  </r>
  <r>
    <s v="EMP1664"/>
    <s v="Exploring Infinities - Sales"/>
    <s v="SALES"/>
    <s v="Sales - English - India"/>
    <s v="Director 2"/>
    <s v="Hyderabad"/>
    <s v="WFH"/>
    <d v="2026-04-10T00:00:00"/>
    <d v="2026-05-06T00:00:00"/>
    <s v="Relieved"/>
    <s v="Involuntary"/>
    <x v="7"/>
    <n v="26"/>
    <n v="1"/>
    <s v="04-2026"/>
    <s v="05-2026"/>
    <n v="0"/>
    <n v="1"/>
    <x v="0"/>
  </r>
  <r>
    <s v="EMP1612"/>
    <s v="Exploring Infinities - Sales"/>
    <s v="SALES"/>
    <s v="Sales - English - India"/>
    <s v="Director 2"/>
    <s v="Hyderabad"/>
    <s v="WFH"/>
    <d v="2025-06-10T00:00:00"/>
    <d v="2026-05-02T00:00:00"/>
    <s v="Relieved"/>
    <s v="Involuntary"/>
    <x v="1"/>
    <n v="326"/>
    <n v="1"/>
    <s v="06-2025"/>
    <s v="05-2026"/>
    <n v="0"/>
    <n v="1"/>
    <x v="1"/>
  </r>
  <r>
    <s v="EMP1682"/>
    <s v="Exploring Infinities - Sales"/>
    <s v="SALES"/>
    <s v="Sales - English - India"/>
    <s v="Director 2"/>
    <s v="Hyderabad"/>
    <s v="WFH"/>
    <d v="2026-04-11T00:00:00"/>
    <d v="2026-05-23T00:00:00"/>
    <s v="Relieved"/>
    <s v="Involuntary"/>
    <x v="6"/>
    <n v="42"/>
    <n v="1"/>
    <s v="04-2026"/>
    <s v="05-2026"/>
    <n v="0"/>
    <n v="1"/>
    <x v="0"/>
  </r>
  <r>
    <s v="EMP1697"/>
    <s v="Exploring Infinities - Sales"/>
    <s v="SALES"/>
    <s v="Sales - English - India"/>
    <s v="Director 2"/>
    <s v="Hyderabad"/>
    <s v="WFH"/>
    <d v="2026-04-11T00:00:00"/>
    <d v="2026-04-11T00:00:00"/>
    <s v="Relieved"/>
    <s v="Voluntary"/>
    <x v="8"/>
    <n v="0"/>
    <n v="1"/>
    <s v="04-2026"/>
    <s v="04-2026"/>
    <n v="1"/>
    <n v="0"/>
    <x v="0"/>
  </r>
  <r>
    <s v="EMP1640"/>
    <s v="Exploring Infinities - Sales"/>
    <s v="SALES"/>
    <s v="Sales - English - India"/>
    <s v="Director 2"/>
    <s v="Hyderabad"/>
    <s v="WFH"/>
    <d v="2025-12-11T00:00:00"/>
    <d v="2026-04-30T00:00:00"/>
    <s v="Relieved"/>
    <s v="Involuntary"/>
    <x v="7"/>
    <n v="140"/>
    <n v="1"/>
    <s v="12-2025"/>
    <s v="04-2026"/>
    <n v="0"/>
    <n v="1"/>
    <x v="3"/>
  </r>
  <r>
    <s v="EMP1635"/>
    <s v="Exploring Infinities - Sales"/>
    <s v="SALES"/>
    <s v="Sales - English - India"/>
    <s v="Director 2"/>
    <s v="Hyderabad"/>
    <s v="WFH"/>
    <d v="2025-09-11T00:00:00"/>
    <d v="2026-04-21T00:00:00"/>
    <s v="Relieved"/>
    <s v="Involuntary"/>
    <x v="1"/>
    <n v="222"/>
    <n v="1"/>
    <s v="09-2025"/>
    <s v="04-2026"/>
    <n v="0"/>
    <n v="1"/>
    <x v="1"/>
  </r>
  <r>
    <s v="EMP1652"/>
    <s v="Exploring Infinities - Sales"/>
    <s v="SALES"/>
    <s v="Sales - English - India"/>
    <s v="Director 2"/>
    <s v="Hyderabad"/>
    <s v="WFH"/>
    <d v="2026-04-12T00:00:00"/>
    <m/>
    <s v="Active"/>
    <m/>
    <x v="2"/>
    <n v="79"/>
    <n v="0"/>
    <s v="04-2026"/>
    <s v=""/>
    <n v="0"/>
    <n v="0"/>
    <x v="0"/>
  </r>
  <r>
    <s v="EMP1655"/>
    <s v="Exploring Infinities - Sales"/>
    <s v="SALES"/>
    <s v="Sales - English - India"/>
    <s v="Director 2"/>
    <s v="Hyderabad"/>
    <s v="WFH"/>
    <d v="2026-04-12T00:00:00"/>
    <d v="2026-05-31T00:00:00"/>
    <s v="Relieved"/>
    <s v="Voluntary"/>
    <x v="5"/>
    <n v="49"/>
    <n v="1"/>
    <s v="04-2026"/>
    <s v="05-2026"/>
    <n v="1"/>
    <n v="0"/>
    <x v="0"/>
  </r>
  <r>
    <s v="EMP1662"/>
    <s v="Exploring Infinities - Sales"/>
    <s v="SALES"/>
    <s v="Sales - English - India"/>
    <s v="Director 2"/>
    <s v="Hyderabad"/>
    <s v="WFH"/>
    <d v="2026-04-12T00:00:00"/>
    <d v="2026-05-22T00:00:00"/>
    <s v="Relieved"/>
    <s v="Involuntary"/>
    <x v="9"/>
    <n v="40"/>
    <n v="1"/>
    <s v="04-2026"/>
    <s v="05-2026"/>
    <n v="0"/>
    <n v="1"/>
    <x v="0"/>
  </r>
  <r>
    <s v="EMP1680"/>
    <s v="Exploring Infinities - Sales"/>
    <s v="SALES"/>
    <s v="Sales - English - India"/>
    <s v="Director 2"/>
    <s v="Hyderabad"/>
    <s v="WFH"/>
    <d v="2026-04-12T00:00:00"/>
    <m/>
    <s v="Active"/>
    <m/>
    <x v="2"/>
    <n v="79"/>
    <n v="0"/>
    <s v="04-2026"/>
    <s v=""/>
    <n v="0"/>
    <n v="0"/>
    <x v="0"/>
  </r>
  <r>
    <s v="EMP1684"/>
    <s v="Exploring Infinities - Sales"/>
    <s v="SALES"/>
    <s v="Sales - English - India"/>
    <s v="Director 2"/>
    <s v="Hyderabad"/>
    <s v="WFH"/>
    <d v="2026-04-12T00:00:00"/>
    <m/>
    <s v="Active"/>
    <m/>
    <x v="2"/>
    <n v="79"/>
    <n v="0"/>
    <s v="04-2026"/>
    <s v=""/>
    <n v="0"/>
    <n v="0"/>
    <x v="0"/>
  </r>
  <r>
    <s v="EMP1623"/>
    <s v="Exploring Infinities - Sales"/>
    <s v="SALES"/>
    <s v="Sales - English - India"/>
    <s v="Director 2"/>
    <s v="Hyderabad"/>
    <s v="WFH"/>
    <d v="2025-01-12T00:00:00"/>
    <d v="2026-04-14T00:00:00"/>
    <s v="Relieved"/>
    <s v="Involuntary"/>
    <x v="1"/>
    <n v="457"/>
    <n v="1"/>
    <s v="01-2025"/>
    <s v="04-2026"/>
    <n v="0"/>
    <n v="1"/>
    <x v="2"/>
  </r>
  <r>
    <s v="EMP1709"/>
    <s v="Exploring Infinities - Sales"/>
    <s v="SALES"/>
    <s v="Sales - English - India"/>
    <s v="Director 2"/>
    <s v="Hyderabad"/>
    <s v="WFH"/>
    <d v="2026-06-12T00:00:00"/>
    <d v="2026-06-18T00:00:00"/>
    <s v="Relieved"/>
    <s v="Voluntary"/>
    <x v="10"/>
    <n v="6"/>
    <n v="1"/>
    <s v="06-2026"/>
    <s v="06-2026"/>
    <n v="1"/>
    <n v="0"/>
    <x v="0"/>
  </r>
  <r>
    <s v="EMP1622"/>
    <s v="Exploring Infinities - Sales"/>
    <s v="SALES"/>
    <s v="Sales - English - India"/>
    <s v="Director 2"/>
    <s v="Hyderabad"/>
    <s v="WFH"/>
    <d v="2025-09-12T00:00:00"/>
    <m/>
    <s v="Active"/>
    <m/>
    <x v="2"/>
    <n v="291"/>
    <n v="0"/>
    <s v="09-2025"/>
    <s v=""/>
    <n v="0"/>
    <n v="0"/>
    <x v="1"/>
  </r>
  <r>
    <s v="EMP1654"/>
    <s v="Exploring Infinities - Sales"/>
    <s v="SALES"/>
    <s v="Sales - English - India"/>
    <s v="Director 2"/>
    <s v="Hyderabad"/>
    <s v="WFH"/>
    <d v="2026-04-13T00:00:00"/>
    <d v="2026-05-17T00:00:00"/>
    <s v="Relieved"/>
    <s v="Involuntary"/>
    <x v="6"/>
    <n v="34"/>
    <n v="1"/>
    <s v="04-2026"/>
    <s v="05-2026"/>
    <n v="0"/>
    <n v="1"/>
    <x v="0"/>
  </r>
  <r>
    <s v="EMP1657"/>
    <s v="Exploring Infinities - Sales"/>
    <s v="SALES"/>
    <s v="Sales - English - India"/>
    <s v="Director 2"/>
    <s v="Hyderabad"/>
    <s v="WFH"/>
    <d v="2026-04-13T00:00:00"/>
    <d v="2026-05-04T00:00:00"/>
    <s v="Relieved"/>
    <s v="Involuntary"/>
    <x v="1"/>
    <n v="21"/>
    <n v="1"/>
    <s v="04-2026"/>
    <s v="05-2026"/>
    <n v="0"/>
    <n v="1"/>
    <x v="0"/>
  </r>
  <r>
    <s v="EMP1666"/>
    <s v="Exploring Infinities - Sales"/>
    <s v="SALES"/>
    <s v="Sales - English - India"/>
    <s v="Director 2"/>
    <s v="Hyderabad"/>
    <s v="WFH"/>
    <d v="2026-04-13T00:00:00"/>
    <m/>
    <s v="Active"/>
    <m/>
    <x v="2"/>
    <n v="78"/>
    <n v="0"/>
    <s v="04-2026"/>
    <s v=""/>
    <n v="0"/>
    <n v="0"/>
    <x v="0"/>
  </r>
  <r>
    <s v="EMP1679"/>
    <s v="Exploring Infinities - Sales"/>
    <s v="SALES"/>
    <s v="Sales - English - India"/>
    <s v="Director 2"/>
    <s v="Hyderabad"/>
    <s v="WFH"/>
    <d v="2026-04-13T00:00:00"/>
    <d v="2026-04-30T00:00:00"/>
    <s v="Relieved"/>
    <s v="Voluntary"/>
    <x v="5"/>
    <n v="17"/>
    <n v="1"/>
    <s v="04-2026"/>
    <s v="04-2026"/>
    <n v="1"/>
    <n v="0"/>
    <x v="0"/>
  </r>
  <r>
    <s v="EMP1690"/>
    <s v="Exploring Infinities - Sales"/>
    <s v="SALES"/>
    <s v="Sales - English - India"/>
    <s v="Director 2"/>
    <s v="Hyderabad"/>
    <s v="WFH"/>
    <d v="2026-04-13T00:00:00"/>
    <d v="2026-04-24T00:00:00"/>
    <s v="Relieved"/>
    <s v="Voluntary"/>
    <x v="10"/>
    <n v="11"/>
    <n v="1"/>
    <s v="04-2026"/>
    <s v="04-2026"/>
    <n v="1"/>
    <n v="0"/>
    <x v="0"/>
  </r>
  <r>
    <s v="EMP1616"/>
    <s v="Exploring Infinities - Sales"/>
    <s v="SALES"/>
    <s v="Sales - English - India"/>
    <s v="Director 2"/>
    <s v="Hyderabad"/>
    <s v="WFH"/>
    <d v="2025-09-13T00:00:00"/>
    <d v="2026-04-01T00:00:00"/>
    <s v="Relieved"/>
    <s v="Involuntary"/>
    <x v="7"/>
    <n v="200"/>
    <n v="1"/>
    <s v="09-2025"/>
    <s v="04-2026"/>
    <n v="0"/>
    <n v="1"/>
    <x v="1"/>
  </r>
  <r>
    <s v="EMP1619"/>
    <s v="Exploring Infinities - Sales"/>
    <s v="SALES"/>
    <s v="Sales - English - India"/>
    <s v="Director 2"/>
    <s v="Hyderabad"/>
    <s v="WFH"/>
    <d v="2025-09-13T00:00:00"/>
    <d v="2026-04-06T00:00:00"/>
    <s v="Relieved"/>
    <s v="Involuntary"/>
    <x v="7"/>
    <n v="205"/>
    <n v="1"/>
    <s v="09-2025"/>
    <s v="04-2026"/>
    <n v="0"/>
    <n v="1"/>
    <x v="1"/>
  </r>
  <r>
    <s v="EMP1647"/>
    <s v="Exploring Infinities - Sales"/>
    <s v="SALES"/>
    <s v="Sales - English - India"/>
    <s v="Director 2"/>
    <s v="Hyderabad"/>
    <s v="WFH"/>
    <d v="2026-04-14T00:00:00"/>
    <d v="2026-06-08T00:00:00"/>
    <s v="Relieved"/>
    <s v="Involuntary"/>
    <x v="6"/>
    <n v="55"/>
    <n v="1"/>
    <s v="04-2026"/>
    <s v="06-2026"/>
    <n v="0"/>
    <n v="1"/>
    <x v="0"/>
  </r>
  <r>
    <s v="EMP1668"/>
    <s v="Exploring Infinities - Sales"/>
    <s v="SALES"/>
    <s v="Sales - English - India"/>
    <s v="Director 2"/>
    <s v="Hyderabad"/>
    <s v="WFH"/>
    <d v="2026-04-15T00:00:00"/>
    <d v="2026-05-14T00:00:00"/>
    <s v="Relieved"/>
    <s v="Involuntary"/>
    <x v="6"/>
    <n v="29"/>
    <n v="1"/>
    <s v="04-2026"/>
    <s v="05-2026"/>
    <n v="0"/>
    <n v="1"/>
    <x v="0"/>
  </r>
  <r>
    <s v="EMP1701"/>
    <s v="Exploring Infinities - Sales"/>
    <s v="SALES"/>
    <s v="Sales - English - India"/>
    <s v="Director 2"/>
    <s v="Hyderabad"/>
    <s v="WFH"/>
    <d v="2026-04-15T00:00:00"/>
    <d v="2026-04-22T00:00:00"/>
    <s v="Relieved"/>
    <s v="Voluntary"/>
    <x v="4"/>
    <n v="7"/>
    <n v="1"/>
    <s v="04-2026"/>
    <s v="04-2026"/>
    <n v="1"/>
    <n v="0"/>
    <x v="0"/>
  </r>
  <r>
    <s v="EMP1699"/>
    <s v="Exploring Infinities - Sales"/>
    <s v="SALES"/>
    <s v="Sales - English - India"/>
    <s v="Director 2"/>
    <s v="Hyderabad"/>
    <s v="WFH"/>
    <d v="2026-04-16T00:00:00"/>
    <d v="2026-05-27T00:00:00"/>
    <s v="Relieved"/>
    <s v="Involuntary"/>
    <x v="9"/>
    <n v="41"/>
    <n v="1"/>
    <s v="04-2026"/>
    <s v="05-2026"/>
    <n v="0"/>
    <n v="1"/>
    <x v="0"/>
  </r>
  <r>
    <s v="EMP1624"/>
    <s v="Exploring Infinities - Sales"/>
    <s v="SALES"/>
    <s v="Sales - English - India"/>
    <s v="Director 2"/>
    <s v="Hyderabad"/>
    <s v="WFH"/>
    <d v="2025-02-16T00:00:00"/>
    <d v="2026-04-27T00:00:00"/>
    <s v="Relieved"/>
    <s v="Involuntary"/>
    <x v="6"/>
    <n v="435"/>
    <n v="1"/>
    <s v="02-2025"/>
    <s v="04-2026"/>
    <n v="0"/>
    <n v="1"/>
    <x v="2"/>
  </r>
  <r>
    <s v="EMP1626"/>
    <s v="Exploring Infinities - Sales"/>
    <s v="SALES"/>
    <s v="Sales - English - India"/>
    <s v="Director 2"/>
    <s v="Hyderabad"/>
    <s v="WFH"/>
    <d v="2025-09-16T00:00:00"/>
    <d v="2026-06-30T00:00:00"/>
    <s v="Relieved"/>
    <s v="Involuntary"/>
    <x v="9"/>
    <n v="287"/>
    <n v="1"/>
    <s v="09-2025"/>
    <s v="06-2026"/>
    <n v="0"/>
    <n v="1"/>
    <x v="1"/>
  </r>
  <r>
    <s v="EMP1667"/>
    <s v="Exploring Infinities - Sales"/>
    <s v="SALES"/>
    <s v="Sales - English - India"/>
    <s v="Director 2"/>
    <s v="Hyderabad"/>
    <s v="WFH"/>
    <d v="2026-04-17T00:00:00"/>
    <d v="2026-05-15T00:00:00"/>
    <s v="Relieved"/>
    <s v="Involuntary"/>
    <x v="1"/>
    <n v="28"/>
    <n v="1"/>
    <s v="04-2026"/>
    <s v="05-2026"/>
    <n v="0"/>
    <n v="1"/>
    <x v="0"/>
  </r>
  <r>
    <s v="EMP1689"/>
    <s v="Exploring Infinities - Sales"/>
    <s v="SALES"/>
    <s v="Sales - English - India"/>
    <s v="Director 2"/>
    <s v="Hyderabad"/>
    <s v="WFH"/>
    <d v="2026-04-17T00:00:00"/>
    <d v="2026-05-20T00:00:00"/>
    <s v="Relieved"/>
    <s v="Voluntary"/>
    <x v="0"/>
    <n v="33"/>
    <n v="1"/>
    <s v="04-2026"/>
    <s v="05-2026"/>
    <n v="1"/>
    <n v="0"/>
    <x v="0"/>
  </r>
  <r>
    <s v="EMP1691"/>
    <s v="Exploring Infinities - Sales"/>
    <s v="SALES"/>
    <s v="Sales - English - India"/>
    <s v="Director 2"/>
    <s v="Hyderabad"/>
    <s v="WFH"/>
    <d v="2026-04-17T00:00:00"/>
    <d v="2026-05-18T00:00:00"/>
    <s v="Relieved"/>
    <s v="Involuntary"/>
    <x v="6"/>
    <n v="31"/>
    <n v="1"/>
    <s v="04-2026"/>
    <s v="05-2026"/>
    <n v="0"/>
    <n v="1"/>
    <x v="0"/>
  </r>
  <r>
    <s v="EMP1700"/>
    <s v="Exploring Infinities - Sales"/>
    <s v="SALES"/>
    <s v="Sales - English - India"/>
    <s v="Director 2"/>
    <s v="Hyderabad"/>
    <s v="WFH"/>
    <d v="2026-04-17T00:00:00"/>
    <m/>
    <s v="Active"/>
    <m/>
    <x v="2"/>
    <n v="74"/>
    <n v="0"/>
    <s v="04-2026"/>
    <s v=""/>
    <n v="0"/>
    <n v="0"/>
    <x v="0"/>
  </r>
  <r>
    <s v="EMP1705"/>
    <s v="Exploring Infinities - Sales"/>
    <s v="SALES"/>
    <s v="Sales - English - India"/>
    <s v="Director 2"/>
    <s v="Hyderabad"/>
    <s v="WFH"/>
    <d v="2026-04-17T00:00:00"/>
    <d v="2026-06-02T00:00:00"/>
    <s v="Relieved"/>
    <s v="Involuntary"/>
    <x v="6"/>
    <n v="46"/>
    <n v="1"/>
    <s v="04-2026"/>
    <s v="06-2026"/>
    <n v="0"/>
    <n v="1"/>
    <x v="0"/>
  </r>
  <r>
    <s v="EMP1609"/>
    <s v="Exploring Infinities - Sales"/>
    <s v="SALES"/>
    <s v="Sales - English - India"/>
    <s v="Director 2"/>
    <s v="Hyderabad"/>
    <s v="WFH"/>
    <d v="2025-06-17T00:00:00"/>
    <d v="2026-06-27T00:00:00"/>
    <s v="Relieved"/>
    <s v="Involuntary"/>
    <x v="1"/>
    <n v="375"/>
    <n v="1"/>
    <s v="06-2025"/>
    <s v="06-2026"/>
    <n v="0"/>
    <n v="1"/>
    <x v="2"/>
  </r>
  <r>
    <s v="EMP1708"/>
    <s v="Exploring Infinities - Sales"/>
    <s v="SALES"/>
    <s v="Sales - English - India"/>
    <s v="Director 2"/>
    <s v="Hyderabad"/>
    <s v="WFH"/>
    <d v="2026-05-17T00:00:00"/>
    <d v="2026-05-17T00:00:00"/>
    <s v="Relieved"/>
    <s v="Voluntary"/>
    <x v="4"/>
    <n v="0"/>
    <n v="1"/>
    <s v="05-2026"/>
    <s v="05-2026"/>
    <n v="1"/>
    <n v="0"/>
    <x v="0"/>
  </r>
  <r>
    <s v="EMP1643"/>
    <s v="Exploring Infinities - Sales"/>
    <s v="SALES"/>
    <s v="Sales - English - India"/>
    <s v="Director 2"/>
    <s v="Hyderabad"/>
    <s v="WFH"/>
    <d v="2026-04-18T00:00:00"/>
    <d v="2026-05-17T00:00:00"/>
    <s v="Relieved"/>
    <s v="Involuntary"/>
    <x v="6"/>
    <n v="29"/>
    <n v="1"/>
    <s v="04-2026"/>
    <s v="05-2026"/>
    <n v="0"/>
    <n v="1"/>
    <x v="0"/>
  </r>
  <r>
    <s v="EMP1660"/>
    <s v="Exploring Infinities - Sales"/>
    <s v="SALES"/>
    <s v="Sales - English - India"/>
    <s v="Director 2"/>
    <s v="Hyderabad"/>
    <s v="WFH"/>
    <d v="2026-04-18T00:00:00"/>
    <d v="2026-04-18T00:00:00"/>
    <s v="Relieved"/>
    <s v="Voluntary"/>
    <x v="3"/>
    <n v="0"/>
    <n v="1"/>
    <s v="04-2026"/>
    <s v="04-2026"/>
    <n v="1"/>
    <n v="0"/>
    <x v="0"/>
  </r>
  <r>
    <s v="EMP1663"/>
    <s v="Exploring Infinities - Sales"/>
    <s v="SALES"/>
    <s v="Sales - English - India"/>
    <s v="Director 2"/>
    <s v="Hyderabad"/>
    <s v="WFH"/>
    <d v="2026-04-18T00:00:00"/>
    <d v="2026-04-18T00:00:00"/>
    <s v="Relieved"/>
    <s v="Voluntary"/>
    <x v="4"/>
    <n v="0"/>
    <n v="1"/>
    <s v="04-2026"/>
    <s v="04-2026"/>
    <n v="1"/>
    <n v="0"/>
    <x v="0"/>
  </r>
  <r>
    <s v="EMP1670"/>
    <s v="Exploring Infinities - Sales"/>
    <s v="SALES"/>
    <s v="Sales - English - India"/>
    <s v="Director 2"/>
    <s v="Hyderabad"/>
    <s v="WFH"/>
    <d v="2026-04-18T00:00:00"/>
    <d v="2026-06-12T00:00:00"/>
    <s v="Relieved"/>
    <s v="Involuntary"/>
    <x v="1"/>
    <n v="55"/>
    <n v="1"/>
    <s v="04-2026"/>
    <s v="06-2026"/>
    <n v="0"/>
    <n v="1"/>
    <x v="0"/>
  </r>
  <r>
    <s v="EMP1683"/>
    <s v="Exploring Infinities - Sales"/>
    <s v="SALES"/>
    <s v="Sales - English - India"/>
    <s v="Director 2"/>
    <s v="Hyderabad"/>
    <s v="WFH"/>
    <d v="2026-04-18T00:00:00"/>
    <d v="2026-05-28T00:00:00"/>
    <s v="Relieved"/>
    <s v="Involuntary"/>
    <x v="6"/>
    <n v="40"/>
    <n v="1"/>
    <s v="04-2026"/>
    <s v="05-2026"/>
    <n v="0"/>
    <n v="1"/>
    <x v="0"/>
  </r>
  <r>
    <s v="EMP1712"/>
    <s v="Exploring Infinities - Sales"/>
    <s v="SALES"/>
    <s v="Sales - English - India"/>
    <s v="Director 2"/>
    <s v="Hyderabad"/>
    <s v="WFH"/>
    <d v="2026-06-18T00:00:00"/>
    <d v="2026-06-27T00:00:00"/>
    <s v="Relieved"/>
    <s v="Voluntary"/>
    <x v="8"/>
    <n v="9"/>
    <n v="1"/>
    <s v="06-2026"/>
    <s v="06-2026"/>
    <n v="1"/>
    <n v="0"/>
    <x v="0"/>
  </r>
  <r>
    <s v="EMP1659"/>
    <s v="Exploring Infinities - Sales"/>
    <s v="SALES"/>
    <s v="Sales - English - India"/>
    <s v="Director 2"/>
    <s v="Hyderabad"/>
    <s v="WFH"/>
    <d v="2026-04-19T00:00:00"/>
    <d v="2026-05-26T00:00:00"/>
    <s v="Relieved"/>
    <s v="Involuntary"/>
    <x v="9"/>
    <n v="37"/>
    <n v="1"/>
    <s v="04-2026"/>
    <s v="05-2026"/>
    <n v="0"/>
    <n v="1"/>
    <x v="0"/>
  </r>
  <r>
    <s v="EMP1673"/>
    <s v="Exploring Infinities - Sales"/>
    <s v="SALES"/>
    <s v="Sales - English - India"/>
    <s v="Director 2"/>
    <s v="Hyderabad"/>
    <s v="WFH"/>
    <d v="2026-04-20T00:00:00"/>
    <m/>
    <s v="Active"/>
    <m/>
    <x v="2"/>
    <n v="71"/>
    <n v="0"/>
    <s v="04-2026"/>
    <s v=""/>
    <n v="0"/>
    <n v="0"/>
    <x v="0"/>
  </r>
  <r>
    <s v="EMP1675"/>
    <s v="Exploring Infinities - Sales"/>
    <s v="SALES"/>
    <s v="Sales - English - India"/>
    <s v="Director 2"/>
    <s v="Hyderabad"/>
    <s v="WFH"/>
    <d v="2026-04-20T00:00:00"/>
    <m/>
    <s v="Active"/>
    <m/>
    <x v="2"/>
    <n v="71"/>
    <n v="0"/>
    <s v="04-2026"/>
    <s v=""/>
    <n v="0"/>
    <n v="0"/>
    <x v="0"/>
  </r>
  <r>
    <s v="EMP1688"/>
    <s v="Exploring Infinities - Sales"/>
    <s v="SALES"/>
    <s v="Sales - English - India"/>
    <s v="Director 2"/>
    <s v="Hyderabad"/>
    <s v="WFH"/>
    <d v="2026-04-20T00:00:00"/>
    <d v="2026-04-20T00:00:00"/>
    <s v="Relieved"/>
    <s v="Voluntary"/>
    <x v="5"/>
    <n v="0"/>
    <n v="1"/>
    <s v="04-2026"/>
    <s v="04-2026"/>
    <n v="1"/>
    <n v="0"/>
    <x v="0"/>
  </r>
  <r>
    <s v="EMP1703"/>
    <s v="Exploring Infinities - Sales"/>
    <s v="SALES"/>
    <s v="Sales - English - India"/>
    <s v="Director 2"/>
    <s v="Hyderabad"/>
    <s v="WFH"/>
    <d v="2026-04-20T00:00:00"/>
    <d v="2026-05-13T00:00:00"/>
    <s v="Relieved"/>
    <s v="Involuntary"/>
    <x v="7"/>
    <n v="23"/>
    <n v="1"/>
    <s v="04-2026"/>
    <s v="05-2026"/>
    <n v="0"/>
    <n v="1"/>
    <x v="0"/>
  </r>
  <r>
    <s v="EMP1629"/>
    <s v="Exploring Infinities - Sales"/>
    <s v="SALES"/>
    <s v="Sales - English - India"/>
    <s v="Director 2"/>
    <s v="Hyderabad"/>
    <s v="WFH"/>
    <d v="2025-04-21T00:00:00"/>
    <d v="2026-05-03T00:00:00"/>
    <s v="Relieved"/>
    <s v="Involuntary"/>
    <x v="6"/>
    <n v="377"/>
    <n v="1"/>
    <s v="04-2025"/>
    <s v="05-2026"/>
    <n v="0"/>
    <n v="1"/>
    <x v="2"/>
  </r>
  <r>
    <s v="EMP1608"/>
    <s v="Exploring Infinities - Sales"/>
    <s v="SALES"/>
    <s v="Sales - English - India"/>
    <s v="Director 2"/>
    <s v="Hyderabad"/>
    <s v="WFH"/>
    <d v="2026-02-21T00:00:00"/>
    <d v="2026-04-16T00:00:00"/>
    <s v="Relieved"/>
    <s v="Voluntary"/>
    <x v="3"/>
    <n v="54"/>
    <n v="1"/>
    <s v="02-2026"/>
    <s v="04-2026"/>
    <n v="1"/>
    <n v="0"/>
    <x v="0"/>
  </r>
  <r>
    <s v="EMP1625"/>
    <s v="Exploring Infinities - Sales"/>
    <s v="SALES"/>
    <s v="Sales - English - India"/>
    <s v="Director 2"/>
    <s v="Hyderabad"/>
    <s v="WFH"/>
    <d v="2025-07-21T00:00:00"/>
    <d v="2026-04-18T00:00:00"/>
    <s v="Relieved"/>
    <s v="Involuntary"/>
    <x v="9"/>
    <n v="271"/>
    <n v="1"/>
    <s v="07-2025"/>
    <s v="04-2026"/>
    <n v="0"/>
    <n v="1"/>
    <x v="1"/>
  </r>
  <r>
    <s v="EMP1617"/>
    <s v="Exploring Infinities - Sales"/>
    <s v="SALES"/>
    <s v="Sales - English - India"/>
    <s v="Director 2"/>
    <s v="Hyderabad"/>
    <s v="WFH"/>
    <d v="2025-09-21T00:00:00"/>
    <d v="2026-04-21T00:00:00"/>
    <s v="Relieved"/>
    <s v="Involuntary"/>
    <x v="6"/>
    <n v="212"/>
    <n v="1"/>
    <s v="09-2025"/>
    <s v="04-2026"/>
    <n v="0"/>
    <n v="1"/>
    <x v="1"/>
  </r>
  <r>
    <s v="EMP1674"/>
    <s v="Exploring Infinities - Sales"/>
    <s v="SALES"/>
    <s v="Sales - English - India"/>
    <s v="Director 2"/>
    <s v="Hyderabad"/>
    <s v="WFH"/>
    <d v="2026-04-22T00:00:00"/>
    <d v="2026-04-22T00:00:00"/>
    <s v="Relieved"/>
    <s v="Voluntary"/>
    <x v="8"/>
    <n v="0"/>
    <n v="1"/>
    <s v="04-2026"/>
    <s v="04-2026"/>
    <n v="1"/>
    <n v="0"/>
    <x v="0"/>
  </r>
  <r>
    <s v="EMP1696"/>
    <s v="Exploring Infinities - Sales"/>
    <s v="SALES"/>
    <s v="Sales - English - India"/>
    <s v="Director 2"/>
    <s v="Hyderabad"/>
    <s v="WFH"/>
    <d v="2026-04-23T00:00:00"/>
    <d v="2026-04-27T00:00:00"/>
    <s v="Relieved"/>
    <s v="Voluntary"/>
    <x v="4"/>
    <n v="4"/>
    <n v="1"/>
    <s v="04-2026"/>
    <s v="04-2026"/>
    <n v="1"/>
    <n v="0"/>
    <x v="0"/>
  </r>
  <r>
    <s v="EMP1627"/>
    <s v="Exploring Infinities - Sales"/>
    <s v="SALES"/>
    <s v="Sales - English - India"/>
    <s v="Director 2"/>
    <s v="Hyderabad"/>
    <s v="WFH"/>
    <d v="2025-08-23T00:00:00"/>
    <d v="2026-04-30T00:00:00"/>
    <s v="Relieved"/>
    <s v="Involuntary"/>
    <x v="9"/>
    <n v="250"/>
    <n v="1"/>
    <s v="08-2025"/>
    <s v="04-2026"/>
    <n v="0"/>
    <n v="1"/>
    <x v="1"/>
  </r>
  <r>
    <s v="EMP1710"/>
    <s v="Exploring Infinities - Sales"/>
    <s v="SALES"/>
    <s v="Sales - English - India"/>
    <s v="Director 2"/>
    <s v="Hyderabad"/>
    <s v="WFH"/>
    <d v="2026-06-23T00:00:00"/>
    <d v="2026-06-23T00:00:00"/>
    <s v="Relieved"/>
    <s v="Voluntary"/>
    <x v="10"/>
    <n v="0"/>
    <n v="1"/>
    <s v="06-2026"/>
    <s v="06-2026"/>
    <n v="1"/>
    <n v="0"/>
    <x v="0"/>
  </r>
  <r>
    <s v="EMP1615"/>
    <s v="Exploring Infinities - Sales"/>
    <s v="SALES"/>
    <s v="Sales - English - India"/>
    <s v="Director 2"/>
    <s v="Hyderabad"/>
    <s v="WFH"/>
    <d v="2025-03-23T00:00:00"/>
    <d v="2026-04-30T00:00:00"/>
    <s v="Relieved"/>
    <s v="Involuntary"/>
    <x v="1"/>
    <n v="403"/>
    <n v="1"/>
    <s v="03-2025"/>
    <s v="04-2026"/>
    <n v="0"/>
    <n v="1"/>
    <x v="2"/>
  </r>
  <r>
    <s v="EMP1610"/>
    <s v="Exploring Infinities - Sales"/>
    <s v="SALES"/>
    <s v="Sales - English - India"/>
    <s v="Director 2"/>
    <s v="Hyderabad"/>
    <s v="WFH"/>
    <d v="2025-10-23T00:00:00"/>
    <d v="2026-05-17T00:00:00"/>
    <s v="Relieved"/>
    <s v="Involuntary"/>
    <x v="7"/>
    <n v="206"/>
    <n v="1"/>
    <s v="10-2025"/>
    <s v="05-2026"/>
    <n v="0"/>
    <n v="1"/>
    <x v="1"/>
  </r>
  <r>
    <s v="EMP1651"/>
    <s v="Exploring Infinities - Sales"/>
    <s v="SALES"/>
    <s v="Sales - English - India"/>
    <s v="Director 2"/>
    <s v="Hyderabad"/>
    <s v="WFH"/>
    <d v="2026-04-24T00:00:00"/>
    <m/>
    <s v="Active"/>
    <m/>
    <x v="2"/>
    <n v="67"/>
    <n v="0"/>
    <s v="04-2026"/>
    <s v=""/>
    <n v="0"/>
    <n v="0"/>
    <x v="0"/>
  </r>
  <r>
    <s v="EMP1653"/>
    <s v="Exploring Infinities - Sales"/>
    <s v="SALES"/>
    <s v="Sales - English - India"/>
    <s v="Director 2"/>
    <s v="Hyderabad"/>
    <s v="WFH"/>
    <d v="2026-04-25T00:00:00"/>
    <d v="2026-05-08T00:00:00"/>
    <s v="Relieved"/>
    <s v="Voluntary"/>
    <x v="5"/>
    <n v="13"/>
    <n v="1"/>
    <s v="04-2026"/>
    <s v="05-2026"/>
    <n v="1"/>
    <n v="0"/>
    <x v="0"/>
  </r>
  <r>
    <s v="EMP1669"/>
    <s v="Exploring Infinities - Sales"/>
    <s v="SALES"/>
    <s v="Sales - English - India"/>
    <s v="Director 2"/>
    <s v="Hyderabad"/>
    <s v="WFH"/>
    <d v="2026-04-25T00:00:00"/>
    <d v="2026-05-03T00:00:00"/>
    <s v="Relieved"/>
    <s v="Involuntary"/>
    <x v="9"/>
    <n v="8"/>
    <n v="1"/>
    <s v="04-2026"/>
    <s v="05-2026"/>
    <n v="0"/>
    <n v="1"/>
    <x v="0"/>
  </r>
  <r>
    <s v="EMP1685"/>
    <s v="Exploring Infinities - Sales"/>
    <s v="SALES"/>
    <s v="Sales - English - India"/>
    <s v="Director 2"/>
    <s v="Hyderabad"/>
    <s v="WFH"/>
    <d v="2026-04-25T00:00:00"/>
    <d v="2026-04-25T00:00:00"/>
    <s v="Relieved"/>
    <s v="Voluntary"/>
    <x v="10"/>
    <n v="0"/>
    <n v="1"/>
    <s v="04-2026"/>
    <s v="04-2026"/>
    <n v="1"/>
    <n v="0"/>
    <x v="0"/>
  </r>
  <r>
    <s v="EMP1632"/>
    <s v="Exploring Infinities - Sales"/>
    <s v="SALES"/>
    <s v="Sales - English - India"/>
    <s v="Director 2"/>
    <s v="Hyderabad"/>
    <s v="WFH"/>
    <d v="2025-01-25T00:00:00"/>
    <d v="2026-04-29T00:00:00"/>
    <s v="Relieved"/>
    <s v="Involuntary"/>
    <x v="9"/>
    <n v="459"/>
    <n v="1"/>
    <s v="01-2025"/>
    <s v="04-2026"/>
    <n v="0"/>
    <n v="1"/>
    <x v="2"/>
  </r>
  <r>
    <s v="EMP1634"/>
    <s v="Exploring Infinities - Sales"/>
    <s v="SALES"/>
    <s v="Sales - English - India"/>
    <s v="Director 2"/>
    <s v="Hyderabad"/>
    <s v="WFH"/>
    <d v="2025-05-25T00:00:00"/>
    <d v="2026-04-29T00:00:00"/>
    <s v="Relieved"/>
    <s v="Involuntary"/>
    <x v="1"/>
    <n v="339"/>
    <n v="1"/>
    <s v="05-2025"/>
    <s v="04-2026"/>
    <n v="0"/>
    <n v="1"/>
    <x v="1"/>
  </r>
  <r>
    <s v="EMP1681"/>
    <s v="Exploring Infinities - Sales"/>
    <s v="SALES"/>
    <s v="Sales - English - India"/>
    <s v="Director 2"/>
    <s v="Hyderabad"/>
    <s v="WFH"/>
    <d v="2026-04-26T00:00:00"/>
    <d v="2026-05-16T00:00:00"/>
    <s v="Relieved"/>
    <s v="Voluntary"/>
    <x v="5"/>
    <n v="20"/>
    <n v="1"/>
    <s v="04-2026"/>
    <s v="05-2026"/>
    <n v="1"/>
    <n v="0"/>
    <x v="0"/>
  </r>
  <r>
    <s v="EMP1698"/>
    <s v="Exploring Infinities - Sales"/>
    <s v="SALES"/>
    <s v="Sales - English - India"/>
    <s v="Director 2"/>
    <s v="Hyderabad"/>
    <s v="WFH"/>
    <d v="2026-04-26T00:00:00"/>
    <d v="2026-06-20T00:00:00"/>
    <s v="Relieved"/>
    <s v="Involuntary"/>
    <x v="9"/>
    <n v="55"/>
    <n v="1"/>
    <s v="04-2026"/>
    <s v="06-2026"/>
    <n v="0"/>
    <n v="1"/>
    <x v="0"/>
  </r>
  <r>
    <s v="EMP1633"/>
    <s v="Exploring Infinities - Sales"/>
    <s v="SALES"/>
    <s v="Sales - English - India"/>
    <s v="Director 2"/>
    <s v="Hyderabad"/>
    <s v="WFH"/>
    <d v="2025-01-26T00:00:00"/>
    <d v="2026-04-11T00:00:00"/>
    <s v="Relieved"/>
    <s v="Voluntary"/>
    <x v="0"/>
    <n v="440"/>
    <n v="1"/>
    <s v="01-2025"/>
    <s v="04-2026"/>
    <n v="1"/>
    <n v="0"/>
    <x v="2"/>
  </r>
  <r>
    <s v="EMP1614"/>
    <s v="Exploring Infinities - Sales"/>
    <s v="SALES"/>
    <s v="Sales - English - India"/>
    <s v="Director 2"/>
    <s v="Hyderabad"/>
    <s v="WFH"/>
    <d v="2026-01-26T00:00:00"/>
    <d v="2026-05-19T00:00:00"/>
    <s v="Relieved"/>
    <s v="Involuntary"/>
    <x v="9"/>
    <n v="113"/>
    <n v="1"/>
    <s v="01-2026"/>
    <s v="05-2026"/>
    <n v="0"/>
    <n v="1"/>
    <x v="3"/>
  </r>
  <r>
    <s v="EMP1630"/>
    <s v="Exploring Infinities - Sales"/>
    <s v="SALES"/>
    <s v="Sales - English - India"/>
    <s v="Director 2"/>
    <s v="Hyderabad"/>
    <s v="WFH"/>
    <d v="2025-10-26T00:00:00"/>
    <d v="2026-04-26T00:00:00"/>
    <s v="Relieved"/>
    <s v="Involuntary"/>
    <x v="6"/>
    <n v="182"/>
    <n v="1"/>
    <s v="10-2025"/>
    <s v="04-2026"/>
    <n v="0"/>
    <n v="1"/>
    <x v="1"/>
  </r>
  <r>
    <s v="EMP1672"/>
    <s v="Exploring Infinities - Sales"/>
    <s v="SALES"/>
    <s v="Sales - English - India"/>
    <s v="Director 2"/>
    <s v="Hyderabad"/>
    <s v="WFH"/>
    <d v="2026-04-27T00:00:00"/>
    <d v="2026-05-15T00:00:00"/>
    <s v="Relieved"/>
    <s v="Involuntary"/>
    <x v="9"/>
    <n v="18"/>
    <n v="1"/>
    <s v="04-2026"/>
    <s v="05-2026"/>
    <n v="0"/>
    <n v="1"/>
    <x v="0"/>
  </r>
  <r>
    <s v="EMP1620"/>
    <s v="Exploring Infinities - Sales"/>
    <s v="SALES"/>
    <s v="Sales - English - India"/>
    <s v="Director 2"/>
    <s v="Hyderabad"/>
    <s v="WFH"/>
    <d v="2026-03-27T00:00:00"/>
    <m/>
    <s v="Active"/>
    <m/>
    <x v="2"/>
    <n v="95"/>
    <n v="0"/>
    <s v="03-2026"/>
    <s v=""/>
    <n v="0"/>
    <n v="0"/>
    <x v="3"/>
  </r>
  <r>
    <s v="EMP1642"/>
    <s v="Exploring Infinities - Sales"/>
    <s v="SALES"/>
    <s v="Sales - English - India"/>
    <s v="Director 2"/>
    <s v="Hyderabad"/>
    <s v="WFH"/>
    <d v="2025-05-27T00:00:00"/>
    <d v="2026-04-30T00:00:00"/>
    <s v="Relieved"/>
    <s v="Involuntary"/>
    <x v="9"/>
    <n v="338"/>
    <n v="1"/>
    <s v="05-2025"/>
    <s v="04-2026"/>
    <n v="0"/>
    <n v="1"/>
    <x v="1"/>
  </r>
  <r>
    <s v="EMP1645"/>
    <s v="Exploring Infinities - Sales"/>
    <s v="SALES"/>
    <s v="Sales - English - India"/>
    <s v="Director 2"/>
    <s v="Hyderabad"/>
    <s v="WFH"/>
    <d v="2026-04-28T00:00:00"/>
    <d v="2026-04-28T00:00:00"/>
    <s v="Relieved"/>
    <s v="Voluntary"/>
    <x v="8"/>
    <n v="0"/>
    <n v="1"/>
    <s v="04-2026"/>
    <s v="04-2026"/>
    <n v="1"/>
    <n v="0"/>
    <x v="0"/>
  </r>
  <r>
    <s v="EMP1618"/>
    <s v="Exploring Infinities - Sales"/>
    <s v="SALES"/>
    <s v="Sales - English - India"/>
    <s v="Director 2"/>
    <s v="Hyderabad"/>
    <s v="WFH"/>
    <d v="2025-08-28T00:00:00"/>
    <d v="2026-04-21T00:00:00"/>
    <s v="Relieved"/>
    <s v="Voluntary"/>
    <x v="8"/>
    <n v="236"/>
    <n v="1"/>
    <s v="08-2025"/>
    <s v="04-2026"/>
    <n v="1"/>
    <n v="0"/>
    <x v="1"/>
  </r>
  <r>
    <s v="EMP1637"/>
    <s v="Exploring Infinities - Sales"/>
    <s v="SALES"/>
    <s v="Sales - English - India"/>
    <s v="Director 2"/>
    <s v="Hyderabad"/>
    <s v="WFH"/>
    <d v="2026-03-28T00:00:00"/>
    <m/>
    <s v="Active"/>
    <m/>
    <x v="2"/>
    <n v="94"/>
    <n v="0"/>
    <s v="03-2026"/>
    <s v=""/>
    <n v="0"/>
    <n v="0"/>
    <x v="3"/>
  </r>
  <r>
    <s v="EMP1707"/>
    <s v="Exploring Infinities - Sales"/>
    <s v="SALES"/>
    <s v="Sales - English - India"/>
    <s v="Director 2"/>
    <s v="Hyderabad"/>
    <s v="WFH"/>
    <d v="2026-05-28T00:00:00"/>
    <d v="2026-05-28T00:00:00"/>
    <s v="Relieved"/>
    <s v="Voluntary"/>
    <x v="0"/>
    <n v="0"/>
    <n v="1"/>
    <s v="05-2026"/>
    <s v="05-2026"/>
    <n v="1"/>
    <n v="0"/>
    <x v="0"/>
  </r>
  <r>
    <s v="EMP1649"/>
    <s v="Exploring Infinities - Sales"/>
    <s v="SALES"/>
    <s v="Sales - English - India"/>
    <s v="Director 2"/>
    <s v="Hyderabad"/>
    <s v="WFH"/>
    <d v="2026-04-29T00:00:00"/>
    <m/>
    <s v="Active"/>
    <m/>
    <x v="2"/>
    <n v="62"/>
    <n v="0"/>
    <s v="04-2026"/>
    <s v=""/>
    <n v="0"/>
    <n v="0"/>
    <x v="0"/>
  </r>
  <r>
    <s v="EMP1704"/>
    <s v="Exploring Infinities - Sales"/>
    <s v="SALES"/>
    <s v="Sales - English - India"/>
    <s v="Director 2"/>
    <s v="Hyderabad"/>
    <s v="WFH"/>
    <d v="2026-04-29T00:00:00"/>
    <m/>
    <s v="Active"/>
    <m/>
    <x v="2"/>
    <n v="62"/>
    <n v="0"/>
    <s v="04-2026"/>
    <s v=""/>
    <n v="0"/>
    <n v="0"/>
    <x v="0"/>
  </r>
  <r>
    <s v="EMP1641"/>
    <s v="Exploring Infinities - Sales"/>
    <s v="SALES"/>
    <s v="Sales - English - India"/>
    <s v="Director 2"/>
    <s v="Hyderabad"/>
    <s v="WFH"/>
    <d v="2025-08-29T00:00:00"/>
    <d v="2026-05-25T00:00:00"/>
    <s v="Relieved"/>
    <s v="Involuntary"/>
    <x v="1"/>
    <n v="269"/>
    <n v="1"/>
    <s v="08-2025"/>
    <s v="05-2026"/>
    <n v="0"/>
    <n v="1"/>
    <x v="1"/>
  </r>
  <r>
    <s v="EMP1715"/>
    <s v="Exploring Infinities - Sales"/>
    <s v="SALES"/>
    <s v="Sales - English - India"/>
    <s v="Director 2"/>
    <s v="Hyderabad"/>
    <s v="WFH"/>
    <d v="2026-06-29T00:00:00"/>
    <d v="2026-06-29T00:00:00"/>
    <s v="Relieved"/>
    <s v="Voluntary"/>
    <x v="10"/>
    <n v="0"/>
    <n v="1"/>
    <s v="06-2026"/>
    <s v="06-2026"/>
    <n v="1"/>
    <n v="0"/>
    <x v="0"/>
  </r>
  <r>
    <s v="EMP1631"/>
    <s v="Exploring Infinities - Sales"/>
    <s v="SALES"/>
    <s v="Sales - English - India"/>
    <s v="Director 2"/>
    <s v="Hyderabad"/>
    <s v="WFH"/>
    <d v="2025-06-30T00:00:00"/>
    <d v="2026-04-30T00:00:00"/>
    <s v="Relieved"/>
    <s v="Voluntary"/>
    <x v="10"/>
    <n v="304"/>
    <n v="1"/>
    <s v="06-2025"/>
    <s v="04-2026"/>
    <n v="1"/>
    <n v="0"/>
    <x v="1"/>
  </r>
  <r>
    <s v="EMP1714"/>
    <s v="Exploring Infinities - Sales"/>
    <s v="SALES"/>
    <s v="Sales - English - India"/>
    <s v="Director 2"/>
    <s v="Hyderabad"/>
    <s v="WFH"/>
    <d v="2026-06-30T00:00:00"/>
    <d v="2026-06-30T00:00:00"/>
    <s v="Relieved"/>
    <s v="Voluntary"/>
    <x v="8"/>
    <n v="0"/>
    <n v="1"/>
    <s v="06-2026"/>
    <s v="06-2026"/>
    <n v="1"/>
    <n v="0"/>
    <x v="0"/>
  </r>
  <r>
    <s v="EMP1601"/>
    <s v="Exploring Infinities - Sales"/>
    <s v="SALES"/>
    <s v="Sales - English - India"/>
    <s v="Director 2"/>
    <s v="Hyderabad"/>
    <s v="WFO"/>
    <d v="2026-04-02T00:00:00"/>
    <d v="2026-04-15T00:00:00"/>
    <s v="Relieved"/>
    <s v="Voluntary"/>
    <x v="8"/>
    <n v="13"/>
    <n v="1"/>
    <s v="04-2026"/>
    <s v="04-2026"/>
    <n v="1"/>
    <n v="0"/>
    <x v="0"/>
  </r>
  <r>
    <s v="EMP1554"/>
    <s v="Exploring Infinities - Sales"/>
    <s v="SALES"/>
    <s v="Sales - English - India"/>
    <s v="Director 2"/>
    <s v="Hyderabad"/>
    <s v="WFO"/>
    <d v="2025-12-02T00:00:00"/>
    <m/>
    <s v="Active"/>
    <m/>
    <x v="2"/>
    <n v="210"/>
    <n v="0"/>
    <s v="12-2025"/>
    <s v=""/>
    <n v="0"/>
    <n v="0"/>
    <x v="1"/>
  </r>
  <r>
    <s v="EMP1549"/>
    <s v="Exploring Infinities - Sales"/>
    <s v="SALES"/>
    <s v="Sales - English - India"/>
    <s v="Director 2"/>
    <s v="Hyderabad"/>
    <s v="WFO"/>
    <d v="2025-07-02T00:00:00"/>
    <d v="2026-05-08T00:00:00"/>
    <s v="Relieved"/>
    <s v="Voluntary"/>
    <x v="0"/>
    <n v="310"/>
    <n v="1"/>
    <s v="07-2025"/>
    <s v="05-2026"/>
    <n v="1"/>
    <n v="0"/>
    <x v="1"/>
  </r>
  <r>
    <s v="EMP1582"/>
    <s v="Exploring Infinities - Sales"/>
    <s v="SALES"/>
    <s v="Sales - English - India"/>
    <s v="Director 2"/>
    <s v="Hyderabad"/>
    <s v="WFO"/>
    <d v="2025-04-03T00:00:00"/>
    <d v="2026-05-27T00:00:00"/>
    <s v="Relieved"/>
    <s v="Involuntary"/>
    <x v="9"/>
    <n v="419"/>
    <n v="1"/>
    <s v="04-2025"/>
    <s v="05-2026"/>
    <n v="0"/>
    <n v="1"/>
    <x v="2"/>
  </r>
  <r>
    <s v="EMP1587"/>
    <s v="Exploring Infinities - Sales"/>
    <s v="SALES"/>
    <s v="Sales - English - India"/>
    <s v="Director 2"/>
    <s v="Hyderabad"/>
    <s v="WFO"/>
    <d v="2026-04-03T00:00:00"/>
    <d v="2026-05-30T00:00:00"/>
    <s v="Relieved"/>
    <s v="Voluntary"/>
    <x v="3"/>
    <n v="57"/>
    <n v="1"/>
    <s v="04-2026"/>
    <s v="05-2026"/>
    <n v="1"/>
    <n v="0"/>
    <x v="0"/>
  </r>
  <r>
    <s v="EMP1586"/>
    <s v="Exploring Infinities - Sales"/>
    <s v="SALES"/>
    <s v="Sales - English - India"/>
    <s v="Director 2"/>
    <s v="Hyderabad"/>
    <s v="WFO"/>
    <d v="2026-04-04T00:00:00"/>
    <m/>
    <s v="Active"/>
    <m/>
    <x v="2"/>
    <n v="87"/>
    <n v="0"/>
    <s v="04-2026"/>
    <s v=""/>
    <n v="0"/>
    <n v="0"/>
    <x v="0"/>
  </r>
  <r>
    <s v="EMP1551"/>
    <s v="Exploring Infinities - Sales"/>
    <s v="SALES"/>
    <s v="Sales - English - India"/>
    <s v="Director 2"/>
    <s v="Hyderabad"/>
    <s v="WFO"/>
    <d v="2026-02-04T00:00:00"/>
    <m/>
    <s v="Active"/>
    <m/>
    <x v="2"/>
    <n v="146"/>
    <n v="0"/>
    <s v="02-2026"/>
    <s v=""/>
    <n v="0"/>
    <n v="0"/>
    <x v="3"/>
  </r>
  <r>
    <s v="EMP1557"/>
    <s v="Exploring Infinities - Sales"/>
    <s v="SALES"/>
    <s v="Sales - English - India"/>
    <s v="Director 2"/>
    <s v="Hyderabad"/>
    <s v="WFO"/>
    <d v="2025-03-05T00:00:00"/>
    <d v="2026-05-10T00:00:00"/>
    <s v="Relieved"/>
    <s v="Involuntary"/>
    <x v="6"/>
    <n v="431"/>
    <n v="1"/>
    <s v="03-2025"/>
    <s v="05-2026"/>
    <n v="0"/>
    <n v="1"/>
    <x v="2"/>
  </r>
  <r>
    <s v="EMP1580"/>
    <s v="Exploring Infinities - Sales"/>
    <s v="SALES"/>
    <s v="Sales - English - India"/>
    <s v="Director 2"/>
    <s v="Hyderabad"/>
    <s v="WFO"/>
    <d v="2025-11-05T00:00:00"/>
    <m/>
    <s v="Active"/>
    <m/>
    <x v="2"/>
    <n v="237"/>
    <n v="0"/>
    <s v="11-2025"/>
    <s v=""/>
    <n v="0"/>
    <n v="0"/>
    <x v="1"/>
  </r>
  <r>
    <s v="EMP1566"/>
    <s v="Exploring Infinities - Sales"/>
    <s v="SALES"/>
    <s v="Sales - English - India"/>
    <s v="Director 2"/>
    <s v="Hyderabad"/>
    <s v="WFO"/>
    <d v="2025-04-06T00:00:00"/>
    <d v="2026-05-20T00:00:00"/>
    <s v="Relieved"/>
    <s v="Involuntary"/>
    <x v="9"/>
    <n v="409"/>
    <n v="1"/>
    <s v="04-2025"/>
    <s v="05-2026"/>
    <n v="0"/>
    <n v="1"/>
    <x v="2"/>
  </r>
  <r>
    <s v="EMP1596"/>
    <s v="Exploring Infinities - Sales"/>
    <s v="SALES"/>
    <s v="Sales - English - India"/>
    <s v="Director 2"/>
    <s v="Hyderabad"/>
    <s v="WFO"/>
    <d v="2026-04-06T00:00:00"/>
    <d v="2026-05-29T00:00:00"/>
    <s v="Relieved"/>
    <s v="Voluntary"/>
    <x v="0"/>
    <n v="53"/>
    <n v="1"/>
    <s v="04-2026"/>
    <s v="05-2026"/>
    <n v="1"/>
    <n v="0"/>
    <x v="0"/>
  </r>
  <r>
    <s v="EMP1577"/>
    <s v="Exploring Infinities - Sales"/>
    <s v="SALES"/>
    <s v="Sales - English - India"/>
    <s v="Director 2"/>
    <s v="Hyderabad"/>
    <s v="WFO"/>
    <d v="2025-08-06T00:00:00"/>
    <m/>
    <s v="Active"/>
    <m/>
    <x v="2"/>
    <n v="328"/>
    <n v="0"/>
    <s v="08-2025"/>
    <s v=""/>
    <n v="0"/>
    <n v="0"/>
    <x v="1"/>
  </r>
  <r>
    <s v="EMP1547"/>
    <s v="Exploring Infinities - Sales"/>
    <s v="SALES"/>
    <s v="Sales - English - India"/>
    <s v="Director 2"/>
    <s v="Hyderabad"/>
    <s v="WFO"/>
    <d v="2025-04-08T00:00:00"/>
    <m/>
    <s v="Active"/>
    <m/>
    <x v="2"/>
    <n v="448"/>
    <n v="0"/>
    <s v="04-2025"/>
    <s v=""/>
    <n v="0"/>
    <n v="0"/>
    <x v="2"/>
  </r>
  <r>
    <s v="EMP1576"/>
    <s v="Exploring Infinities - Sales"/>
    <s v="SALES"/>
    <s v="Sales - English - India"/>
    <s v="Director 2"/>
    <s v="Hyderabad"/>
    <s v="WFO"/>
    <d v="2026-01-08T00:00:00"/>
    <d v="2026-04-23T00:00:00"/>
    <s v="Relieved"/>
    <s v="Involuntary"/>
    <x v="9"/>
    <n v="105"/>
    <n v="1"/>
    <s v="01-2026"/>
    <s v="04-2026"/>
    <n v="0"/>
    <n v="1"/>
    <x v="3"/>
  </r>
  <r>
    <s v="EMP1559"/>
    <s v="Exploring Infinities - Sales"/>
    <s v="SALES"/>
    <s v="Sales - English - India"/>
    <s v="Director 2"/>
    <s v="Hyderabad"/>
    <s v="WFO"/>
    <d v="2025-07-08T00:00:00"/>
    <m/>
    <s v="Active"/>
    <m/>
    <x v="2"/>
    <n v="357"/>
    <n v="0"/>
    <s v="07-2025"/>
    <s v=""/>
    <n v="0"/>
    <n v="0"/>
    <x v="1"/>
  </r>
  <r>
    <s v="EMP1570"/>
    <s v="Exploring Infinities - Sales"/>
    <s v="SALES"/>
    <s v="Sales - English - India"/>
    <s v="Director 2"/>
    <s v="Hyderabad"/>
    <s v="WFO"/>
    <d v="2025-07-08T00:00:00"/>
    <d v="2026-05-20T00:00:00"/>
    <s v="Relieved"/>
    <s v="Involuntary"/>
    <x v="9"/>
    <n v="316"/>
    <n v="1"/>
    <s v="07-2025"/>
    <s v="05-2026"/>
    <n v="0"/>
    <n v="1"/>
    <x v="1"/>
  </r>
  <r>
    <s v="EMP1579"/>
    <s v="Exploring Infinities - Sales"/>
    <s v="SALES"/>
    <s v="Sales - English - India"/>
    <s v="Director 2"/>
    <s v="Hyderabad"/>
    <s v="WFO"/>
    <d v="2025-08-09T00:00:00"/>
    <m/>
    <s v="Active"/>
    <m/>
    <x v="2"/>
    <n v="325"/>
    <n v="0"/>
    <s v="08-2025"/>
    <s v=""/>
    <n v="0"/>
    <n v="0"/>
    <x v="1"/>
  </r>
  <r>
    <s v="EMP1584"/>
    <s v="Exploring Infinities - Sales"/>
    <s v="SALES"/>
    <s v="Sales - English - India"/>
    <s v="Director 2"/>
    <s v="Hyderabad"/>
    <s v="WFO"/>
    <d v="2026-04-10T00:00:00"/>
    <m/>
    <s v="Active"/>
    <m/>
    <x v="2"/>
    <n v="81"/>
    <n v="0"/>
    <s v="04-2026"/>
    <s v=""/>
    <n v="0"/>
    <n v="0"/>
    <x v="0"/>
  </r>
  <r>
    <s v="EMP1590"/>
    <s v="Exploring Infinities - Sales"/>
    <s v="SALES"/>
    <s v="Sales - English - India"/>
    <s v="Director 2"/>
    <s v="Hyderabad"/>
    <s v="WFO"/>
    <d v="2026-04-10T00:00:00"/>
    <m/>
    <s v="Active"/>
    <m/>
    <x v="2"/>
    <n v="81"/>
    <n v="0"/>
    <s v="04-2026"/>
    <s v=""/>
    <n v="0"/>
    <n v="0"/>
    <x v="0"/>
  </r>
  <r>
    <s v="EMP1591"/>
    <s v="Exploring Infinities - Sales"/>
    <s v="SALES"/>
    <s v="Sales - English - India"/>
    <s v="Director 2"/>
    <s v="Hyderabad"/>
    <s v="WFO"/>
    <d v="2026-04-10T00:00:00"/>
    <d v="2026-04-15T00:00:00"/>
    <s v="Relieved"/>
    <s v="Voluntary"/>
    <x v="5"/>
    <n v="5"/>
    <n v="1"/>
    <s v="04-2026"/>
    <s v="04-2026"/>
    <n v="1"/>
    <n v="0"/>
    <x v="0"/>
  </r>
  <r>
    <s v="EMP1578"/>
    <s v="Exploring Infinities - Sales"/>
    <s v="SALES"/>
    <s v="Sales - English - India"/>
    <s v="Director 2"/>
    <s v="Hyderabad"/>
    <s v="WFO"/>
    <d v="2025-02-10T00:00:00"/>
    <d v="2026-05-17T00:00:00"/>
    <s v="Relieved"/>
    <s v="Involuntary"/>
    <x v="1"/>
    <n v="461"/>
    <n v="1"/>
    <s v="02-2025"/>
    <s v="05-2026"/>
    <n v="0"/>
    <n v="1"/>
    <x v="2"/>
  </r>
  <r>
    <s v="EMP1543"/>
    <s v="Exploring Infinities - Sales"/>
    <s v="SALES"/>
    <s v="Sales - English - India"/>
    <s v="Director 2"/>
    <s v="Hyderabad"/>
    <s v="WFO"/>
    <d v="2025-05-10T00:00:00"/>
    <d v="2026-05-28T00:00:00"/>
    <s v="Relieved"/>
    <s v="Voluntary"/>
    <x v="8"/>
    <n v="383"/>
    <n v="1"/>
    <s v="05-2025"/>
    <s v="05-2026"/>
    <n v="1"/>
    <n v="0"/>
    <x v="2"/>
  </r>
  <r>
    <s v="EMP1606"/>
    <s v="Exploring Infinities - Sales"/>
    <s v="SALES"/>
    <s v="Sales - English - India"/>
    <s v="Director 2"/>
    <s v="Hyderabad"/>
    <s v="WFO"/>
    <d v="2026-05-10T00:00:00"/>
    <d v="2026-05-10T00:00:00"/>
    <s v="Relieved"/>
    <s v="Voluntary"/>
    <x v="0"/>
    <n v="0"/>
    <n v="1"/>
    <s v="05-2026"/>
    <s v="05-2026"/>
    <n v="1"/>
    <n v="0"/>
    <x v="0"/>
  </r>
  <r>
    <s v="EMP1585"/>
    <s v="Exploring Infinities - Sales"/>
    <s v="SALES"/>
    <s v="Sales - English - India"/>
    <s v="Director 2"/>
    <s v="Hyderabad"/>
    <s v="WFO"/>
    <d v="2026-04-11T00:00:00"/>
    <m/>
    <s v="Active"/>
    <m/>
    <x v="2"/>
    <n v="80"/>
    <n v="0"/>
    <s v="04-2026"/>
    <s v=""/>
    <n v="0"/>
    <n v="0"/>
    <x v="0"/>
  </r>
  <r>
    <s v="EMP1588"/>
    <s v="Exploring Infinities - Sales"/>
    <s v="SALES"/>
    <s v="Sales - English - India"/>
    <s v="Director 2"/>
    <s v="Hyderabad"/>
    <s v="WFO"/>
    <d v="2026-04-11T00:00:00"/>
    <m/>
    <s v="Active"/>
    <m/>
    <x v="2"/>
    <n v="80"/>
    <n v="0"/>
    <s v="04-2026"/>
    <s v=""/>
    <n v="0"/>
    <n v="0"/>
    <x v="0"/>
  </r>
  <r>
    <s v="EMP1599"/>
    <s v="Exploring Infinities - Sales"/>
    <s v="SALES"/>
    <s v="Sales - English - India"/>
    <s v="Director 2"/>
    <s v="Hyderabad"/>
    <s v="WFO"/>
    <d v="2026-04-12T00:00:00"/>
    <d v="2026-05-16T00:00:00"/>
    <s v="Relieved"/>
    <s v="Involuntary"/>
    <x v="7"/>
    <n v="34"/>
    <n v="1"/>
    <s v="04-2026"/>
    <s v="05-2026"/>
    <n v="0"/>
    <n v="1"/>
    <x v="0"/>
  </r>
  <r>
    <s v="EMP1560"/>
    <s v="Exploring Infinities - Sales"/>
    <s v="SALES"/>
    <s v="Sales - English - India"/>
    <s v="Director 2"/>
    <s v="Hyderabad"/>
    <s v="WFO"/>
    <d v="2025-08-12T00:00:00"/>
    <d v="2026-05-03T00:00:00"/>
    <s v="Relieved"/>
    <s v="Involuntary"/>
    <x v="9"/>
    <n v="264"/>
    <n v="1"/>
    <s v="08-2025"/>
    <s v="05-2026"/>
    <n v="0"/>
    <n v="1"/>
    <x v="1"/>
  </r>
  <r>
    <s v="EMP1575"/>
    <s v="Exploring Infinities - Sales"/>
    <s v="SALES"/>
    <s v="Sales - English - India"/>
    <s v="Director 2"/>
    <s v="Hyderabad"/>
    <s v="WFO"/>
    <d v="2025-02-12T00:00:00"/>
    <d v="2026-05-03T00:00:00"/>
    <s v="Relieved"/>
    <s v="Involuntary"/>
    <x v="9"/>
    <n v="445"/>
    <n v="1"/>
    <s v="02-2025"/>
    <s v="05-2026"/>
    <n v="0"/>
    <n v="1"/>
    <x v="2"/>
  </r>
  <r>
    <s v="EMP1567"/>
    <s v="Exploring Infinities - Sales"/>
    <s v="SALES"/>
    <s v="Sales - English - India"/>
    <s v="Director 2"/>
    <s v="Hyderabad"/>
    <s v="WFO"/>
    <d v="2025-09-12T00:00:00"/>
    <m/>
    <s v="Active"/>
    <m/>
    <x v="2"/>
    <n v="291"/>
    <n v="0"/>
    <s v="09-2025"/>
    <s v=""/>
    <n v="0"/>
    <n v="0"/>
    <x v="1"/>
  </r>
  <r>
    <s v="EMP1569"/>
    <s v="Exploring Infinities - Sales"/>
    <s v="SALES"/>
    <s v="Sales - English - India"/>
    <s v="Director 2"/>
    <s v="Hyderabad"/>
    <s v="WFO"/>
    <d v="2025-09-12T00:00:00"/>
    <d v="2026-05-26T00:00:00"/>
    <s v="Relieved"/>
    <s v="Involuntary"/>
    <x v="6"/>
    <n v="256"/>
    <n v="1"/>
    <s v="09-2025"/>
    <s v="05-2026"/>
    <n v="0"/>
    <n v="1"/>
    <x v="1"/>
  </r>
  <r>
    <s v="EMP1571"/>
    <s v="Exploring Infinities - Sales"/>
    <s v="SALES"/>
    <s v="Sales - English - India"/>
    <s v="Director 2"/>
    <s v="Hyderabad"/>
    <s v="WFO"/>
    <d v="2026-02-13T00:00:00"/>
    <d v="2026-05-05T00:00:00"/>
    <s v="Relieved"/>
    <s v="Involuntary"/>
    <x v="7"/>
    <n v="81"/>
    <n v="1"/>
    <s v="02-2026"/>
    <s v="05-2026"/>
    <n v="0"/>
    <n v="1"/>
    <x v="0"/>
  </r>
  <r>
    <s v="EMP1595"/>
    <s v="Exploring Infinities - Sales"/>
    <s v="SALES"/>
    <s v="Sales - English - India"/>
    <s v="Director 2"/>
    <s v="Hyderabad"/>
    <s v="WFO"/>
    <d v="2026-04-14T00:00:00"/>
    <m/>
    <s v="Active"/>
    <m/>
    <x v="2"/>
    <n v="77"/>
    <n v="0"/>
    <s v="04-2026"/>
    <s v=""/>
    <n v="0"/>
    <n v="0"/>
    <x v="0"/>
  </r>
  <r>
    <s v="EMP1563"/>
    <s v="Exploring Infinities - Sales"/>
    <s v="SALES"/>
    <s v="Sales - English - India"/>
    <s v="Director 2"/>
    <s v="Hyderabad"/>
    <s v="WFO"/>
    <d v="2025-08-14T00:00:00"/>
    <d v="2026-05-19T00:00:00"/>
    <s v="Relieved"/>
    <s v="Involuntary"/>
    <x v="1"/>
    <n v="278"/>
    <n v="1"/>
    <s v="08-2025"/>
    <s v="05-2026"/>
    <n v="0"/>
    <n v="1"/>
    <x v="1"/>
  </r>
  <r>
    <s v="EMP1558"/>
    <s v="Exploring Infinities - Sales"/>
    <s v="SALES"/>
    <s v="Sales - English - India"/>
    <s v="Director 2"/>
    <s v="Hyderabad"/>
    <s v="WFO"/>
    <d v="2026-02-14T00:00:00"/>
    <m/>
    <s v="Active"/>
    <m/>
    <x v="2"/>
    <n v="136"/>
    <n v="0"/>
    <s v="02-2026"/>
    <s v=""/>
    <n v="0"/>
    <n v="0"/>
    <x v="3"/>
  </r>
  <r>
    <s v="EMP1607"/>
    <s v="Exploring Infinities - Sales"/>
    <s v="SALES"/>
    <s v="Sales - English - India"/>
    <s v="Director 2"/>
    <s v="Hyderabad"/>
    <s v="WFO"/>
    <d v="2026-06-14T00:00:00"/>
    <m/>
    <s v="Active"/>
    <m/>
    <x v="2"/>
    <n v="16"/>
    <n v="0"/>
    <s v="06-2026"/>
    <s v=""/>
    <n v="0"/>
    <n v="0"/>
    <x v="0"/>
  </r>
  <r>
    <s v="EMP1592"/>
    <s v="Exploring Infinities - Sales"/>
    <s v="SALES"/>
    <s v="Sales - English - India"/>
    <s v="Director 2"/>
    <s v="Hyderabad"/>
    <s v="WFO"/>
    <d v="2026-04-15T00:00:00"/>
    <d v="2026-04-29T00:00:00"/>
    <s v="Relieved"/>
    <s v="Voluntary"/>
    <x v="3"/>
    <n v="14"/>
    <n v="1"/>
    <s v="04-2026"/>
    <s v="04-2026"/>
    <n v="1"/>
    <n v="0"/>
    <x v="0"/>
  </r>
  <r>
    <s v="EMP1598"/>
    <s v="Exploring Infinities - Sales"/>
    <s v="SALES"/>
    <s v="Sales - English - India"/>
    <s v="Director 2"/>
    <s v="Hyderabad"/>
    <s v="WFO"/>
    <d v="2026-04-15T00:00:00"/>
    <d v="2026-05-31T00:00:00"/>
    <s v="Relieved"/>
    <s v="Involuntary"/>
    <x v="7"/>
    <n v="46"/>
    <n v="1"/>
    <s v="04-2026"/>
    <s v="05-2026"/>
    <n v="0"/>
    <n v="1"/>
    <x v="0"/>
  </r>
  <r>
    <s v="EMP1600"/>
    <s v="Exploring Infinities - Sales"/>
    <s v="SALES"/>
    <s v="Sales - English - India"/>
    <s v="Director 2"/>
    <s v="Hyderabad"/>
    <s v="WFO"/>
    <d v="2026-04-15T00:00:00"/>
    <d v="2026-05-31T00:00:00"/>
    <s v="Relieved"/>
    <s v="Voluntary"/>
    <x v="4"/>
    <n v="46"/>
    <n v="1"/>
    <s v="04-2026"/>
    <s v="05-2026"/>
    <n v="1"/>
    <n v="0"/>
    <x v="0"/>
  </r>
  <r>
    <s v="EMP1574"/>
    <s v="Exploring Infinities - Sales"/>
    <s v="SALES"/>
    <s v="Sales - English - India"/>
    <s v="Director 2"/>
    <s v="Hyderabad"/>
    <s v="WFO"/>
    <d v="2026-02-15T00:00:00"/>
    <d v="2026-04-26T00:00:00"/>
    <s v="Relieved"/>
    <s v="Voluntary"/>
    <x v="3"/>
    <n v="70"/>
    <n v="1"/>
    <s v="02-2026"/>
    <s v="04-2026"/>
    <n v="1"/>
    <n v="0"/>
    <x v="0"/>
  </r>
  <r>
    <s v="EMP1562"/>
    <s v="Exploring Infinities - Sales"/>
    <s v="SALES"/>
    <s v="Sales - English - India"/>
    <s v="Director 2"/>
    <s v="Hyderabad"/>
    <s v="WFO"/>
    <d v="2026-01-16T00:00:00"/>
    <d v="2026-05-16T00:00:00"/>
    <s v="Relieved"/>
    <s v="Involuntary"/>
    <x v="1"/>
    <n v="120"/>
    <n v="1"/>
    <s v="01-2026"/>
    <s v="05-2026"/>
    <n v="0"/>
    <n v="1"/>
    <x v="3"/>
  </r>
  <r>
    <s v="EMP1564"/>
    <s v="Exploring Infinities - Sales"/>
    <s v="SALES"/>
    <s v="Sales - English - India"/>
    <s v="Director 2"/>
    <s v="Hyderabad"/>
    <s v="WFO"/>
    <d v="2025-07-17T00:00:00"/>
    <d v="2026-04-28T00:00:00"/>
    <s v="Relieved"/>
    <s v="Voluntary"/>
    <x v="0"/>
    <n v="285"/>
    <n v="1"/>
    <s v="07-2025"/>
    <s v="04-2026"/>
    <n v="1"/>
    <n v="0"/>
    <x v="1"/>
  </r>
  <r>
    <s v="EMP1573"/>
    <s v="Exploring Infinities - Sales"/>
    <s v="SALES"/>
    <s v="Sales - English - India"/>
    <s v="Director 2"/>
    <s v="Hyderabad"/>
    <s v="WFO"/>
    <d v="2025-05-17T00:00:00"/>
    <d v="2026-05-27T00:00:00"/>
    <s v="Relieved"/>
    <s v="Involuntary"/>
    <x v="9"/>
    <n v="375"/>
    <n v="1"/>
    <s v="05-2025"/>
    <s v="05-2026"/>
    <n v="0"/>
    <n v="1"/>
    <x v="2"/>
  </r>
  <r>
    <s v="EMP1583"/>
    <s v="Exploring Infinities - Sales"/>
    <s v="SALES"/>
    <s v="Sales - English - India"/>
    <s v="Director 2"/>
    <s v="Hyderabad"/>
    <s v="WFO"/>
    <d v="2026-04-18T00:00:00"/>
    <m/>
    <s v="Active"/>
    <m/>
    <x v="2"/>
    <n v="73"/>
    <n v="0"/>
    <s v="04-2026"/>
    <s v=""/>
    <n v="0"/>
    <n v="0"/>
    <x v="0"/>
  </r>
  <r>
    <s v="EMP1550"/>
    <s v="Exploring Infinities - Sales"/>
    <s v="SALES"/>
    <s v="Sales - English - India"/>
    <s v="Director 2"/>
    <s v="Hyderabad"/>
    <s v="WFO"/>
    <d v="2026-03-18T00:00:00"/>
    <m/>
    <s v="Active"/>
    <m/>
    <x v="2"/>
    <n v="104"/>
    <n v="0"/>
    <s v="03-2026"/>
    <s v=""/>
    <n v="0"/>
    <n v="0"/>
    <x v="3"/>
  </r>
  <r>
    <s v="EMP1544"/>
    <s v="Exploring Infinities - Sales"/>
    <s v="SALES"/>
    <s v="Sales - English - India"/>
    <s v="Director 2"/>
    <s v="Hyderabad"/>
    <s v="WFO"/>
    <d v="2025-01-19T00:00:00"/>
    <m/>
    <s v="Active"/>
    <m/>
    <x v="2"/>
    <n v="527"/>
    <n v="0"/>
    <s v="01-2025"/>
    <s v=""/>
    <n v="0"/>
    <n v="0"/>
    <x v="2"/>
  </r>
  <r>
    <s v="EMP1555"/>
    <s v="Exploring Infinities - Sales"/>
    <s v="SALES"/>
    <s v="Sales - English - India"/>
    <s v="Director 2"/>
    <s v="Hyderabad"/>
    <s v="WFO"/>
    <d v="2025-06-19T00:00:00"/>
    <m/>
    <s v="Active"/>
    <m/>
    <x v="2"/>
    <n v="376"/>
    <n v="0"/>
    <s v="06-2025"/>
    <s v=""/>
    <n v="0"/>
    <n v="0"/>
    <x v="2"/>
  </r>
  <r>
    <s v="EMP1593"/>
    <s v="Exploring Infinities - Sales"/>
    <s v="SALES"/>
    <s v="Sales - English - India"/>
    <s v="Director 2"/>
    <s v="Hyderabad"/>
    <s v="WFO"/>
    <d v="2026-04-20T00:00:00"/>
    <m/>
    <s v="Active"/>
    <m/>
    <x v="2"/>
    <n v="71"/>
    <n v="0"/>
    <s v="04-2026"/>
    <s v=""/>
    <n v="0"/>
    <n v="0"/>
    <x v="0"/>
  </r>
  <r>
    <s v="EMP1553"/>
    <s v="Exploring Infinities - Sales"/>
    <s v="SALES"/>
    <s v="Sales - English - India"/>
    <s v="Director 2"/>
    <s v="Hyderabad"/>
    <s v="WFO"/>
    <d v="2026-03-20T00:00:00"/>
    <m/>
    <s v="Active"/>
    <m/>
    <x v="2"/>
    <n v="102"/>
    <n v="0"/>
    <s v="03-2026"/>
    <s v=""/>
    <n v="0"/>
    <n v="0"/>
    <x v="3"/>
  </r>
  <r>
    <s v="EMP1556"/>
    <s v="Exploring Infinities - Sales"/>
    <s v="SALES"/>
    <s v="Sales - English - India"/>
    <s v="Director 2"/>
    <s v="Hyderabad"/>
    <s v="WFO"/>
    <d v="2025-05-20T00:00:00"/>
    <d v="2026-04-18T00:00:00"/>
    <s v="Relieved"/>
    <s v="Involuntary"/>
    <x v="7"/>
    <n v="333"/>
    <n v="1"/>
    <s v="05-2025"/>
    <s v="04-2026"/>
    <n v="0"/>
    <n v="1"/>
    <x v="1"/>
  </r>
  <r>
    <s v="EMP1568"/>
    <s v="Exploring Infinities - Sales"/>
    <s v="SALES"/>
    <s v="Sales - English - India"/>
    <s v="Director 2"/>
    <s v="Hyderabad"/>
    <s v="WFO"/>
    <d v="2025-12-21T00:00:00"/>
    <m/>
    <s v="Active"/>
    <m/>
    <x v="2"/>
    <n v="191"/>
    <n v="0"/>
    <s v="12-2025"/>
    <s v=""/>
    <n v="0"/>
    <n v="0"/>
    <x v="1"/>
  </r>
  <r>
    <s v="EMP1545"/>
    <s v="Exploring Infinities - Sales"/>
    <s v="SALES"/>
    <s v="Sales - English - India"/>
    <s v="Director 2"/>
    <s v="Hyderabad"/>
    <s v="WFO"/>
    <d v="2026-01-21T00:00:00"/>
    <d v="2026-05-21T00:00:00"/>
    <s v="Relieved"/>
    <s v="Involuntary"/>
    <x v="7"/>
    <n v="120"/>
    <n v="1"/>
    <s v="01-2026"/>
    <s v="05-2026"/>
    <n v="0"/>
    <n v="1"/>
    <x v="3"/>
  </r>
  <r>
    <s v="EMP1589"/>
    <s v="Exploring Infinities - Sales"/>
    <s v="SALES"/>
    <s v="Sales - English - India"/>
    <s v="Director 2"/>
    <s v="Hyderabad"/>
    <s v="WFO"/>
    <d v="2026-04-22T00:00:00"/>
    <d v="2026-05-06T00:00:00"/>
    <s v="Relieved"/>
    <s v="Involuntary"/>
    <x v="6"/>
    <n v="14"/>
    <n v="1"/>
    <s v="04-2026"/>
    <s v="05-2026"/>
    <n v="0"/>
    <n v="1"/>
    <x v="0"/>
  </r>
  <r>
    <s v="EMP1594"/>
    <s v="Exploring Infinities - Sales"/>
    <s v="SALES"/>
    <s v="Sales - English - India"/>
    <s v="Director 2"/>
    <s v="Hyderabad"/>
    <s v="WFO"/>
    <d v="2026-04-23T00:00:00"/>
    <m/>
    <s v="Active"/>
    <m/>
    <x v="2"/>
    <n v="68"/>
    <n v="0"/>
    <s v="04-2026"/>
    <s v=""/>
    <n v="0"/>
    <n v="0"/>
    <x v="0"/>
  </r>
  <r>
    <s v="EMP1597"/>
    <s v="Exploring Infinities - Sales"/>
    <s v="SALES"/>
    <s v="Sales - English - India"/>
    <s v="Director 2"/>
    <s v="Hyderabad"/>
    <s v="WFO"/>
    <d v="2026-04-23T00:00:00"/>
    <m/>
    <s v="Active"/>
    <m/>
    <x v="2"/>
    <n v="68"/>
    <n v="0"/>
    <s v="04-2026"/>
    <s v=""/>
    <n v="0"/>
    <n v="0"/>
    <x v="0"/>
  </r>
  <r>
    <s v="EMP1565"/>
    <s v="Exploring Infinities - Sales"/>
    <s v="SALES"/>
    <s v="Sales - English - India"/>
    <s v="Director 2"/>
    <s v="Hyderabad"/>
    <s v="WFO"/>
    <d v="2025-06-23T00:00:00"/>
    <d v="2026-05-09T00:00:00"/>
    <s v="Relieved"/>
    <s v="Involuntary"/>
    <x v="1"/>
    <n v="320"/>
    <n v="1"/>
    <s v="06-2025"/>
    <s v="05-2026"/>
    <n v="0"/>
    <n v="1"/>
    <x v="1"/>
  </r>
  <r>
    <s v="EMP1572"/>
    <s v="Exploring Infinities - Sales"/>
    <s v="SALES"/>
    <s v="Sales - English - India"/>
    <s v="Director 2"/>
    <s v="Hyderabad"/>
    <s v="WFO"/>
    <d v="2025-09-23T00:00:00"/>
    <d v="2026-04-22T00:00:00"/>
    <s v="Relieved"/>
    <s v="Voluntary"/>
    <x v="0"/>
    <n v="211"/>
    <n v="1"/>
    <s v="09-2025"/>
    <s v="04-2026"/>
    <n v="1"/>
    <n v="0"/>
    <x v="1"/>
  </r>
  <r>
    <s v="EMP1602"/>
    <s v="Exploring Infinities - Sales"/>
    <s v="SALES"/>
    <s v="Sales - English - India"/>
    <s v="Director 2"/>
    <s v="Hyderabad"/>
    <s v="WFO"/>
    <d v="2026-04-24T00:00:00"/>
    <d v="2026-05-25T00:00:00"/>
    <s v="Relieved"/>
    <s v="Involuntary"/>
    <x v="6"/>
    <n v="31"/>
    <n v="1"/>
    <s v="04-2026"/>
    <s v="05-2026"/>
    <n v="0"/>
    <n v="1"/>
    <x v="0"/>
  </r>
  <r>
    <s v="EMP1561"/>
    <s v="Exploring Infinities - Sales"/>
    <s v="SALES"/>
    <s v="Sales - English - India"/>
    <s v="Director 2"/>
    <s v="Hyderabad"/>
    <s v="WFO"/>
    <d v="2025-07-24T00:00:00"/>
    <d v="2026-05-21T00:00:00"/>
    <s v="Relieved"/>
    <s v="Involuntary"/>
    <x v="1"/>
    <n v="301"/>
    <n v="1"/>
    <s v="07-2025"/>
    <s v="05-2026"/>
    <n v="0"/>
    <n v="1"/>
    <x v="1"/>
  </r>
  <r>
    <s v="EMP1552"/>
    <s v="Exploring Infinities - Sales"/>
    <s v="SALES"/>
    <s v="Sales - English - India"/>
    <s v="Director 2"/>
    <s v="Hyderabad"/>
    <s v="WFO"/>
    <d v="2025-01-25T00:00:00"/>
    <m/>
    <s v="Active"/>
    <m/>
    <x v="2"/>
    <n v="521"/>
    <n v="0"/>
    <s v="01-2025"/>
    <s v=""/>
    <n v="0"/>
    <n v="0"/>
    <x v="2"/>
  </r>
  <r>
    <s v="EMP1581"/>
    <s v="Exploring Infinities - Sales"/>
    <s v="SALES"/>
    <s v="Sales - English - India"/>
    <s v="Director 2"/>
    <s v="Hyderabad"/>
    <s v="WFO"/>
    <d v="2026-02-26T00:00:00"/>
    <d v="2026-05-06T00:00:00"/>
    <s v="Relieved"/>
    <s v="Involuntary"/>
    <x v="7"/>
    <n v="69"/>
    <n v="1"/>
    <s v="02-2026"/>
    <s v="05-2026"/>
    <n v="0"/>
    <n v="1"/>
    <x v="0"/>
  </r>
  <r>
    <s v="EMP1548"/>
    <s v="Exploring Infinities - Sales"/>
    <s v="SALES"/>
    <s v="Sales - English - India"/>
    <s v="Director 2"/>
    <s v="Hyderabad"/>
    <s v="WFO"/>
    <d v="2025-05-27T00:00:00"/>
    <m/>
    <s v="Active"/>
    <m/>
    <x v="2"/>
    <n v="399"/>
    <n v="0"/>
    <s v="05-2025"/>
    <s v=""/>
    <n v="0"/>
    <n v="0"/>
    <x v="2"/>
  </r>
  <r>
    <s v="EMP1603"/>
    <s v="Exploring Infinities - Sales"/>
    <s v="SALES"/>
    <s v="Sales - English - India"/>
    <s v="Director 2"/>
    <s v="Hyderabad"/>
    <s v="WFO"/>
    <d v="2026-04-28T00:00:00"/>
    <d v="2026-06-08T00:00:00"/>
    <s v="Relieved"/>
    <s v="Voluntary"/>
    <x v="5"/>
    <n v="41"/>
    <n v="1"/>
    <s v="04-2026"/>
    <s v="06-2026"/>
    <n v="1"/>
    <n v="0"/>
    <x v="0"/>
  </r>
  <r>
    <s v="EMP1546"/>
    <s v="Exploring Infinities - Sales"/>
    <s v="SALES"/>
    <s v="Sales - English - India"/>
    <s v="Director 2"/>
    <s v="Hyderabad"/>
    <s v="WFO"/>
    <d v="2025-11-28T00:00:00"/>
    <d v="2026-05-21T00:00:00"/>
    <s v="Relieved"/>
    <s v="Involuntary"/>
    <x v="7"/>
    <n v="174"/>
    <n v="1"/>
    <s v="11-2025"/>
    <s v="05-2026"/>
    <n v="0"/>
    <n v="1"/>
    <x v="3"/>
  </r>
  <r>
    <s v="EMP1605"/>
    <s v="Exploring Infinities - Sales"/>
    <s v="SALES"/>
    <s v="Sales - English - India"/>
    <s v="Director 2"/>
    <s v="Hyderabad"/>
    <s v="WFO"/>
    <d v="2026-05-29T00:00:00"/>
    <d v="2026-05-29T00:00:00"/>
    <s v="Relieved"/>
    <s v="Voluntary"/>
    <x v="5"/>
    <n v="0"/>
    <n v="1"/>
    <s v="05-2026"/>
    <s v="05-2026"/>
    <n v="1"/>
    <n v="0"/>
    <x v="0"/>
  </r>
  <r>
    <s v="EMP1604"/>
    <s v="Exploring Infinities - Sales"/>
    <s v="SALES"/>
    <s v="Sales - English - India"/>
    <s v="Director 2"/>
    <s v="Hyderabad"/>
    <s v="WFO"/>
    <d v="2026-04-30T00:00:00"/>
    <d v="2026-04-30T00:00:00"/>
    <s v="Relieved"/>
    <s v="Voluntary"/>
    <x v="8"/>
    <n v="0"/>
    <n v="1"/>
    <s v="04-2026"/>
    <s v="04-2026"/>
    <n v="1"/>
    <n v="0"/>
    <x v="0"/>
  </r>
  <r>
    <s v="EMP1184"/>
    <s v="Exploring Infinities - Sales"/>
    <s v="SALES"/>
    <s v="Sales - India"/>
    <s v="Director 1"/>
    <s v="Bengaluru"/>
    <s v="WFH"/>
    <d v="2025-04-01T00:00:00"/>
    <m/>
    <s v="Active"/>
    <m/>
    <x v="2"/>
    <n v="455"/>
    <n v="0"/>
    <s v="04-2025"/>
    <s v=""/>
    <n v="0"/>
    <n v="0"/>
    <x v="2"/>
  </r>
  <r>
    <s v="EMP1265"/>
    <s v="Exploring Infinities - Sales"/>
    <s v="SALES"/>
    <s v="Sales - India"/>
    <s v="Director 1"/>
    <s v="Bengaluru"/>
    <s v="WFH"/>
    <d v="2026-04-01T00:00:00"/>
    <d v="2026-06-12T00:00:00"/>
    <s v="Relieved"/>
    <s v="Involuntary"/>
    <x v="7"/>
    <n v="72"/>
    <n v="1"/>
    <s v="04-2026"/>
    <s v="06-2026"/>
    <n v="0"/>
    <n v="1"/>
    <x v="0"/>
  </r>
  <r>
    <s v="EMP1272"/>
    <s v="Exploring Infinities - Sales"/>
    <s v="SALES"/>
    <s v="Sales - India"/>
    <s v="Director 1"/>
    <s v="Bengaluru"/>
    <s v="WFH"/>
    <d v="2026-04-01T00:00:00"/>
    <m/>
    <s v="Active"/>
    <m/>
    <x v="2"/>
    <n v="90"/>
    <n v="0"/>
    <s v="04-2026"/>
    <s v=""/>
    <n v="0"/>
    <n v="0"/>
    <x v="3"/>
  </r>
  <r>
    <s v="EMP1294"/>
    <s v="Exploring Infinities - Sales"/>
    <s v="SALES"/>
    <s v="Sales - India"/>
    <s v="Director 1"/>
    <s v="Bengaluru"/>
    <s v="WFH"/>
    <d v="2026-04-01T00:00:00"/>
    <d v="2026-04-23T00:00:00"/>
    <s v="Relieved"/>
    <s v="Voluntary"/>
    <x v="4"/>
    <n v="22"/>
    <n v="1"/>
    <s v="04-2026"/>
    <s v="04-2026"/>
    <n v="1"/>
    <n v="0"/>
    <x v="0"/>
  </r>
  <r>
    <s v="EMP1309"/>
    <s v="Exploring Infinities - Sales"/>
    <s v="SALES"/>
    <s v="Sales - India"/>
    <s v="Director 1"/>
    <s v="Bengaluru"/>
    <s v="WFH"/>
    <d v="2026-04-01T00:00:00"/>
    <d v="2026-06-26T00:00:00"/>
    <s v="Relieved"/>
    <s v="Involuntary"/>
    <x v="1"/>
    <n v="86"/>
    <n v="1"/>
    <s v="04-2026"/>
    <s v="06-2026"/>
    <n v="0"/>
    <n v="1"/>
    <x v="0"/>
  </r>
  <r>
    <s v="EMP1315"/>
    <s v="Exploring Infinities - Sales"/>
    <s v="SALES"/>
    <s v="Sales - India"/>
    <s v="Director 1"/>
    <s v="Bengaluru"/>
    <s v="WFH"/>
    <d v="2026-04-01T00:00:00"/>
    <m/>
    <s v="Active"/>
    <m/>
    <x v="2"/>
    <n v="90"/>
    <n v="0"/>
    <s v="04-2026"/>
    <s v=""/>
    <n v="0"/>
    <n v="0"/>
    <x v="3"/>
  </r>
  <r>
    <s v="EMP1342"/>
    <s v="Exploring Infinities - Sales"/>
    <s v="SALES"/>
    <s v="Sales - India"/>
    <s v="Director 1"/>
    <s v="Bengaluru"/>
    <s v="WFH"/>
    <d v="2026-04-01T00:00:00"/>
    <m/>
    <s v="Active"/>
    <m/>
    <x v="2"/>
    <n v="90"/>
    <n v="0"/>
    <s v="04-2026"/>
    <s v=""/>
    <n v="0"/>
    <n v="0"/>
    <x v="3"/>
  </r>
  <r>
    <s v="EMP1354"/>
    <s v="Exploring Infinities - Sales"/>
    <s v="SALES"/>
    <s v="Sales - India"/>
    <s v="Director 1"/>
    <s v="Bengaluru"/>
    <s v="WFH"/>
    <d v="2026-04-01T00:00:00"/>
    <d v="2026-06-26T00:00:00"/>
    <s v="Relieved"/>
    <s v="Involuntary"/>
    <x v="1"/>
    <n v="86"/>
    <n v="1"/>
    <s v="04-2026"/>
    <s v="06-2026"/>
    <n v="0"/>
    <n v="1"/>
    <x v="0"/>
  </r>
  <r>
    <s v="EMP1161"/>
    <s v="Exploring Infinities - Sales"/>
    <s v="SALES"/>
    <s v="Sales - India"/>
    <s v="Director 1"/>
    <s v="Bengaluru"/>
    <s v="WFH"/>
    <d v="2025-08-01T00:00:00"/>
    <d v="2026-06-27T00:00:00"/>
    <s v="Relieved"/>
    <s v="Involuntary"/>
    <x v="6"/>
    <n v="330"/>
    <n v="1"/>
    <s v="08-2025"/>
    <s v="06-2026"/>
    <n v="0"/>
    <n v="1"/>
    <x v="1"/>
  </r>
  <r>
    <s v="EMP1250"/>
    <s v="Exploring Infinities - Sales"/>
    <s v="SALES"/>
    <s v="Sales - India"/>
    <s v="Director 1"/>
    <s v="Bengaluru"/>
    <s v="WFH"/>
    <d v="2025-08-01T00:00:00"/>
    <d v="2026-04-11T00:00:00"/>
    <s v="Relieved"/>
    <s v="Involuntary"/>
    <x v="6"/>
    <n v="253"/>
    <n v="1"/>
    <s v="08-2025"/>
    <s v="04-2026"/>
    <n v="0"/>
    <n v="1"/>
    <x v="1"/>
  </r>
  <r>
    <s v="EMP1255"/>
    <s v="Exploring Infinities - Sales"/>
    <s v="SALES"/>
    <s v="Sales - India"/>
    <s v="Director 1"/>
    <s v="Bengaluru"/>
    <s v="WFH"/>
    <d v="2025-08-01T00:00:00"/>
    <d v="2026-05-14T00:00:00"/>
    <s v="Relieved"/>
    <s v="Involuntary"/>
    <x v="7"/>
    <n v="286"/>
    <n v="1"/>
    <s v="08-2025"/>
    <s v="05-2026"/>
    <n v="0"/>
    <n v="1"/>
    <x v="1"/>
  </r>
  <r>
    <s v="EMP1256"/>
    <s v="Exploring Infinities - Sales"/>
    <s v="SALES"/>
    <s v="Sales - India"/>
    <s v="Director 1"/>
    <s v="Bengaluru"/>
    <s v="WFH"/>
    <d v="2025-02-01T00:00:00"/>
    <d v="2026-05-28T00:00:00"/>
    <s v="Relieved"/>
    <s v="Involuntary"/>
    <x v="1"/>
    <n v="481"/>
    <n v="1"/>
    <s v="02-2025"/>
    <s v="05-2026"/>
    <n v="0"/>
    <n v="1"/>
    <x v="2"/>
  </r>
  <r>
    <s v="EMP1233"/>
    <s v="Exploring Infinities - Sales"/>
    <s v="SALES"/>
    <s v="Sales - India"/>
    <s v="Director 1"/>
    <s v="Bengaluru"/>
    <s v="WFH"/>
    <d v="2026-01-01T00:00:00"/>
    <d v="2026-04-10T00:00:00"/>
    <s v="Relieved"/>
    <s v="Involuntary"/>
    <x v="6"/>
    <n v="99"/>
    <n v="1"/>
    <s v="01-2026"/>
    <s v="04-2026"/>
    <n v="0"/>
    <n v="1"/>
    <x v="3"/>
  </r>
  <r>
    <s v="EMP1509"/>
    <s v="Exploring Infinities - Sales"/>
    <s v="SALES"/>
    <s v="Sales - India"/>
    <s v="Director 1"/>
    <s v="Bengaluru"/>
    <s v="WFH"/>
    <d v="2026-06-01T00:00:00"/>
    <d v="2026-06-19T00:00:00"/>
    <s v="Relieved"/>
    <s v="Voluntary"/>
    <x v="10"/>
    <n v="18"/>
    <n v="1"/>
    <s v="06-2026"/>
    <s v="06-2026"/>
    <n v="1"/>
    <n v="0"/>
    <x v="0"/>
  </r>
  <r>
    <s v="EMP1516"/>
    <s v="Exploring Infinities - Sales"/>
    <s v="SALES"/>
    <s v="Sales - India"/>
    <s v="Director 1"/>
    <s v="Bengaluru"/>
    <s v="WFH"/>
    <d v="2026-06-01T00:00:00"/>
    <d v="2026-06-27T00:00:00"/>
    <s v="Relieved"/>
    <s v="Voluntary"/>
    <x v="5"/>
    <n v="26"/>
    <n v="1"/>
    <s v="06-2026"/>
    <s v="06-2026"/>
    <n v="1"/>
    <n v="0"/>
    <x v="0"/>
  </r>
  <r>
    <s v="EMP1525"/>
    <s v="Exploring Infinities - Sales"/>
    <s v="SALES"/>
    <s v="Sales - India"/>
    <s v="Director 1"/>
    <s v="Bengaluru"/>
    <s v="WFH"/>
    <d v="2026-06-01T00:00:00"/>
    <m/>
    <s v="Active"/>
    <m/>
    <x v="2"/>
    <n v="29"/>
    <n v="0"/>
    <s v="06-2026"/>
    <s v=""/>
    <n v="0"/>
    <n v="0"/>
    <x v="0"/>
  </r>
  <r>
    <s v="EMP1536"/>
    <s v="Exploring Infinities - Sales"/>
    <s v="SALES"/>
    <s v="Sales - India"/>
    <s v="Director 1"/>
    <s v="Bengaluru"/>
    <s v="WFH"/>
    <d v="2026-06-01T00:00:00"/>
    <m/>
    <s v="Active"/>
    <m/>
    <x v="2"/>
    <n v="29"/>
    <n v="0"/>
    <s v="06-2026"/>
    <s v=""/>
    <n v="0"/>
    <n v="0"/>
    <x v="0"/>
  </r>
  <r>
    <s v="EMP1235"/>
    <s v="Exploring Infinities - Sales"/>
    <s v="SALES"/>
    <s v="Sales - India"/>
    <s v="Director 1"/>
    <s v="Bengaluru"/>
    <s v="WFH"/>
    <d v="2025-05-01T00:00:00"/>
    <d v="2026-04-16T00:00:00"/>
    <s v="Relieved"/>
    <s v="Involuntary"/>
    <x v="6"/>
    <n v="350"/>
    <n v="1"/>
    <s v="05-2025"/>
    <s v="04-2026"/>
    <n v="0"/>
    <n v="1"/>
    <x v="1"/>
  </r>
  <r>
    <s v="EMP1382"/>
    <s v="Exploring Infinities - Sales"/>
    <s v="SALES"/>
    <s v="Sales - India"/>
    <s v="Director 1"/>
    <s v="Bengaluru"/>
    <s v="WFH"/>
    <d v="2026-05-01T00:00:00"/>
    <d v="2026-05-26T00:00:00"/>
    <s v="Relieved"/>
    <s v="Voluntary"/>
    <x v="0"/>
    <n v="25"/>
    <n v="1"/>
    <s v="05-2026"/>
    <s v="05-2026"/>
    <n v="1"/>
    <n v="0"/>
    <x v="0"/>
  </r>
  <r>
    <s v="EMP1391"/>
    <s v="Exploring Infinities - Sales"/>
    <s v="SALES"/>
    <s v="Sales - India"/>
    <s v="Director 1"/>
    <s v="Bengaluru"/>
    <s v="WFH"/>
    <d v="2026-05-01T00:00:00"/>
    <d v="2026-05-07T00:00:00"/>
    <s v="Relieved"/>
    <s v="Voluntary"/>
    <x v="4"/>
    <n v="6"/>
    <n v="1"/>
    <s v="05-2026"/>
    <s v="05-2026"/>
    <n v="1"/>
    <n v="0"/>
    <x v="0"/>
  </r>
  <r>
    <s v="EMP1441"/>
    <s v="Exploring Infinities - Sales"/>
    <s v="SALES"/>
    <s v="Sales - India"/>
    <s v="Director 1"/>
    <s v="Bengaluru"/>
    <s v="WFH"/>
    <d v="2026-05-01T00:00:00"/>
    <d v="2026-05-07T00:00:00"/>
    <s v="Relieved"/>
    <s v="Voluntary"/>
    <x v="8"/>
    <n v="6"/>
    <n v="1"/>
    <s v="05-2026"/>
    <s v="05-2026"/>
    <n v="1"/>
    <n v="0"/>
    <x v="0"/>
  </r>
  <r>
    <s v="EMP1201"/>
    <s v="Exploring Infinities - Sales"/>
    <s v="SALES"/>
    <s v="Sales - India"/>
    <s v="Director 1"/>
    <s v="Bengaluru"/>
    <s v="WFH"/>
    <d v="2025-11-01T00:00:00"/>
    <d v="2026-04-28T00:00:00"/>
    <s v="Relieved"/>
    <s v="Involuntary"/>
    <x v="9"/>
    <n v="178"/>
    <n v="1"/>
    <s v="11-2025"/>
    <s v="04-2026"/>
    <n v="0"/>
    <n v="1"/>
    <x v="3"/>
  </r>
  <r>
    <s v="EMP1155"/>
    <s v="Exploring Infinities - Sales"/>
    <s v="SALES"/>
    <s v="Sales - India"/>
    <s v="Director 1"/>
    <s v="Bengaluru"/>
    <s v="WFH"/>
    <d v="2025-09-01T00:00:00"/>
    <d v="2026-04-28T00:00:00"/>
    <s v="Relieved"/>
    <s v="Involuntary"/>
    <x v="1"/>
    <n v="239"/>
    <n v="1"/>
    <s v="09-2025"/>
    <s v="04-2026"/>
    <n v="0"/>
    <n v="1"/>
    <x v="1"/>
  </r>
  <r>
    <s v="EMP1216"/>
    <s v="Exploring Infinities - Sales"/>
    <s v="SALES"/>
    <s v="Sales - India"/>
    <s v="Director 1"/>
    <s v="Bengaluru"/>
    <s v="WFH"/>
    <d v="2025-09-01T00:00:00"/>
    <m/>
    <s v="Active"/>
    <m/>
    <x v="2"/>
    <n v="302"/>
    <n v="0"/>
    <s v="09-2025"/>
    <s v=""/>
    <n v="0"/>
    <n v="0"/>
    <x v="1"/>
  </r>
  <r>
    <s v="EMP1323"/>
    <s v="Exploring Infinities - Sales"/>
    <s v="SALES"/>
    <s v="Sales - India"/>
    <s v="Director 1"/>
    <s v="Bengaluru"/>
    <s v="WFH"/>
    <d v="2026-04-02T00:00:00"/>
    <m/>
    <s v="Active"/>
    <m/>
    <x v="2"/>
    <n v="89"/>
    <n v="0"/>
    <s v="04-2026"/>
    <s v=""/>
    <n v="0"/>
    <n v="0"/>
    <x v="0"/>
  </r>
  <r>
    <s v="EMP1345"/>
    <s v="Exploring Infinities - Sales"/>
    <s v="SALES"/>
    <s v="Sales - India"/>
    <s v="Director 1"/>
    <s v="Bengaluru"/>
    <s v="WFH"/>
    <d v="2026-04-02T00:00:00"/>
    <d v="2026-05-25T00:00:00"/>
    <s v="Relieved"/>
    <s v="Involuntary"/>
    <x v="7"/>
    <n v="53"/>
    <n v="1"/>
    <s v="04-2026"/>
    <s v="05-2026"/>
    <n v="0"/>
    <n v="1"/>
    <x v="0"/>
  </r>
  <r>
    <s v="EMP1352"/>
    <s v="Exploring Infinities - Sales"/>
    <s v="SALES"/>
    <s v="Sales - India"/>
    <s v="Director 1"/>
    <s v="Bengaluru"/>
    <s v="WFH"/>
    <d v="2026-04-02T00:00:00"/>
    <d v="2026-04-10T00:00:00"/>
    <s v="Relieved"/>
    <s v="Voluntary"/>
    <x v="3"/>
    <n v="8"/>
    <n v="1"/>
    <s v="04-2026"/>
    <s v="04-2026"/>
    <n v="1"/>
    <n v="0"/>
    <x v="0"/>
  </r>
  <r>
    <s v="EMP1173"/>
    <s v="Exploring Infinities - Sales"/>
    <s v="SALES"/>
    <s v="Sales - India"/>
    <s v="Director 1"/>
    <s v="Bengaluru"/>
    <s v="WFH"/>
    <d v="2025-12-02T00:00:00"/>
    <d v="2026-04-15T00:00:00"/>
    <s v="Relieved"/>
    <s v="Involuntary"/>
    <x v="9"/>
    <n v="134"/>
    <n v="1"/>
    <s v="12-2025"/>
    <s v="04-2026"/>
    <n v="0"/>
    <n v="1"/>
    <x v="3"/>
  </r>
  <r>
    <s v="EMP1249"/>
    <s v="Exploring Infinities - Sales"/>
    <s v="SALES"/>
    <s v="Sales - India"/>
    <s v="Director 1"/>
    <s v="Bengaluru"/>
    <s v="WFH"/>
    <d v="2025-02-02T00:00:00"/>
    <d v="2026-06-11T00:00:00"/>
    <s v="Relieved"/>
    <s v="Involuntary"/>
    <x v="7"/>
    <n v="494"/>
    <n v="1"/>
    <s v="02-2025"/>
    <s v="06-2026"/>
    <n v="0"/>
    <n v="1"/>
    <x v="2"/>
  </r>
  <r>
    <s v="EMP1474"/>
    <s v="Exploring Infinities - Sales"/>
    <s v="SALES"/>
    <s v="Sales - India"/>
    <s v="Director 1"/>
    <s v="Bengaluru"/>
    <s v="WFH"/>
    <d v="2026-06-02T00:00:00"/>
    <d v="2026-06-02T00:00:00"/>
    <s v="Relieved"/>
    <s v="Voluntary"/>
    <x v="10"/>
    <n v="0"/>
    <n v="1"/>
    <s v="06-2026"/>
    <s v="06-2026"/>
    <n v="1"/>
    <n v="0"/>
    <x v="0"/>
  </r>
  <r>
    <s v="EMP1210"/>
    <s v="Exploring Infinities - Sales"/>
    <s v="SALES"/>
    <s v="Sales - India"/>
    <s v="Director 1"/>
    <s v="Bengaluru"/>
    <s v="WFH"/>
    <d v="2026-03-02T00:00:00"/>
    <m/>
    <s v="Active"/>
    <m/>
    <x v="2"/>
    <n v="120"/>
    <n v="0"/>
    <s v="03-2026"/>
    <s v=""/>
    <n v="0"/>
    <n v="0"/>
    <x v="3"/>
  </r>
  <r>
    <s v="EMP1360"/>
    <s v="Exploring Infinities - Sales"/>
    <s v="SALES"/>
    <s v="Sales - India"/>
    <s v="Director 1"/>
    <s v="Bengaluru"/>
    <s v="WFH"/>
    <d v="2026-05-02T00:00:00"/>
    <d v="2026-06-01T00:00:00"/>
    <s v="Relieved"/>
    <s v="Involuntary"/>
    <x v="7"/>
    <n v="30"/>
    <n v="1"/>
    <s v="05-2026"/>
    <s v="06-2026"/>
    <n v="0"/>
    <n v="1"/>
    <x v="0"/>
  </r>
  <r>
    <s v="EMP1370"/>
    <s v="Exploring Infinities - Sales"/>
    <s v="SALES"/>
    <s v="Sales - India"/>
    <s v="Director 1"/>
    <s v="Bengaluru"/>
    <s v="WFH"/>
    <d v="2026-05-02T00:00:00"/>
    <d v="2026-06-12T00:00:00"/>
    <s v="Relieved"/>
    <s v="Involuntary"/>
    <x v="9"/>
    <n v="41"/>
    <n v="1"/>
    <s v="05-2026"/>
    <s v="06-2026"/>
    <n v="0"/>
    <n v="1"/>
    <x v="0"/>
  </r>
  <r>
    <s v="EMP1316"/>
    <s v="Exploring Infinities - Sales"/>
    <s v="SALES"/>
    <s v="Sales - India"/>
    <s v="Director 1"/>
    <s v="Bengaluru"/>
    <s v="WFH"/>
    <d v="2026-04-03T00:00:00"/>
    <m/>
    <s v="Active"/>
    <m/>
    <x v="2"/>
    <n v="88"/>
    <n v="0"/>
    <s v="04-2026"/>
    <s v=""/>
    <n v="0"/>
    <n v="0"/>
    <x v="0"/>
  </r>
  <r>
    <s v="EMP1340"/>
    <s v="Exploring Infinities - Sales"/>
    <s v="SALES"/>
    <s v="Sales - India"/>
    <s v="Director 1"/>
    <s v="Bengaluru"/>
    <s v="WFH"/>
    <d v="2026-04-03T00:00:00"/>
    <d v="2026-04-03T00:00:00"/>
    <s v="Relieved"/>
    <s v="Voluntary"/>
    <x v="8"/>
    <n v="0"/>
    <n v="1"/>
    <s v="04-2026"/>
    <s v="04-2026"/>
    <n v="1"/>
    <n v="0"/>
    <x v="0"/>
  </r>
  <r>
    <s v="EMP1349"/>
    <s v="Exploring Infinities - Sales"/>
    <s v="SALES"/>
    <s v="Sales - India"/>
    <s v="Director 1"/>
    <s v="Bengaluru"/>
    <s v="WFH"/>
    <d v="2026-04-03T00:00:00"/>
    <d v="2026-04-08T00:00:00"/>
    <s v="Relieved"/>
    <s v="Voluntary"/>
    <x v="0"/>
    <n v="5"/>
    <n v="1"/>
    <s v="04-2026"/>
    <s v="04-2026"/>
    <n v="1"/>
    <n v="0"/>
    <x v="0"/>
  </r>
  <r>
    <s v="EMP1181"/>
    <s v="Exploring Infinities - Sales"/>
    <s v="SALES"/>
    <s v="Sales - India"/>
    <s v="Director 1"/>
    <s v="Bengaluru"/>
    <s v="WFH"/>
    <d v="2026-02-03T00:00:00"/>
    <m/>
    <s v="Active"/>
    <m/>
    <x v="2"/>
    <n v="147"/>
    <n v="0"/>
    <s v="02-2026"/>
    <s v=""/>
    <n v="0"/>
    <n v="0"/>
    <x v="3"/>
  </r>
  <r>
    <s v="EMP1225"/>
    <s v="Exploring Infinities - Sales"/>
    <s v="SALES"/>
    <s v="Sales - India"/>
    <s v="Director 1"/>
    <s v="Bengaluru"/>
    <s v="WFH"/>
    <d v="2026-02-03T00:00:00"/>
    <m/>
    <s v="Active"/>
    <m/>
    <x v="2"/>
    <n v="147"/>
    <n v="0"/>
    <s v="02-2026"/>
    <s v=""/>
    <n v="0"/>
    <n v="0"/>
    <x v="3"/>
  </r>
  <r>
    <s v="EMP1175"/>
    <s v="Exploring Infinities - Sales"/>
    <s v="SALES"/>
    <s v="Sales - India"/>
    <s v="Director 1"/>
    <s v="Bengaluru"/>
    <s v="WFH"/>
    <d v="2025-01-03T00:00:00"/>
    <d v="2026-04-10T00:00:00"/>
    <s v="Relieved"/>
    <s v="Voluntary"/>
    <x v="3"/>
    <n v="462"/>
    <n v="1"/>
    <s v="01-2025"/>
    <s v="04-2026"/>
    <n v="1"/>
    <n v="0"/>
    <x v="2"/>
  </r>
  <r>
    <s v="EMP1166"/>
    <s v="Exploring Infinities - Sales"/>
    <s v="SALES"/>
    <s v="Sales - India"/>
    <s v="Director 1"/>
    <s v="Bengaluru"/>
    <s v="WFH"/>
    <d v="2026-01-03T00:00:00"/>
    <m/>
    <s v="Active"/>
    <m/>
    <x v="2"/>
    <n v="178"/>
    <n v="0"/>
    <s v="01-2026"/>
    <s v=""/>
    <n v="0"/>
    <n v="0"/>
    <x v="3"/>
  </r>
  <r>
    <s v="EMP1532"/>
    <s v="Exploring Infinities - Sales"/>
    <s v="SALES"/>
    <s v="Sales - India"/>
    <s v="Director 1"/>
    <s v="Bengaluru"/>
    <s v="WFH"/>
    <d v="2026-06-03T00:00:00"/>
    <d v="2026-06-26T00:00:00"/>
    <s v="Relieved"/>
    <s v="Voluntary"/>
    <x v="10"/>
    <n v="23"/>
    <n v="1"/>
    <s v="06-2026"/>
    <s v="06-2026"/>
    <n v="1"/>
    <n v="0"/>
    <x v="0"/>
  </r>
  <r>
    <s v="EMP1537"/>
    <s v="Exploring Infinities - Sales"/>
    <s v="SALES"/>
    <s v="Sales - India"/>
    <s v="Director 1"/>
    <s v="Bengaluru"/>
    <s v="WFH"/>
    <d v="2026-06-03T00:00:00"/>
    <d v="2026-06-25T00:00:00"/>
    <s v="Relieved"/>
    <s v="Voluntary"/>
    <x v="10"/>
    <n v="22"/>
    <n v="1"/>
    <s v="06-2026"/>
    <s v="06-2026"/>
    <n v="1"/>
    <n v="0"/>
    <x v="0"/>
  </r>
  <r>
    <s v="EMP1229"/>
    <s v="Exploring Infinities - Sales"/>
    <s v="SALES"/>
    <s v="Sales - India"/>
    <s v="Director 1"/>
    <s v="Bengaluru"/>
    <s v="WFH"/>
    <d v="2025-05-03T00:00:00"/>
    <m/>
    <s v="Active"/>
    <m/>
    <x v="2"/>
    <n v="423"/>
    <n v="0"/>
    <s v="05-2025"/>
    <s v=""/>
    <n v="0"/>
    <n v="0"/>
    <x v="2"/>
  </r>
  <r>
    <s v="EMP1394"/>
    <s v="Exploring Infinities - Sales"/>
    <s v="SALES"/>
    <s v="Sales - India"/>
    <s v="Director 1"/>
    <s v="Bengaluru"/>
    <s v="WFH"/>
    <d v="2026-05-03T00:00:00"/>
    <d v="2026-05-27T00:00:00"/>
    <s v="Relieved"/>
    <s v="Voluntary"/>
    <x v="4"/>
    <n v="24"/>
    <n v="1"/>
    <s v="05-2026"/>
    <s v="05-2026"/>
    <n v="1"/>
    <n v="0"/>
    <x v="0"/>
  </r>
  <r>
    <s v="EMP1429"/>
    <s v="Exploring Infinities - Sales"/>
    <s v="SALES"/>
    <s v="Sales - India"/>
    <s v="Director 1"/>
    <s v="Bengaluru"/>
    <s v="WFH"/>
    <d v="2026-05-03T00:00:00"/>
    <d v="2026-06-23T00:00:00"/>
    <s v="Relieved"/>
    <s v="Involuntary"/>
    <x v="6"/>
    <n v="51"/>
    <n v="1"/>
    <s v="05-2026"/>
    <s v="06-2026"/>
    <n v="0"/>
    <n v="1"/>
    <x v="0"/>
  </r>
  <r>
    <s v="EMP1207"/>
    <s v="Exploring Infinities - Sales"/>
    <s v="SALES"/>
    <s v="Sales - India"/>
    <s v="Director 1"/>
    <s v="Bengaluru"/>
    <s v="WFH"/>
    <d v="2026-01-04T00:00:00"/>
    <d v="2026-05-03T00:00:00"/>
    <s v="Relieved"/>
    <s v="Involuntary"/>
    <x v="9"/>
    <n v="119"/>
    <n v="1"/>
    <s v="01-2026"/>
    <s v="05-2026"/>
    <n v="0"/>
    <n v="1"/>
    <x v="3"/>
  </r>
  <r>
    <s v="EMP1464"/>
    <s v="Exploring Infinities - Sales"/>
    <s v="SALES"/>
    <s v="Sales - India"/>
    <s v="Director 1"/>
    <s v="Bengaluru"/>
    <s v="WFH"/>
    <d v="2026-06-04T00:00:00"/>
    <d v="2026-06-12T00:00:00"/>
    <s v="Relieved"/>
    <s v="Voluntary"/>
    <x v="3"/>
    <n v="8"/>
    <n v="1"/>
    <s v="06-2026"/>
    <s v="06-2026"/>
    <n v="1"/>
    <n v="0"/>
    <x v="0"/>
  </r>
  <r>
    <s v="EMP1479"/>
    <s v="Exploring Infinities - Sales"/>
    <s v="SALES"/>
    <s v="Sales - India"/>
    <s v="Director 1"/>
    <s v="Bengaluru"/>
    <s v="WFH"/>
    <d v="2026-06-04T00:00:00"/>
    <d v="2026-06-29T00:00:00"/>
    <s v="Relieved"/>
    <s v="Voluntary"/>
    <x v="4"/>
    <n v="25"/>
    <n v="1"/>
    <s v="06-2026"/>
    <s v="06-2026"/>
    <n v="1"/>
    <n v="0"/>
    <x v="0"/>
  </r>
  <r>
    <s v="EMP1488"/>
    <s v="Exploring Infinities - Sales"/>
    <s v="SALES"/>
    <s v="Sales - India"/>
    <s v="Director 1"/>
    <s v="Bengaluru"/>
    <s v="WFH"/>
    <d v="2026-06-04T00:00:00"/>
    <d v="2026-06-07T00:00:00"/>
    <s v="Relieved"/>
    <s v="Voluntary"/>
    <x v="0"/>
    <n v="3"/>
    <n v="1"/>
    <s v="06-2026"/>
    <s v="06-2026"/>
    <n v="1"/>
    <n v="0"/>
    <x v="0"/>
  </r>
  <r>
    <s v="EMP1493"/>
    <s v="Exploring Infinities - Sales"/>
    <s v="SALES"/>
    <s v="Sales - India"/>
    <s v="Director 1"/>
    <s v="Bengaluru"/>
    <s v="WFH"/>
    <d v="2026-06-04T00:00:00"/>
    <m/>
    <s v="Active"/>
    <m/>
    <x v="2"/>
    <n v="26"/>
    <n v="0"/>
    <s v="06-2026"/>
    <s v=""/>
    <n v="0"/>
    <n v="0"/>
    <x v="0"/>
  </r>
  <r>
    <s v="EMP1193"/>
    <s v="Exploring Infinities - Sales"/>
    <s v="SALES"/>
    <s v="Sales - India"/>
    <s v="Director 1"/>
    <s v="Bengaluru"/>
    <s v="WFH"/>
    <d v="2025-03-04T00:00:00"/>
    <d v="2026-04-11T00:00:00"/>
    <s v="Relieved"/>
    <s v="Involuntary"/>
    <x v="7"/>
    <n v="403"/>
    <n v="1"/>
    <s v="03-2025"/>
    <s v="04-2026"/>
    <n v="0"/>
    <n v="1"/>
    <x v="2"/>
  </r>
  <r>
    <s v="EMP1381"/>
    <s v="Exploring Infinities - Sales"/>
    <s v="SALES"/>
    <s v="Sales - India"/>
    <s v="Director 1"/>
    <s v="Bengaluru"/>
    <s v="WFH"/>
    <d v="2026-05-04T00:00:00"/>
    <d v="2026-05-28T00:00:00"/>
    <s v="Relieved"/>
    <s v="Voluntary"/>
    <x v="5"/>
    <n v="24"/>
    <n v="1"/>
    <s v="05-2026"/>
    <s v="05-2026"/>
    <n v="1"/>
    <n v="0"/>
    <x v="0"/>
  </r>
  <r>
    <s v="EMP1398"/>
    <s v="Exploring Infinities - Sales"/>
    <s v="SALES"/>
    <s v="Sales - India"/>
    <s v="Director 1"/>
    <s v="Bengaluru"/>
    <s v="WFH"/>
    <d v="2026-05-04T00:00:00"/>
    <m/>
    <s v="Active"/>
    <m/>
    <x v="2"/>
    <n v="57"/>
    <n v="0"/>
    <s v="05-2026"/>
    <s v=""/>
    <n v="0"/>
    <n v="0"/>
    <x v="0"/>
  </r>
  <r>
    <s v="EMP1401"/>
    <s v="Exploring Infinities - Sales"/>
    <s v="SALES"/>
    <s v="Sales - India"/>
    <s v="Director 1"/>
    <s v="Bengaluru"/>
    <s v="WFH"/>
    <d v="2026-05-04T00:00:00"/>
    <d v="2026-06-24T00:00:00"/>
    <s v="Relieved"/>
    <s v="Involuntary"/>
    <x v="9"/>
    <n v="51"/>
    <n v="1"/>
    <s v="05-2026"/>
    <s v="06-2026"/>
    <n v="0"/>
    <n v="1"/>
    <x v="0"/>
  </r>
  <r>
    <s v="EMP1239"/>
    <s v="Exploring Infinities - Sales"/>
    <s v="SALES"/>
    <s v="Sales - India"/>
    <s v="Director 1"/>
    <s v="Bengaluru"/>
    <s v="WFH"/>
    <d v="2025-10-04T00:00:00"/>
    <d v="2026-05-01T00:00:00"/>
    <s v="Relieved"/>
    <s v="Involuntary"/>
    <x v="1"/>
    <n v="209"/>
    <n v="1"/>
    <s v="10-2025"/>
    <s v="05-2026"/>
    <n v="0"/>
    <n v="1"/>
    <x v="1"/>
  </r>
  <r>
    <s v="EMP1306"/>
    <s v="Exploring Infinities - Sales"/>
    <s v="SALES"/>
    <s v="Sales - India"/>
    <s v="Director 1"/>
    <s v="Bengaluru"/>
    <s v="WFH"/>
    <d v="2026-04-05T00:00:00"/>
    <m/>
    <s v="Active"/>
    <m/>
    <x v="2"/>
    <n v="86"/>
    <n v="0"/>
    <s v="04-2026"/>
    <s v=""/>
    <n v="0"/>
    <n v="0"/>
    <x v="0"/>
  </r>
  <r>
    <s v="EMP1319"/>
    <s v="Exploring Infinities - Sales"/>
    <s v="SALES"/>
    <s v="Sales - India"/>
    <s v="Director 1"/>
    <s v="Bengaluru"/>
    <s v="WFH"/>
    <d v="2026-04-05T00:00:00"/>
    <d v="2026-04-09T00:00:00"/>
    <s v="Relieved"/>
    <s v="Voluntary"/>
    <x v="3"/>
    <n v="4"/>
    <n v="1"/>
    <s v="04-2026"/>
    <s v="04-2026"/>
    <n v="1"/>
    <n v="0"/>
    <x v="0"/>
  </r>
  <r>
    <s v="EMP1483"/>
    <s v="Exploring Infinities - Sales"/>
    <s v="SALES"/>
    <s v="Sales - India"/>
    <s v="Director 1"/>
    <s v="Bengaluru"/>
    <s v="WFH"/>
    <d v="2026-06-05T00:00:00"/>
    <m/>
    <s v="Active"/>
    <m/>
    <x v="2"/>
    <n v="25"/>
    <n v="0"/>
    <s v="06-2026"/>
    <s v=""/>
    <n v="0"/>
    <n v="0"/>
    <x v="0"/>
  </r>
  <r>
    <s v="EMP1528"/>
    <s v="Exploring Infinities - Sales"/>
    <s v="SALES"/>
    <s v="Sales - India"/>
    <s v="Director 1"/>
    <s v="Bengaluru"/>
    <s v="WFH"/>
    <d v="2026-06-05T00:00:00"/>
    <d v="2026-06-16T00:00:00"/>
    <s v="Relieved"/>
    <s v="Voluntary"/>
    <x v="0"/>
    <n v="11"/>
    <n v="1"/>
    <s v="06-2026"/>
    <s v="06-2026"/>
    <n v="1"/>
    <n v="0"/>
    <x v="0"/>
  </r>
  <r>
    <s v="EMP1533"/>
    <s v="Exploring Infinities - Sales"/>
    <s v="SALES"/>
    <s v="Sales - India"/>
    <s v="Director 1"/>
    <s v="Bengaluru"/>
    <s v="WFH"/>
    <d v="2026-06-05T00:00:00"/>
    <d v="2026-06-05T00:00:00"/>
    <s v="Relieved"/>
    <s v="Voluntary"/>
    <x v="5"/>
    <n v="0"/>
    <n v="1"/>
    <s v="06-2026"/>
    <s v="06-2026"/>
    <n v="1"/>
    <n v="0"/>
    <x v="0"/>
  </r>
  <r>
    <s v="EMP1171"/>
    <s v="Exploring Infinities - Sales"/>
    <s v="SALES"/>
    <s v="Sales - India"/>
    <s v="Director 1"/>
    <s v="Bengaluru"/>
    <s v="WFH"/>
    <d v="2025-05-05T00:00:00"/>
    <d v="2026-04-15T00:00:00"/>
    <s v="Relieved"/>
    <s v="Voluntary"/>
    <x v="3"/>
    <n v="345"/>
    <n v="1"/>
    <s v="05-2025"/>
    <s v="04-2026"/>
    <n v="1"/>
    <n v="0"/>
    <x v="1"/>
  </r>
  <r>
    <s v="EMP1374"/>
    <s v="Exploring Infinities - Sales"/>
    <s v="SALES"/>
    <s v="Sales - India"/>
    <s v="Director 1"/>
    <s v="Bengaluru"/>
    <s v="WFH"/>
    <d v="2026-05-05T00:00:00"/>
    <m/>
    <s v="Active"/>
    <m/>
    <x v="2"/>
    <n v="56"/>
    <n v="0"/>
    <s v="05-2026"/>
    <s v=""/>
    <n v="0"/>
    <n v="0"/>
    <x v="0"/>
  </r>
  <r>
    <s v="EMP1404"/>
    <s v="Exploring Infinities - Sales"/>
    <s v="SALES"/>
    <s v="Sales - India"/>
    <s v="Director 1"/>
    <s v="Bengaluru"/>
    <s v="WFH"/>
    <d v="2026-05-05T00:00:00"/>
    <d v="2026-05-13T00:00:00"/>
    <s v="Relieved"/>
    <s v="Voluntary"/>
    <x v="0"/>
    <n v="8"/>
    <n v="1"/>
    <s v="05-2026"/>
    <s v="05-2026"/>
    <n v="1"/>
    <n v="0"/>
    <x v="0"/>
  </r>
  <r>
    <s v="EMP1419"/>
    <s v="Exploring Infinities - Sales"/>
    <s v="SALES"/>
    <s v="Sales - India"/>
    <s v="Director 1"/>
    <s v="Bengaluru"/>
    <s v="WFH"/>
    <d v="2026-05-05T00:00:00"/>
    <d v="2026-06-21T00:00:00"/>
    <s v="Relieved"/>
    <s v="Involuntary"/>
    <x v="1"/>
    <n v="47"/>
    <n v="1"/>
    <s v="05-2026"/>
    <s v="06-2026"/>
    <n v="0"/>
    <n v="1"/>
    <x v="0"/>
  </r>
  <r>
    <s v="EMP1427"/>
    <s v="Exploring Infinities - Sales"/>
    <s v="SALES"/>
    <s v="Sales - India"/>
    <s v="Director 1"/>
    <s v="Bengaluru"/>
    <s v="WFH"/>
    <d v="2026-05-05T00:00:00"/>
    <d v="2026-05-05T00:00:00"/>
    <s v="Relieved"/>
    <s v="Voluntary"/>
    <x v="4"/>
    <n v="0"/>
    <n v="1"/>
    <s v="05-2026"/>
    <s v="05-2026"/>
    <n v="1"/>
    <n v="0"/>
    <x v="0"/>
  </r>
  <r>
    <s v="EMP1451"/>
    <s v="Exploring Infinities - Sales"/>
    <s v="SALES"/>
    <s v="Sales - India"/>
    <s v="Director 1"/>
    <s v="Bengaluru"/>
    <s v="WFH"/>
    <d v="2026-05-05T00:00:00"/>
    <m/>
    <s v="Active"/>
    <m/>
    <x v="2"/>
    <n v="56"/>
    <n v="0"/>
    <s v="05-2026"/>
    <s v=""/>
    <n v="0"/>
    <n v="0"/>
    <x v="0"/>
  </r>
  <r>
    <s v="EMP1253"/>
    <s v="Exploring Infinities - Sales"/>
    <s v="SALES"/>
    <s v="Sales - India"/>
    <s v="Director 1"/>
    <s v="Bengaluru"/>
    <s v="WFH"/>
    <d v="2025-10-05T00:00:00"/>
    <d v="2026-04-03T00:00:00"/>
    <s v="Relieved"/>
    <s v="Involuntary"/>
    <x v="6"/>
    <n v="180"/>
    <n v="1"/>
    <s v="10-2025"/>
    <s v="04-2026"/>
    <n v="0"/>
    <n v="1"/>
    <x v="1"/>
  </r>
  <r>
    <s v="EMP1302"/>
    <s v="Exploring Infinities - Sales"/>
    <s v="SALES"/>
    <s v="Sales - India"/>
    <s v="Director 1"/>
    <s v="Bengaluru"/>
    <s v="WFH"/>
    <d v="2026-04-06T00:00:00"/>
    <m/>
    <s v="Active"/>
    <m/>
    <x v="2"/>
    <n v="85"/>
    <n v="0"/>
    <s v="04-2026"/>
    <s v=""/>
    <n v="0"/>
    <n v="0"/>
    <x v="0"/>
  </r>
  <r>
    <s v="EMP1322"/>
    <s v="Exploring Infinities - Sales"/>
    <s v="SALES"/>
    <s v="Sales - India"/>
    <s v="Director 1"/>
    <s v="Bengaluru"/>
    <s v="WFH"/>
    <d v="2026-04-06T00:00:00"/>
    <d v="2026-05-02T00:00:00"/>
    <s v="Relieved"/>
    <s v="Involuntary"/>
    <x v="6"/>
    <n v="26"/>
    <n v="1"/>
    <s v="04-2026"/>
    <s v="05-2026"/>
    <n v="0"/>
    <n v="1"/>
    <x v="0"/>
  </r>
  <r>
    <s v="EMP1182"/>
    <s v="Exploring Infinities - Sales"/>
    <s v="SALES"/>
    <s v="Sales - India"/>
    <s v="Director 1"/>
    <s v="Bengaluru"/>
    <s v="WFH"/>
    <d v="2025-08-06T00:00:00"/>
    <m/>
    <s v="Active"/>
    <m/>
    <x v="2"/>
    <n v="328"/>
    <n v="0"/>
    <s v="08-2025"/>
    <s v=""/>
    <n v="0"/>
    <n v="0"/>
    <x v="1"/>
  </r>
  <r>
    <s v="EMP1517"/>
    <s v="Exploring Infinities - Sales"/>
    <s v="SALES"/>
    <s v="Sales - India"/>
    <s v="Director 1"/>
    <s v="Bengaluru"/>
    <s v="WFH"/>
    <d v="2026-06-06T00:00:00"/>
    <d v="2026-06-30T00:00:00"/>
    <s v="Relieved"/>
    <s v="Voluntary"/>
    <x v="8"/>
    <n v="24"/>
    <n v="1"/>
    <s v="06-2026"/>
    <s v="06-2026"/>
    <n v="1"/>
    <n v="0"/>
    <x v="0"/>
  </r>
  <r>
    <s v="EMP1526"/>
    <s v="Exploring Infinities - Sales"/>
    <s v="SALES"/>
    <s v="Sales - India"/>
    <s v="Director 1"/>
    <s v="Bengaluru"/>
    <s v="WFH"/>
    <d v="2026-06-06T00:00:00"/>
    <d v="2026-06-29T00:00:00"/>
    <s v="Relieved"/>
    <s v="Voluntary"/>
    <x v="4"/>
    <n v="23"/>
    <n v="1"/>
    <s v="06-2026"/>
    <s v="06-2026"/>
    <n v="1"/>
    <n v="0"/>
    <x v="0"/>
  </r>
  <r>
    <s v="EMP1388"/>
    <s v="Exploring Infinities - Sales"/>
    <s v="SALES"/>
    <s v="Sales - India"/>
    <s v="Director 1"/>
    <s v="Bengaluru"/>
    <s v="WFH"/>
    <d v="2026-05-06T00:00:00"/>
    <m/>
    <s v="Active"/>
    <m/>
    <x v="2"/>
    <n v="55"/>
    <n v="0"/>
    <s v="05-2026"/>
    <s v=""/>
    <n v="0"/>
    <n v="0"/>
    <x v="0"/>
  </r>
  <r>
    <s v="EMP1227"/>
    <s v="Exploring Infinities - Sales"/>
    <s v="SALES"/>
    <s v="Sales - India"/>
    <s v="Director 1"/>
    <s v="Bengaluru"/>
    <s v="WFH"/>
    <d v="2025-09-06T00:00:00"/>
    <d v="2026-04-29T00:00:00"/>
    <s v="Relieved"/>
    <s v="Involuntary"/>
    <x v="6"/>
    <n v="235"/>
    <n v="1"/>
    <s v="09-2025"/>
    <s v="04-2026"/>
    <n v="0"/>
    <n v="1"/>
    <x v="1"/>
  </r>
  <r>
    <s v="EMP1257"/>
    <s v="Exploring Infinities - Sales"/>
    <s v="SALES"/>
    <s v="Sales - India"/>
    <s v="Director 1"/>
    <s v="Bengaluru"/>
    <s v="WFH"/>
    <d v="2026-04-07T00:00:00"/>
    <d v="2026-05-29T00:00:00"/>
    <s v="Relieved"/>
    <s v="Involuntary"/>
    <x v="1"/>
    <n v="52"/>
    <n v="1"/>
    <s v="04-2026"/>
    <s v="05-2026"/>
    <n v="0"/>
    <n v="1"/>
    <x v="0"/>
  </r>
  <r>
    <s v="EMP1327"/>
    <s v="Exploring Infinities - Sales"/>
    <s v="SALES"/>
    <s v="Sales - India"/>
    <s v="Director 1"/>
    <s v="Bengaluru"/>
    <s v="WFH"/>
    <d v="2026-04-07T00:00:00"/>
    <d v="2026-04-30T00:00:00"/>
    <s v="Relieved"/>
    <s v="Voluntary"/>
    <x v="0"/>
    <n v="23"/>
    <n v="1"/>
    <s v="04-2026"/>
    <s v="04-2026"/>
    <n v="1"/>
    <n v="0"/>
    <x v="0"/>
  </r>
  <r>
    <s v="EMP1209"/>
    <s v="Exploring Infinities - Sales"/>
    <s v="SALES"/>
    <s v="Sales - India"/>
    <s v="Director 1"/>
    <s v="Bengaluru"/>
    <s v="WFH"/>
    <d v="2025-08-07T00:00:00"/>
    <d v="2026-06-05T00:00:00"/>
    <s v="Relieved"/>
    <s v="Involuntary"/>
    <x v="9"/>
    <n v="302"/>
    <n v="1"/>
    <s v="08-2025"/>
    <s v="06-2026"/>
    <n v="0"/>
    <n v="1"/>
    <x v="1"/>
  </r>
  <r>
    <s v="EMP1159"/>
    <s v="Exploring Infinities - Sales"/>
    <s v="SALES"/>
    <s v="Sales - India"/>
    <s v="Director 1"/>
    <s v="Bengaluru"/>
    <s v="WFH"/>
    <d v="2025-02-07T00:00:00"/>
    <d v="2026-04-08T00:00:00"/>
    <s v="Relieved"/>
    <s v="Involuntary"/>
    <x v="9"/>
    <n v="425"/>
    <n v="1"/>
    <s v="02-2025"/>
    <s v="04-2026"/>
    <n v="0"/>
    <n v="1"/>
    <x v="2"/>
  </r>
  <r>
    <s v="EMP1482"/>
    <s v="Exploring Infinities - Sales"/>
    <s v="SALES"/>
    <s v="Sales - India"/>
    <s v="Director 1"/>
    <s v="Bengaluru"/>
    <s v="WFH"/>
    <d v="2026-06-07T00:00:00"/>
    <d v="2026-06-07T00:00:00"/>
    <s v="Relieved"/>
    <s v="Voluntary"/>
    <x v="4"/>
    <n v="0"/>
    <n v="1"/>
    <s v="06-2026"/>
    <s v="06-2026"/>
    <n v="1"/>
    <n v="0"/>
    <x v="0"/>
  </r>
  <r>
    <s v="EMP1540"/>
    <s v="Exploring Infinities - Sales"/>
    <s v="SALES"/>
    <s v="Sales - India"/>
    <s v="Director 1"/>
    <s v="Bengaluru"/>
    <s v="WFH"/>
    <d v="2026-06-07T00:00:00"/>
    <m/>
    <s v="Active"/>
    <m/>
    <x v="2"/>
    <n v="23"/>
    <n v="0"/>
    <s v="06-2026"/>
    <s v=""/>
    <n v="0"/>
    <n v="0"/>
    <x v="0"/>
  </r>
  <r>
    <s v="EMP1221"/>
    <s v="Exploring Infinities - Sales"/>
    <s v="SALES"/>
    <s v="Sales - India"/>
    <s v="Director 1"/>
    <s v="Bengaluru"/>
    <s v="WFH"/>
    <d v="2026-03-07T00:00:00"/>
    <m/>
    <s v="Active"/>
    <m/>
    <x v="2"/>
    <n v="115"/>
    <n v="0"/>
    <s v="03-2026"/>
    <s v=""/>
    <n v="0"/>
    <n v="0"/>
    <x v="3"/>
  </r>
  <r>
    <s v="EMP1220"/>
    <s v="Exploring Infinities - Sales"/>
    <s v="SALES"/>
    <s v="Sales - India"/>
    <s v="Director 1"/>
    <s v="Bengaluru"/>
    <s v="WFH"/>
    <d v="2025-05-07T00:00:00"/>
    <d v="2026-06-15T00:00:00"/>
    <s v="Relieved"/>
    <s v="Involuntary"/>
    <x v="9"/>
    <n v="404"/>
    <n v="1"/>
    <s v="05-2025"/>
    <s v="06-2026"/>
    <n v="0"/>
    <n v="1"/>
    <x v="2"/>
  </r>
  <r>
    <s v="EMP1361"/>
    <s v="Exploring Infinities - Sales"/>
    <s v="SALES"/>
    <s v="Sales - India"/>
    <s v="Director 1"/>
    <s v="Bengaluru"/>
    <s v="WFH"/>
    <d v="2026-05-07T00:00:00"/>
    <d v="2026-05-27T00:00:00"/>
    <s v="Relieved"/>
    <s v="Voluntary"/>
    <x v="10"/>
    <n v="20"/>
    <n v="1"/>
    <s v="05-2026"/>
    <s v="05-2026"/>
    <n v="1"/>
    <n v="0"/>
    <x v="0"/>
  </r>
  <r>
    <s v="EMP1371"/>
    <s v="Exploring Infinities - Sales"/>
    <s v="SALES"/>
    <s v="Sales - India"/>
    <s v="Director 1"/>
    <s v="Bengaluru"/>
    <s v="WFH"/>
    <d v="2026-05-07T00:00:00"/>
    <d v="2026-05-15T00:00:00"/>
    <s v="Relieved"/>
    <s v="Voluntary"/>
    <x v="10"/>
    <n v="8"/>
    <n v="1"/>
    <s v="05-2026"/>
    <s v="05-2026"/>
    <n v="1"/>
    <n v="0"/>
    <x v="0"/>
  </r>
  <r>
    <s v="EMP1421"/>
    <s v="Exploring Infinities - Sales"/>
    <s v="SALES"/>
    <s v="Sales - India"/>
    <s v="Director 1"/>
    <s v="Bengaluru"/>
    <s v="WFH"/>
    <d v="2026-05-07T00:00:00"/>
    <m/>
    <s v="Active"/>
    <m/>
    <x v="2"/>
    <n v="54"/>
    <n v="0"/>
    <s v="05-2026"/>
    <s v=""/>
    <n v="0"/>
    <n v="0"/>
    <x v="0"/>
  </r>
  <r>
    <s v="EMP1288"/>
    <s v="Exploring Infinities - Sales"/>
    <s v="SALES"/>
    <s v="Sales - India"/>
    <s v="Director 1"/>
    <s v="Bengaluru"/>
    <s v="WFH"/>
    <d v="2026-04-08T00:00:00"/>
    <d v="2026-05-27T00:00:00"/>
    <s v="Relieved"/>
    <s v="Involuntary"/>
    <x v="6"/>
    <n v="49"/>
    <n v="1"/>
    <s v="04-2026"/>
    <s v="05-2026"/>
    <n v="0"/>
    <n v="1"/>
    <x v="0"/>
  </r>
  <r>
    <s v="EMP1290"/>
    <s v="Exploring Infinities - Sales"/>
    <s v="SALES"/>
    <s v="Sales - India"/>
    <s v="Director 1"/>
    <s v="Bengaluru"/>
    <s v="WFH"/>
    <d v="2026-04-08T00:00:00"/>
    <d v="2026-05-03T00:00:00"/>
    <s v="Relieved"/>
    <s v="Involuntary"/>
    <x v="9"/>
    <n v="25"/>
    <n v="1"/>
    <s v="04-2026"/>
    <s v="05-2026"/>
    <n v="0"/>
    <n v="1"/>
    <x v="0"/>
  </r>
  <r>
    <s v="EMP1347"/>
    <s v="Exploring Infinities - Sales"/>
    <s v="SALES"/>
    <s v="Sales - India"/>
    <s v="Director 1"/>
    <s v="Bengaluru"/>
    <s v="WFH"/>
    <d v="2026-04-08T00:00:00"/>
    <d v="2026-05-03T00:00:00"/>
    <s v="Relieved"/>
    <s v="Involuntary"/>
    <x v="6"/>
    <n v="25"/>
    <n v="1"/>
    <s v="04-2026"/>
    <s v="05-2026"/>
    <n v="0"/>
    <n v="1"/>
    <x v="0"/>
  </r>
  <r>
    <s v="EMP1198"/>
    <s v="Exploring Infinities - Sales"/>
    <s v="SALES"/>
    <s v="Sales - India"/>
    <s v="Director 1"/>
    <s v="Bengaluru"/>
    <s v="WFH"/>
    <d v="2025-12-08T00:00:00"/>
    <m/>
    <s v="Active"/>
    <m/>
    <x v="2"/>
    <n v="204"/>
    <n v="0"/>
    <s v="12-2025"/>
    <s v=""/>
    <n v="0"/>
    <n v="0"/>
    <x v="1"/>
  </r>
  <r>
    <s v="EMP1486"/>
    <s v="Exploring Infinities - Sales"/>
    <s v="SALES"/>
    <s v="Sales - India"/>
    <s v="Director 1"/>
    <s v="Bengaluru"/>
    <s v="WFH"/>
    <d v="2026-06-08T00:00:00"/>
    <m/>
    <s v="Active"/>
    <m/>
    <x v="2"/>
    <n v="22"/>
    <n v="0"/>
    <s v="06-2026"/>
    <s v=""/>
    <n v="0"/>
    <n v="0"/>
    <x v="0"/>
  </r>
  <r>
    <s v="EMP1497"/>
    <s v="Exploring Infinities - Sales"/>
    <s v="SALES"/>
    <s v="Sales - India"/>
    <s v="Director 1"/>
    <s v="Bengaluru"/>
    <s v="WFH"/>
    <d v="2026-06-08T00:00:00"/>
    <m/>
    <s v="Active"/>
    <m/>
    <x v="2"/>
    <n v="22"/>
    <n v="0"/>
    <s v="06-2026"/>
    <s v=""/>
    <n v="0"/>
    <n v="0"/>
    <x v="0"/>
  </r>
  <r>
    <s v="EMP1191"/>
    <s v="Exploring Infinities - Sales"/>
    <s v="SALES"/>
    <s v="Sales - India"/>
    <s v="Director 1"/>
    <s v="Bengaluru"/>
    <s v="WFH"/>
    <d v="2025-05-08T00:00:00"/>
    <d v="2026-04-24T00:00:00"/>
    <s v="Relieved"/>
    <s v="Involuntary"/>
    <x v="7"/>
    <n v="351"/>
    <n v="1"/>
    <s v="05-2025"/>
    <s v="04-2026"/>
    <n v="0"/>
    <n v="1"/>
    <x v="1"/>
  </r>
  <r>
    <s v="EMP1386"/>
    <s v="Exploring Infinities - Sales"/>
    <s v="SALES"/>
    <s v="Sales - India"/>
    <s v="Director 1"/>
    <s v="Bengaluru"/>
    <s v="WFH"/>
    <d v="2026-05-08T00:00:00"/>
    <m/>
    <s v="Active"/>
    <m/>
    <x v="2"/>
    <n v="53"/>
    <n v="0"/>
    <s v="05-2026"/>
    <s v=""/>
    <n v="0"/>
    <n v="0"/>
    <x v="0"/>
  </r>
  <r>
    <s v="EMP1395"/>
    <s v="Exploring Infinities - Sales"/>
    <s v="SALES"/>
    <s v="Sales - India"/>
    <s v="Director 1"/>
    <s v="Bengaluru"/>
    <s v="WFH"/>
    <d v="2026-05-08T00:00:00"/>
    <m/>
    <s v="Active"/>
    <m/>
    <x v="2"/>
    <n v="53"/>
    <n v="0"/>
    <s v="05-2026"/>
    <s v=""/>
    <n v="0"/>
    <n v="0"/>
    <x v="0"/>
  </r>
  <r>
    <s v="EMP1416"/>
    <s v="Exploring Infinities - Sales"/>
    <s v="SALES"/>
    <s v="Sales - India"/>
    <s v="Director 1"/>
    <s v="Bengaluru"/>
    <s v="WFH"/>
    <d v="2026-05-08T00:00:00"/>
    <m/>
    <s v="Active"/>
    <m/>
    <x v="2"/>
    <n v="53"/>
    <n v="0"/>
    <s v="05-2026"/>
    <s v=""/>
    <n v="0"/>
    <n v="0"/>
    <x v="0"/>
  </r>
  <r>
    <s v="EMP1211"/>
    <s v="Exploring Infinities - Sales"/>
    <s v="SALES"/>
    <s v="Sales - India"/>
    <s v="Director 1"/>
    <s v="Bengaluru"/>
    <s v="WFH"/>
    <d v="2025-10-08T00:00:00"/>
    <d v="2026-04-25T00:00:00"/>
    <s v="Relieved"/>
    <s v="Involuntary"/>
    <x v="7"/>
    <n v="199"/>
    <n v="1"/>
    <s v="10-2025"/>
    <s v="04-2026"/>
    <n v="0"/>
    <n v="1"/>
    <x v="1"/>
  </r>
  <r>
    <s v="EMP1291"/>
    <s v="Exploring Infinities - Sales"/>
    <s v="SALES"/>
    <s v="Sales - India"/>
    <s v="Director 1"/>
    <s v="Bengaluru"/>
    <s v="WFH"/>
    <d v="2026-04-09T00:00:00"/>
    <d v="2026-06-07T00:00:00"/>
    <s v="Relieved"/>
    <s v="Involuntary"/>
    <x v="1"/>
    <n v="59"/>
    <n v="1"/>
    <s v="04-2026"/>
    <s v="06-2026"/>
    <n v="0"/>
    <n v="1"/>
    <x v="0"/>
  </r>
  <r>
    <s v="EMP1324"/>
    <s v="Exploring Infinities - Sales"/>
    <s v="SALES"/>
    <s v="Sales - India"/>
    <s v="Director 1"/>
    <s v="Bengaluru"/>
    <s v="WFH"/>
    <d v="2026-04-09T00:00:00"/>
    <d v="2026-04-27T00:00:00"/>
    <s v="Relieved"/>
    <s v="Voluntary"/>
    <x v="5"/>
    <n v="18"/>
    <n v="1"/>
    <s v="04-2026"/>
    <s v="04-2026"/>
    <n v="1"/>
    <n v="0"/>
    <x v="0"/>
  </r>
  <r>
    <s v="EMP1334"/>
    <s v="Exploring Infinities - Sales"/>
    <s v="SALES"/>
    <s v="Sales - India"/>
    <s v="Director 1"/>
    <s v="Bengaluru"/>
    <s v="WFH"/>
    <d v="2026-04-09T00:00:00"/>
    <d v="2026-05-24T00:00:00"/>
    <s v="Relieved"/>
    <s v="Involuntary"/>
    <x v="7"/>
    <n v="45"/>
    <n v="1"/>
    <s v="04-2026"/>
    <s v="05-2026"/>
    <n v="0"/>
    <n v="1"/>
    <x v="0"/>
  </r>
  <r>
    <s v="EMP1338"/>
    <s v="Exploring Infinities - Sales"/>
    <s v="SALES"/>
    <s v="Sales - India"/>
    <s v="Director 1"/>
    <s v="Bengaluru"/>
    <s v="WFH"/>
    <d v="2026-04-09T00:00:00"/>
    <d v="2026-05-15T00:00:00"/>
    <s v="Relieved"/>
    <s v="Involuntary"/>
    <x v="9"/>
    <n v="36"/>
    <n v="1"/>
    <s v="04-2026"/>
    <s v="05-2026"/>
    <n v="0"/>
    <n v="1"/>
    <x v="0"/>
  </r>
  <r>
    <s v="EMP1232"/>
    <s v="Exploring Infinities - Sales"/>
    <s v="SALES"/>
    <s v="Sales - India"/>
    <s v="Director 1"/>
    <s v="Bengaluru"/>
    <s v="WFH"/>
    <d v="2025-02-09T00:00:00"/>
    <d v="2026-05-12T00:00:00"/>
    <s v="Relieved"/>
    <s v="Involuntary"/>
    <x v="1"/>
    <n v="457"/>
    <n v="1"/>
    <s v="02-2025"/>
    <s v="05-2026"/>
    <n v="0"/>
    <n v="1"/>
    <x v="2"/>
  </r>
  <r>
    <s v="EMP1495"/>
    <s v="Exploring Infinities - Sales"/>
    <s v="SALES"/>
    <s v="Sales - India"/>
    <s v="Director 1"/>
    <s v="Bengaluru"/>
    <s v="WFH"/>
    <d v="2026-06-09T00:00:00"/>
    <d v="2026-06-11T00:00:00"/>
    <s v="Relieved"/>
    <s v="Voluntary"/>
    <x v="4"/>
    <n v="2"/>
    <n v="1"/>
    <s v="06-2026"/>
    <s v="06-2026"/>
    <n v="1"/>
    <n v="0"/>
    <x v="0"/>
  </r>
  <r>
    <s v="EMP1515"/>
    <s v="Exploring Infinities - Sales"/>
    <s v="SALES"/>
    <s v="Sales - India"/>
    <s v="Director 1"/>
    <s v="Bengaluru"/>
    <s v="WFH"/>
    <d v="2026-06-09T00:00:00"/>
    <m/>
    <s v="Active"/>
    <m/>
    <x v="2"/>
    <n v="21"/>
    <n v="0"/>
    <s v="06-2026"/>
    <s v=""/>
    <n v="0"/>
    <n v="0"/>
    <x v="0"/>
  </r>
  <r>
    <s v="EMP1518"/>
    <s v="Exploring Infinities - Sales"/>
    <s v="SALES"/>
    <s v="Sales - India"/>
    <s v="Director 1"/>
    <s v="Bengaluru"/>
    <s v="WFH"/>
    <d v="2026-06-09T00:00:00"/>
    <m/>
    <s v="Active"/>
    <m/>
    <x v="2"/>
    <n v="21"/>
    <n v="0"/>
    <s v="06-2026"/>
    <s v=""/>
    <n v="0"/>
    <n v="0"/>
    <x v="0"/>
  </r>
  <r>
    <s v="EMP1372"/>
    <s v="Exploring Infinities - Sales"/>
    <s v="SALES"/>
    <s v="Sales - India"/>
    <s v="Director 1"/>
    <s v="Bengaluru"/>
    <s v="WFH"/>
    <d v="2026-05-09T00:00:00"/>
    <d v="2026-05-09T00:00:00"/>
    <s v="Relieved"/>
    <s v="Voluntary"/>
    <x v="3"/>
    <n v="0"/>
    <n v="1"/>
    <s v="05-2026"/>
    <s v="05-2026"/>
    <n v="1"/>
    <n v="0"/>
    <x v="0"/>
  </r>
  <r>
    <s v="EMP1411"/>
    <s v="Exploring Infinities - Sales"/>
    <s v="SALES"/>
    <s v="Sales - India"/>
    <s v="Director 1"/>
    <s v="Bengaluru"/>
    <s v="WFH"/>
    <d v="2026-05-09T00:00:00"/>
    <m/>
    <s v="Active"/>
    <m/>
    <x v="2"/>
    <n v="52"/>
    <n v="0"/>
    <s v="05-2026"/>
    <s v=""/>
    <n v="0"/>
    <n v="0"/>
    <x v="0"/>
  </r>
  <r>
    <s v="EMP1430"/>
    <s v="Exploring Infinities - Sales"/>
    <s v="SALES"/>
    <s v="Sales - India"/>
    <s v="Director 1"/>
    <s v="Bengaluru"/>
    <s v="WFH"/>
    <d v="2026-05-09T00:00:00"/>
    <m/>
    <s v="Active"/>
    <m/>
    <x v="2"/>
    <n v="52"/>
    <n v="0"/>
    <s v="05-2026"/>
    <s v=""/>
    <n v="0"/>
    <n v="0"/>
    <x v="0"/>
  </r>
  <r>
    <s v="EMP1439"/>
    <s v="Exploring Infinities - Sales"/>
    <s v="SALES"/>
    <s v="Sales - India"/>
    <s v="Director 1"/>
    <s v="Bengaluru"/>
    <s v="WFH"/>
    <d v="2026-05-09T00:00:00"/>
    <m/>
    <s v="Active"/>
    <m/>
    <x v="2"/>
    <n v="52"/>
    <n v="0"/>
    <s v="05-2026"/>
    <s v=""/>
    <n v="0"/>
    <n v="0"/>
    <x v="0"/>
  </r>
  <r>
    <s v="EMP1156"/>
    <s v="Exploring Infinities - Sales"/>
    <s v="SALES"/>
    <s v="Sales - India"/>
    <s v="Director 1"/>
    <s v="Bengaluru"/>
    <s v="WFH"/>
    <d v="2025-11-09T00:00:00"/>
    <d v="2026-05-14T00:00:00"/>
    <s v="Relieved"/>
    <s v="Involuntary"/>
    <x v="6"/>
    <n v="186"/>
    <n v="1"/>
    <s v="11-2025"/>
    <s v="05-2026"/>
    <n v="0"/>
    <n v="1"/>
    <x v="1"/>
  </r>
  <r>
    <s v="EMP1165"/>
    <s v="Exploring Infinities - Sales"/>
    <s v="SALES"/>
    <s v="Sales - India"/>
    <s v="Director 1"/>
    <s v="Bengaluru"/>
    <s v="WFH"/>
    <d v="2025-04-10T00:00:00"/>
    <m/>
    <s v="Active"/>
    <m/>
    <x v="2"/>
    <n v="446"/>
    <n v="0"/>
    <s v="04-2025"/>
    <s v=""/>
    <n v="0"/>
    <n v="0"/>
    <x v="2"/>
  </r>
  <r>
    <s v="EMP1274"/>
    <s v="Exploring Infinities - Sales"/>
    <s v="SALES"/>
    <s v="Sales - India"/>
    <s v="Director 1"/>
    <s v="Bengaluru"/>
    <s v="WFH"/>
    <d v="2026-04-10T00:00:00"/>
    <m/>
    <s v="Active"/>
    <m/>
    <x v="2"/>
    <n v="81"/>
    <n v="0"/>
    <s v="04-2026"/>
    <s v=""/>
    <n v="0"/>
    <n v="0"/>
    <x v="0"/>
  </r>
  <r>
    <s v="EMP1475"/>
    <s v="Exploring Infinities - Sales"/>
    <s v="SALES"/>
    <s v="Sales - India"/>
    <s v="Director 1"/>
    <s v="Bengaluru"/>
    <s v="WFH"/>
    <d v="2026-06-10T00:00:00"/>
    <d v="2026-06-18T00:00:00"/>
    <s v="Relieved"/>
    <s v="Voluntary"/>
    <x v="8"/>
    <n v="8"/>
    <n v="1"/>
    <s v="06-2026"/>
    <s v="06-2026"/>
    <n v="1"/>
    <n v="0"/>
    <x v="0"/>
  </r>
  <r>
    <s v="EMP1477"/>
    <s v="Exploring Infinities - Sales"/>
    <s v="SALES"/>
    <s v="Sales - India"/>
    <s v="Director 1"/>
    <s v="Bengaluru"/>
    <s v="WFH"/>
    <d v="2026-06-10T00:00:00"/>
    <d v="2026-06-15T00:00:00"/>
    <s v="Relieved"/>
    <s v="Voluntary"/>
    <x v="4"/>
    <n v="5"/>
    <n v="1"/>
    <s v="06-2026"/>
    <s v="06-2026"/>
    <n v="1"/>
    <n v="0"/>
    <x v="0"/>
  </r>
  <r>
    <s v="EMP1521"/>
    <s v="Exploring Infinities - Sales"/>
    <s v="SALES"/>
    <s v="Sales - India"/>
    <s v="Director 1"/>
    <s v="Bengaluru"/>
    <s v="WFH"/>
    <d v="2026-06-10T00:00:00"/>
    <m/>
    <s v="Active"/>
    <m/>
    <x v="2"/>
    <n v="20"/>
    <n v="0"/>
    <s v="06-2026"/>
    <s v=""/>
    <n v="0"/>
    <n v="0"/>
    <x v="0"/>
  </r>
  <r>
    <s v="EMP1195"/>
    <s v="Exploring Infinities - Sales"/>
    <s v="SALES"/>
    <s v="Sales - India"/>
    <s v="Director 1"/>
    <s v="Bengaluru"/>
    <s v="WFH"/>
    <d v="2025-03-10T00:00:00"/>
    <m/>
    <s v="Active"/>
    <m/>
    <x v="2"/>
    <n v="477"/>
    <n v="0"/>
    <s v="03-2025"/>
    <s v=""/>
    <n v="0"/>
    <n v="0"/>
    <x v="2"/>
  </r>
  <r>
    <s v="EMP1376"/>
    <s v="Exploring Infinities - Sales"/>
    <s v="SALES"/>
    <s v="Sales - India"/>
    <s v="Director 1"/>
    <s v="Bengaluru"/>
    <s v="WFH"/>
    <d v="2026-05-10T00:00:00"/>
    <d v="2026-06-03T00:00:00"/>
    <s v="Relieved"/>
    <s v="Involuntary"/>
    <x v="6"/>
    <n v="24"/>
    <n v="1"/>
    <s v="05-2026"/>
    <s v="06-2026"/>
    <n v="0"/>
    <n v="1"/>
    <x v="0"/>
  </r>
  <r>
    <s v="EMP1389"/>
    <s v="Exploring Infinities - Sales"/>
    <s v="SALES"/>
    <s v="Sales - India"/>
    <s v="Director 1"/>
    <s v="Bengaluru"/>
    <s v="WFH"/>
    <d v="2026-05-10T00:00:00"/>
    <d v="2026-05-12T00:00:00"/>
    <s v="Relieved"/>
    <s v="Voluntary"/>
    <x v="5"/>
    <n v="2"/>
    <n v="1"/>
    <s v="05-2026"/>
    <s v="05-2026"/>
    <n v="1"/>
    <n v="0"/>
    <x v="0"/>
  </r>
  <r>
    <s v="EMP1408"/>
    <s v="Exploring Infinities - Sales"/>
    <s v="SALES"/>
    <s v="Sales - India"/>
    <s v="Director 1"/>
    <s v="Bengaluru"/>
    <s v="WFH"/>
    <d v="2026-05-10T00:00:00"/>
    <m/>
    <s v="Active"/>
    <m/>
    <x v="2"/>
    <n v="51"/>
    <n v="0"/>
    <s v="05-2026"/>
    <s v=""/>
    <n v="0"/>
    <n v="0"/>
    <x v="0"/>
  </r>
  <r>
    <s v="EMP1442"/>
    <s v="Exploring Infinities - Sales"/>
    <s v="SALES"/>
    <s v="Sales - India"/>
    <s v="Director 1"/>
    <s v="Bengaluru"/>
    <s v="WFH"/>
    <d v="2026-05-10T00:00:00"/>
    <d v="2026-05-31T00:00:00"/>
    <s v="Relieved"/>
    <s v="Voluntary"/>
    <x v="0"/>
    <n v="21"/>
    <n v="1"/>
    <s v="05-2026"/>
    <s v="05-2026"/>
    <n v="1"/>
    <n v="0"/>
    <x v="0"/>
  </r>
  <r>
    <s v="EMP1444"/>
    <s v="Exploring Infinities - Sales"/>
    <s v="SALES"/>
    <s v="Sales - India"/>
    <s v="Director 1"/>
    <s v="Bengaluru"/>
    <s v="WFH"/>
    <d v="2026-05-10T00:00:00"/>
    <d v="2026-06-01T00:00:00"/>
    <s v="Relieved"/>
    <s v="Involuntary"/>
    <x v="7"/>
    <n v="22"/>
    <n v="1"/>
    <s v="05-2026"/>
    <s v="06-2026"/>
    <n v="0"/>
    <n v="1"/>
    <x v="0"/>
  </r>
  <r>
    <s v="EMP1205"/>
    <s v="Exploring Infinities - Sales"/>
    <s v="SALES"/>
    <s v="Sales - India"/>
    <s v="Director 1"/>
    <s v="Bengaluru"/>
    <s v="WFH"/>
    <d v="2025-11-10T00:00:00"/>
    <d v="2026-06-23T00:00:00"/>
    <s v="Relieved"/>
    <s v="Involuntary"/>
    <x v="1"/>
    <n v="225"/>
    <n v="1"/>
    <s v="11-2025"/>
    <s v="06-2026"/>
    <n v="0"/>
    <n v="1"/>
    <x v="1"/>
  </r>
  <r>
    <s v="EMP1296"/>
    <s v="Exploring Infinities - Sales"/>
    <s v="SALES"/>
    <s v="Sales - India"/>
    <s v="Director 1"/>
    <s v="Bengaluru"/>
    <s v="WFH"/>
    <d v="2026-04-11T00:00:00"/>
    <m/>
    <s v="Active"/>
    <m/>
    <x v="2"/>
    <n v="80"/>
    <n v="0"/>
    <s v="04-2026"/>
    <s v=""/>
    <n v="0"/>
    <n v="0"/>
    <x v="0"/>
  </r>
  <r>
    <s v="EMP1326"/>
    <s v="Exploring Infinities - Sales"/>
    <s v="SALES"/>
    <s v="Sales - India"/>
    <s v="Director 1"/>
    <s v="Bengaluru"/>
    <s v="WFH"/>
    <d v="2026-04-11T00:00:00"/>
    <d v="2026-06-12T00:00:00"/>
    <s v="Relieved"/>
    <s v="Involuntary"/>
    <x v="7"/>
    <n v="62"/>
    <n v="1"/>
    <s v="04-2026"/>
    <s v="06-2026"/>
    <n v="0"/>
    <n v="1"/>
    <x v="0"/>
  </r>
  <r>
    <s v="EMP1329"/>
    <s v="Exploring Infinities - Sales"/>
    <s v="SALES"/>
    <s v="Sales - India"/>
    <s v="Director 1"/>
    <s v="Bengaluru"/>
    <s v="WFH"/>
    <d v="2026-04-11T00:00:00"/>
    <d v="2026-04-20T00:00:00"/>
    <s v="Relieved"/>
    <s v="Voluntary"/>
    <x v="3"/>
    <n v="9"/>
    <n v="1"/>
    <s v="04-2026"/>
    <s v="04-2026"/>
    <n v="1"/>
    <n v="0"/>
    <x v="0"/>
  </r>
  <r>
    <s v="EMP1330"/>
    <s v="Exploring Infinities - Sales"/>
    <s v="SALES"/>
    <s v="Sales - India"/>
    <s v="Director 1"/>
    <s v="Bengaluru"/>
    <s v="WFH"/>
    <d v="2026-04-11T00:00:00"/>
    <d v="2026-04-11T00:00:00"/>
    <s v="Relieved"/>
    <s v="Voluntary"/>
    <x v="0"/>
    <n v="0"/>
    <n v="1"/>
    <s v="04-2026"/>
    <s v="04-2026"/>
    <n v="1"/>
    <n v="0"/>
    <x v="0"/>
  </r>
  <r>
    <s v="EMP1240"/>
    <s v="Exploring Infinities - Sales"/>
    <s v="SALES"/>
    <s v="Sales - India"/>
    <s v="Director 1"/>
    <s v="Bengaluru"/>
    <s v="WFH"/>
    <d v="2025-02-11T00:00:00"/>
    <d v="2026-04-30T00:00:00"/>
    <s v="Relieved"/>
    <s v="Involuntary"/>
    <x v="7"/>
    <n v="443"/>
    <n v="1"/>
    <s v="02-2025"/>
    <s v="04-2026"/>
    <n v="0"/>
    <n v="1"/>
    <x v="2"/>
  </r>
  <r>
    <s v="EMP1462"/>
    <s v="Exploring Infinities - Sales"/>
    <s v="SALES"/>
    <s v="Sales - India"/>
    <s v="Director 1"/>
    <s v="Bengaluru"/>
    <s v="WFH"/>
    <d v="2026-06-11T00:00:00"/>
    <d v="2026-06-27T00:00:00"/>
    <s v="Relieved"/>
    <s v="Voluntary"/>
    <x v="10"/>
    <n v="16"/>
    <n v="1"/>
    <s v="06-2026"/>
    <s v="06-2026"/>
    <n v="1"/>
    <n v="0"/>
    <x v="0"/>
  </r>
  <r>
    <s v="EMP1523"/>
    <s v="Exploring Infinities - Sales"/>
    <s v="SALES"/>
    <s v="Sales - India"/>
    <s v="Director 1"/>
    <s v="Bengaluru"/>
    <s v="WFH"/>
    <d v="2026-06-11T00:00:00"/>
    <m/>
    <s v="Active"/>
    <m/>
    <x v="2"/>
    <n v="19"/>
    <n v="0"/>
    <s v="06-2026"/>
    <s v=""/>
    <n v="0"/>
    <n v="0"/>
    <x v="0"/>
  </r>
  <r>
    <s v="EMP1192"/>
    <s v="Exploring Infinities - Sales"/>
    <s v="SALES"/>
    <s v="Sales - India"/>
    <s v="Director 1"/>
    <s v="Bengaluru"/>
    <s v="WFH"/>
    <d v="2026-03-11T00:00:00"/>
    <d v="2026-06-12T00:00:00"/>
    <s v="Relieved"/>
    <s v="Involuntary"/>
    <x v="1"/>
    <n v="93"/>
    <n v="1"/>
    <s v="03-2026"/>
    <s v="06-2026"/>
    <n v="0"/>
    <n v="1"/>
    <x v="3"/>
  </r>
  <r>
    <s v="EMP1435"/>
    <s v="Exploring Infinities - Sales"/>
    <s v="SALES"/>
    <s v="Sales - India"/>
    <s v="Director 1"/>
    <s v="Bengaluru"/>
    <s v="WFH"/>
    <d v="2026-05-11T00:00:00"/>
    <d v="2026-05-31T00:00:00"/>
    <s v="Relieved"/>
    <s v="Voluntary"/>
    <x v="5"/>
    <n v="20"/>
    <n v="1"/>
    <s v="05-2026"/>
    <s v="05-2026"/>
    <n v="1"/>
    <n v="0"/>
    <x v="0"/>
  </r>
  <r>
    <s v="EMP1456"/>
    <s v="Exploring Infinities - Sales"/>
    <s v="SALES"/>
    <s v="Sales - India"/>
    <s v="Director 1"/>
    <s v="Bengaluru"/>
    <s v="WFH"/>
    <d v="2026-05-11T00:00:00"/>
    <m/>
    <s v="Active"/>
    <m/>
    <x v="2"/>
    <n v="50"/>
    <n v="0"/>
    <s v="05-2026"/>
    <s v=""/>
    <n v="0"/>
    <n v="0"/>
    <x v="0"/>
  </r>
  <r>
    <s v="EMP1169"/>
    <s v="Exploring Infinities - Sales"/>
    <s v="SALES"/>
    <s v="Sales - India"/>
    <s v="Director 1"/>
    <s v="Bengaluru"/>
    <s v="WFH"/>
    <d v="2025-09-11T00:00:00"/>
    <d v="2026-04-23T00:00:00"/>
    <s v="Relieved"/>
    <s v="Involuntary"/>
    <x v="6"/>
    <n v="224"/>
    <n v="1"/>
    <s v="09-2025"/>
    <s v="04-2026"/>
    <n v="0"/>
    <n v="1"/>
    <x v="1"/>
  </r>
  <r>
    <s v="EMP1273"/>
    <s v="Exploring Infinities - Sales"/>
    <s v="SALES"/>
    <s v="Sales - India"/>
    <s v="Director 1"/>
    <s v="Bengaluru"/>
    <s v="WFH"/>
    <d v="2026-04-12T00:00:00"/>
    <m/>
    <s v="Active"/>
    <m/>
    <x v="2"/>
    <n v="79"/>
    <n v="0"/>
    <s v="04-2026"/>
    <s v=""/>
    <n v="0"/>
    <n v="0"/>
    <x v="0"/>
  </r>
  <r>
    <s v="EMP1346"/>
    <s v="Exploring Infinities - Sales"/>
    <s v="SALES"/>
    <s v="Sales - India"/>
    <s v="Director 1"/>
    <s v="Bengaluru"/>
    <s v="WFH"/>
    <d v="2026-04-12T00:00:00"/>
    <d v="2026-04-12T00:00:00"/>
    <s v="Relieved"/>
    <s v="Voluntary"/>
    <x v="3"/>
    <n v="0"/>
    <n v="1"/>
    <s v="04-2026"/>
    <s v="04-2026"/>
    <n v="1"/>
    <n v="0"/>
    <x v="0"/>
  </r>
  <r>
    <s v="EMP1202"/>
    <s v="Exploring Infinities - Sales"/>
    <s v="SALES"/>
    <s v="Sales - India"/>
    <s v="Director 1"/>
    <s v="Bengaluru"/>
    <s v="WFH"/>
    <d v="2025-06-12T00:00:00"/>
    <d v="2026-05-05T00:00:00"/>
    <s v="Relieved"/>
    <s v="Involuntary"/>
    <x v="6"/>
    <n v="327"/>
    <n v="1"/>
    <s v="06-2025"/>
    <s v="05-2026"/>
    <n v="0"/>
    <n v="1"/>
    <x v="1"/>
  </r>
  <r>
    <s v="EMP1466"/>
    <s v="Exploring Infinities - Sales"/>
    <s v="SALES"/>
    <s v="Sales - India"/>
    <s v="Director 1"/>
    <s v="Bengaluru"/>
    <s v="WFH"/>
    <d v="2026-06-12T00:00:00"/>
    <d v="2026-06-29T00:00:00"/>
    <s v="Relieved"/>
    <s v="Voluntary"/>
    <x v="0"/>
    <n v="17"/>
    <n v="1"/>
    <s v="06-2026"/>
    <s v="06-2026"/>
    <n v="1"/>
    <n v="0"/>
    <x v="0"/>
  </r>
  <r>
    <s v="EMP1478"/>
    <s v="Exploring Infinities - Sales"/>
    <s v="SALES"/>
    <s v="Sales - India"/>
    <s v="Director 1"/>
    <s v="Bengaluru"/>
    <s v="WFH"/>
    <d v="2026-06-12T00:00:00"/>
    <d v="2026-06-28T00:00:00"/>
    <s v="Relieved"/>
    <s v="Voluntary"/>
    <x v="8"/>
    <n v="16"/>
    <n v="1"/>
    <s v="06-2026"/>
    <s v="06-2026"/>
    <n v="1"/>
    <n v="0"/>
    <x v="0"/>
  </r>
  <r>
    <s v="EMP1489"/>
    <s v="Exploring Infinities - Sales"/>
    <s v="SALES"/>
    <s v="Sales - India"/>
    <s v="Director 1"/>
    <s v="Bengaluru"/>
    <s v="WFH"/>
    <d v="2026-06-12T00:00:00"/>
    <d v="2026-06-12T00:00:00"/>
    <s v="Relieved"/>
    <s v="Voluntary"/>
    <x v="0"/>
    <n v="0"/>
    <n v="1"/>
    <s v="06-2026"/>
    <s v="06-2026"/>
    <n v="1"/>
    <n v="0"/>
    <x v="0"/>
  </r>
  <r>
    <s v="EMP1492"/>
    <s v="Exploring Infinities - Sales"/>
    <s v="SALES"/>
    <s v="Sales - India"/>
    <s v="Director 1"/>
    <s v="Bengaluru"/>
    <s v="WFH"/>
    <d v="2026-06-12T00:00:00"/>
    <m/>
    <s v="Active"/>
    <m/>
    <x v="2"/>
    <n v="18"/>
    <n v="0"/>
    <s v="06-2026"/>
    <s v=""/>
    <n v="0"/>
    <n v="0"/>
    <x v="0"/>
  </r>
  <r>
    <s v="EMP1524"/>
    <s v="Exploring Infinities - Sales"/>
    <s v="SALES"/>
    <s v="Sales - India"/>
    <s v="Director 1"/>
    <s v="Bengaluru"/>
    <s v="WFH"/>
    <d v="2026-06-12T00:00:00"/>
    <m/>
    <s v="Active"/>
    <m/>
    <x v="2"/>
    <n v="18"/>
    <n v="0"/>
    <s v="06-2026"/>
    <s v=""/>
    <n v="0"/>
    <n v="0"/>
    <x v="0"/>
  </r>
  <r>
    <s v="EMP1241"/>
    <s v="Exploring Infinities - Sales"/>
    <s v="SALES"/>
    <s v="Sales - India"/>
    <s v="Director 1"/>
    <s v="Bengaluru"/>
    <s v="WFH"/>
    <d v="2025-03-12T00:00:00"/>
    <m/>
    <s v="Active"/>
    <m/>
    <x v="2"/>
    <n v="475"/>
    <n v="0"/>
    <s v="03-2025"/>
    <s v=""/>
    <n v="0"/>
    <n v="0"/>
    <x v="2"/>
  </r>
  <r>
    <s v="EMP1157"/>
    <s v="Exploring Infinities - Sales"/>
    <s v="SALES"/>
    <s v="Sales - India"/>
    <s v="Director 1"/>
    <s v="Bengaluru"/>
    <s v="WFH"/>
    <d v="2026-03-12T00:00:00"/>
    <d v="2026-06-12T00:00:00"/>
    <s v="Relieved"/>
    <s v="Involuntary"/>
    <x v="1"/>
    <n v="92"/>
    <n v="1"/>
    <s v="03-2026"/>
    <s v="06-2026"/>
    <n v="0"/>
    <n v="1"/>
    <x v="3"/>
  </r>
  <r>
    <s v="EMP1363"/>
    <s v="Exploring Infinities - Sales"/>
    <s v="SALES"/>
    <s v="Sales - India"/>
    <s v="Director 1"/>
    <s v="Bengaluru"/>
    <s v="WFH"/>
    <d v="2026-05-12T00:00:00"/>
    <m/>
    <s v="Active"/>
    <m/>
    <x v="2"/>
    <n v="49"/>
    <n v="0"/>
    <s v="05-2026"/>
    <s v=""/>
    <n v="0"/>
    <n v="0"/>
    <x v="0"/>
  </r>
  <r>
    <s v="EMP1455"/>
    <s v="Exploring Infinities - Sales"/>
    <s v="SALES"/>
    <s v="Sales - India"/>
    <s v="Director 1"/>
    <s v="Bengaluru"/>
    <s v="WFH"/>
    <d v="2026-05-12T00:00:00"/>
    <d v="2026-05-12T00:00:00"/>
    <s v="Relieved"/>
    <s v="Voluntary"/>
    <x v="3"/>
    <n v="0"/>
    <n v="1"/>
    <s v="05-2026"/>
    <s v="05-2026"/>
    <n v="1"/>
    <n v="0"/>
    <x v="0"/>
  </r>
  <r>
    <s v="EMP1260"/>
    <s v="Exploring Infinities - Sales"/>
    <s v="SALES"/>
    <s v="Sales - India"/>
    <s v="Director 1"/>
    <s v="Bengaluru"/>
    <s v="WFH"/>
    <d v="2026-04-13T00:00:00"/>
    <d v="2026-05-31T00:00:00"/>
    <s v="Relieved"/>
    <s v="Involuntary"/>
    <x v="9"/>
    <n v="48"/>
    <n v="1"/>
    <s v="04-2026"/>
    <s v="05-2026"/>
    <n v="0"/>
    <n v="1"/>
    <x v="0"/>
  </r>
  <r>
    <s v="EMP1270"/>
    <s v="Exploring Infinities - Sales"/>
    <s v="SALES"/>
    <s v="Sales - India"/>
    <s v="Director 1"/>
    <s v="Bengaluru"/>
    <s v="WFH"/>
    <d v="2026-04-13T00:00:00"/>
    <d v="2026-05-09T00:00:00"/>
    <s v="Relieved"/>
    <s v="Involuntary"/>
    <x v="7"/>
    <n v="26"/>
    <n v="1"/>
    <s v="04-2026"/>
    <s v="05-2026"/>
    <n v="0"/>
    <n v="1"/>
    <x v="0"/>
  </r>
  <r>
    <s v="EMP1276"/>
    <s v="Exploring Infinities - Sales"/>
    <s v="SALES"/>
    <s v="Sales - India"/>
    <s v="Director 1"/>
    <s v="Bengaluru"/>
    <s v="WFH"/>
    <d v="2026-04-13T00:00:00"/>
    <m/>
    <s v="Active"/>
    <m/>
    <x v="2"/>
    <n v="78"/>
    <n v="0"/>
    <s v="04-2026"/>
    <s v=""/>
    <n v="0"/>
    <n v="0"/>
    <x v="0"/>
  </r>
  <r>
    <s v="EMP1295"/>
    <s v="Exploring Infinities - Sales"/>
    <s v="SALES"/>
    <s v="Sales - India"/>
    <s v="Director 1"/>
    <s v="Bengaluru"/>
    <s v="WFH"/>
    <d v="2026-04-13T00:00:00"/>
    <d v="2026-04-14T00:00:00"/>
    <s v="Relieved"/>
    <s v="Voluntary"/>
    <x v="8"/>
    <n v="1"/>
    <n v="1"/>
    <s v="04-2026"/>
    <s v="04-2026"/>
    <n v="1"/>
    <n v="0"/>
    <x v="0"/>
  </r>
  <r>
    <s v="EMP1300"/>
    <s v="Exploring Infinities - Sales"/>
    <s v="SALES"/>
    <s v="Sales - India"/>
    <s v="Director 1"/>
    <s v="Bengaluru"/>
    <s v="WFH"/>
    <d v="2026-04-13T00:00:00"/>
    <d v="2026-06-24T00:00:00"/>
    <s v="Relieved"/>
    <s v="Involuntary"/>
    <x v="9"/>
    <n v="72"/>
    <n v="1"/>
    <s v="04-2026"/>
    <s v="06-2026"/>
    <n v="0"/>
    <n v="1"/>
    <x v="0"/>
  </r>
  <r>
    <s v="EMP1311"/>
    <s v="Exploring Infinities - Sales"/>
    <s v="SALES"/>
    <s v="Sales - India"/>
    <s v="Director 1"/>
    <s v="Bengaluru"/>
    <s v="WFH"/>
    <d v="2026-04-13T00:00:00"/>
    <d v="2026-04-13T00:00:00"/>
    <s v="Relieved"/>
    <s v="Voluntary"/>
    <x v="5"/>
    <n v="0"/>
    <n v="1"/>
    <s v="04-2026"/>
    <s v="04-2026"/>
    <n v="1"/>
    <n v="0"/>
    <x v="0"/>
  </r>
  <r>
    <s v="EMP1325"/>
    <s v="Exploring Infinities - Sales"/>
    <s v="SALES"/>
    <s v="Sales - India"/>
    <s v="Director 1"/>
    <s v="Bengaluru"/>
    <s v="WFH"/>
    <d v="2026-04-13T00:00:00"/>
    <d v="2026-04-28T00:00:00"/>
    <s v="Relieved"/>
    <s v="Voluntary"/>
    <x v="10"/>
    <n v="15"/>
    <n v="1"/>
    <s v="04-2026"/>
    <s v="04-2026"/>
    <n v="1"/>
    <n v="0"/>
    <x v="0"/>
  </r>
  <r>
    <s v="EMP1333"/>
    <s v="Exploring Infinities - Sales"/>
    <s v="SALES"/>
    <s v="Sales - India"/>
    <s v="Director 1"/>
    <s v="Bengaluru"/>
    <s v="WFH"/>
    <d v="2026-04-13T00:00:00"/>
    <m/>
    <s v="Active"/>
    <m/>
    <x v="2"/>
    <n v="78"/>
    <n v="0"/>
    <s v="04-2026"/>
    <s v=""/>
    <n v="0"/>
    <n v="0"/>
    <x v="0"/>
  </r>
  <r>
    <s v="EMP1238"/>
    <s v="Exploring Infinities - Sales"/>
    <s v="SALES"/>
    <s v="Sales - India"/>
    <s v="Director 1"/>
    <s v="Bengaluru"/>
    <s v="WFH"/>
    <d v="2025-06-13T00:00:00"/>
    <m/>
    <s v="Active"/>
    <m/>
    <x v="2"/>
    <n v="382"/>
    <n v="0"/>
    <s v="06-2025"/>
    <s v=""/>
    <n v="0"/>
    <n v="0"/>
    <x v="2"/>
  </r>
  <r>
    <s v="EMP1531"/>
    <s v="Exploring Infinities - Sales"/>
    <s v="SALES"/>
    <s v="Sales - India"/>
    <s v="Director 1"/>
    <s v="Bengaluru"/>
    <s v="WFH"/>
    <d v="2026-06-13T00:00:00"/>
    <d v="2026-06-27T00:00:00"/>
    <s v="Relieved"/>
    <s v="Voluntary"/>
    <x v="3"/>
    <n v="14"/>
    <n v="1"/>
    <s v="06-2026"/>
    <s v="06-2026"/>
    <n v="1"/>
    <n v="0"/>
    <x v="0"/>
  </r>
  <r>
    <s v="EMP1541"/>
    <s v="Exploring Infinities - Sales"/>
    <s v="SALES"/>
    <s v="Sales - India"/>
    <s v="Director 1"/>
    <s v="Bengaluru"/>
    <s v="WFH"/>
    <d v="2026-06-13T00:00:00"/>
    <d v="2026-06-23T00:00:00"/>
    <s v="Relieved"/>
    <s v="Voluntary"/>
    <x v="4"/>
    <n v="10"/>
    <n v="1"/>
    <s v="06-2026"/>
    <s v="06-2026"/>
    <n v="1"/>
    <n v="0"/>
    <x v="0"/>
  </r>
  <r>
    <s v="EMP1218"/>
    <s v="Exploring Infinities - Sales"/>
    <s v="SALES"/>
    <s v="Sales - India"/>
    <s v="Director 1"/>
    <s v="Bengaluru"/>
    <s v="WFH"/>
    <d v="2025-05-13T00:00:00"/>
    <m/>
    <s v="Active"/>
    <m/>
    <x v="2"/>
    <n v="413"/>
    <n v="0"/>
    <s v="05-2025"/>
    <s v=""/>
    <n v="0"/>
    <n v="0"/>
    <x v="2"/>
  </r>
  <r>
    <s v="EMP1420"/>
    <s v="Exploring Infinities - Sales"/>
    <s v="SALES"/>
    <s v="Sales - India"/>
    <s v="Director 1"/>
    <s v="Bengaluru"/>
    <s v="WFH"/>
    <d v="2026-05-13T00:00:00"/>
    <m/>
    <s v="Active"/>
    <m/>
    <x v="2"/>
    <n v="48"/>
    <n v="0"/>
    <s v="05-2026"/>
    <s v=""/>
    <n v="0"/>
    <n v="0"/>
    <x v="0"/>
  </r>
  <r>
    <s v="EMP1190"/>
    <s v="Exploring Infinities - Sales"/>
    <s v="SALES"/>
    <s v="Sales - India"/>
    <s v="Director 1"/>
    <s v="Bengaluru"/>
    <s v="WFH"/>
    <d v="2025-10-13T00:00:00"/>
    <d v="2026-05-04T00:00:00"/>
    <s v="Relieved"/>
    <s v="Involuntary"/>
    <x v="7"/>
    <n v="203"/>
    <n v="1"/>
    <s v="10-2025"/>
    <s v="05-2026"/>
    <n v="0"/>
    <n v="1"/>
    <x v="1"/>
  </r>
  <r>
    <s v="EMP1259"/>
    <s v="Exploring Infinities - Sales"/>
    <s v="SALES"/>
    <s v="Sales - India"/>
    <s v="Director 1"/>
    <s v="Bengaluru"/>
    <s v="WFH"/>
    <d v="2026-04-14T00:00:00"/>
    <d v="2026-04-21T00:00:00"/>
    <s v="Relieved"/>
    <s v="Voluntary"/>
    <x v="5"/>
    <n v="7"/>
    <n v="1"/>
    <s v="04-2026"/>
    <s v="04-2026"/>
    <n v="1"/>
    <n v="0"/>
    <x v="0"/>
  </r>
  <r>
    <s v="EMP1280"/>
    <s v="Exploring Infinities - Sales"/>
    <s v="SALES"/>
    <s v="Sales - India"/>
    <s v="Director 1"/>
    <s v="Bengaluru"/>
    <s v="WFH"/>
    <d v="2026-04-14T00:00:00"/>
    <d v="2026-05-19T00:00:00"/>
    <s v="Relieved"/>
    <s v="Voluntary"/>
    <x v="0"/>
    <n v="35"/>
    <n v="1"/>
    <s v="04-2026"/>
    <s v="05-2026"/>
    <n v="1"/>
    <n v="0"/>
    <x v="0"/>
  </r>
  <r>
    <s v="EMP1292"/>
    <s v="Exploring Infinities - Sales"/>
    <s v="SALES"/>
    <s v="Sales - India"/>
    <s v="Director 1"/>
    <s v="Bengaluru"/>
    <s v="WFH"/>
    <d v="2026-04-14T00:00:00"/>
    <d v="2026-06-02T00:00:00"/>
    <s v="Relieved"/>
    <s v="Involuntary"/>
    <x v="6"/>
    <n v="49"/>
    <n v="1"/>
    <s v="04-2026"/>
    <s v="06-2026"/>
    <n v="0"/>
    <n v="1"/>
    <x v="0"/>
  </r>
  <r>
    <s v="EMP1318"/>
    <s v="Exploring Infinities - Sales"/>
    <s v="SALES"/>
    <s v="Sales - India"/>
    <s v="Director 1"/>
    <s v="Bengaluru"/>
    <s v="WFH"/>
    <d v="2026-04-14T00:00:00"/>
    <d v="2026-04-19T00:00:00"/>
    <s v="Relieved"/>
    <s v="Voluntary"/>
    <x v="3"/>
    <n v="5"/>
    <n v="1"/>
    <s v="04-2026"/>
    <s v="04-2026"/>
    <n v="1"/>
    <n v="0"/>
    <x v="0"/>
  </r>
  <r>
    <s v="EMP1337"/>
    <s v="Exploring Infinities - Sales"/>
    <s v="SALES"/>
    <s v="Sales - India"/>
    <s v="Director 1"/>
    <s v="Bengaluru"/>
    <s v="WFH"/>
    <d v="2026-04-14T00:00:00"/>
    <m/>
    <s v="Active"/>
    <m/>
    <x v="2"/>
    <n v="77"/>
    <n v="0"/>
    <s v="04-2026"/>
    <s v=""/>
    <n v="0"/>
    <n v="0"/>
    <x v="0"/>
  </r>
  <r>
    <s v="EMP1231"/>
    <s v="Exploring Infinities - Sales"/>
    <s v="SALES"/>
    <s v="Sales - India"/>
    <s v="Director 1"/>
    <s v="Bengaluru"/>
    <s v="WFH"/>
    <d v="2025-08-14T00:00:00"/>
    <d v="2026-05-11T00:00:00"/>
    <s v="Relieved"/>
    <s v="Involuntary"/>
    <x v="7"/>
    <n v="270"/>
    <n v="1"/>
    <s v="08-2025"/>
    <s v="05-2026"/>
    <n v="0"/>
    <n v="1"/>
    <x v="1"/>
  </r>
  <r>
    <s v="EMP1465"/>
    <s v="Exploring Infinities - Sales"/>
    <s v="SALES"/>
    <s v="Sales - India"/>
    <s v="Director 1"/>
    <s v="Bengaluru"/>
    <s v="WFH"/>
    <d v="2026-06-14T00:00:00"/>
    <d v="2026-06-25T00:00:00"/>
    <s v="Relieved"/>
    <s v="Voluntary"/>
    <x v="5"/>
    <n v="11"/>
    <n v="1"/>
    <s v="06-2026"/>
    <s v="06-2026"/>
    <n v="1"/>
    <n v="0"/>
    <x v="0"/>
  </r>
  <r>
    <s v="EMP1470"/>
    <s v="Exploring Infinities - Sales"/>
    <s v="SALES"/>
    <s v="Sales - India"/>
    <s v="Director 1"/>
    <s v="Bengaluru"/>
    <s v="WFH"/>
    <d v="2026-06-14T00:00:00"/>
    <m/>
    <s v="Active"/>
    <m/>
    <x v="2"/>
    <n v="16"/>
    <n v="0"/>
    <s v="06-2026"/>
    <s v=""/>
    <n v="0"/>
    <n v="0"/>
    <x v="0"/>
  </r>
  <r>
    <s v="EMP1499"/>
    <s v="Exploring Infinities - Sales"/>
    <s v="SALES"/>
    <s v="Sales - India"/>
    <s v="Director 1"/>
    <s v="Bengaluru"/>
    <s v="WFH"/>
    <d v="2026-06-14T00:00:00"/>
    <d v="2026-06-14T00:00:00"/>
    <s v="Relieved"/>
    <s v="Voluntary"/>
    <x v="3"/>
    <n v="0"/>
    <n v="1"/>
    <s v="06-2026"/>
    <s v="06-2026"/>
    <n v="1"/>
    <n v="0"/>
    <x v="0"/>
  </r>
  <r>
    <s v="EMP1542"/>
    <s v="Exploring Infinities - Sales"/>
    <s v="SALES"/>
    <s v="Sales - India"/>
    <s v="Director 1"/>
    <s v="Bengaluru"/>
    <s v="WFH"/>
    <d v="2026-06-14T00:00:00"/>
    <d v="2026-06-14T00:00:00"/>
    <s v="Relieved"/>
    <s v="Voluntary"/>
    <x v="3"/>
    <n v="0"/>
    <n v="1"/>
    <s v="06-2026"/>
    <s v="06-2026"/>
    <n v="1"/>
    <n v="0"/>
    <x v="0"/>
  </r>
  <r>
    <s v="EMP1359"/>
    <s v="Exploring Infinities - Sales"/>
    <s v="SALES"/>
    <s v="Sales - India"/>
    <s v="Director 1"/>
    <s v="Bengaluru"/>
    <s v="WFH"/>
    <d v="2026-05-14T00:00:00"/>
    <d v="2026-06-12T00:00:00"/>
    <s v="Relieved"/>
    <s v="Involuntary"/>
    <x v="1"/>
    <n v="29"/>
    <n v="1"/>
    <s v="05-2026"/>
    <s v="06-2026"/>
    <n v="0"/>
    <n v="1"/>
    <x v="0"/>
  </r>
  <r>
    <s v="EMP1393"/>
    <s v="Exploring Infinities - Sales"/>
    <s v="SALES"/>
    <s v="Sales - India"/>
    <s v="Director 1"/>
    <s v="Bengaluru"/>
    <s v="WFH"/>
    <d v="2026-05-14T00:00:00"/>
    <d v="2026-05-14T00:00:00"/>
    <s v="Relieved"/>
    <s v="Voluntary"/>
    <x v="3"/>
    <n v="0"/>
    <n v="1"/>
    <s v="05-2026"/>
    <s v="05-2026"/>
    <n v="1"/>
    <n v="0"/>
    <x v="0"/>
  </r>
  <r>
    <s v="EMP1412"/>
    <s v="Exploring Infinities - Sales"/>
    <s v="SALES"/>
    <s v="Sales - India"/>
    <s v="Director 1"/>
    <s v="Bengaluru"/>
    <s v="WFH"/>
    <d v="2026-05-14T00:00:00"/>
    <d v="2026-05-14T00:00:00"/>
    <s v="Relieved"/>
    <s v="Voluntary"/>
    <x v="5"/>
    <n v="0"/>
    <n v="1"/>
    <s v="05-2026"/>
    <s v="05-2026"/>
    <n v="1"/>
    <n v="0"/>
    <x v="0"/>
  </r>
  <r>
    <s v="EMP1434"/>
    <s v="Exploring Infinities - Sales"/>
    <s v="SALES"/>
    <s v="Sales - India"/>
    <s v="Director 1"/>
    <s v="Bengaluru"/>
    <s v="WFH"/>
    <d v="2026-05-14T00:00:00"/>
    <m/>
    <s v="Active"/>
    <m/>
    <x v="2"/>
    <n v="47"/>
    <n v="0"/>
    <s v="05-2026"/>
    <s v=""/>
    <n v="0"/>
    <n v="0"/>
    <x v="0"/>
  </r>
  <r>
    <s v="EMP1200"/>
    <s v="Exploring Infinities - Sales"/>
    <s v="SALES"/>
    <s v="Sales - India"/>
    <s v="Director 1"/>
    <s v="Bengaluru"/>
    <s v="WFH"/>
    <d v="2025-10-14T00:00:00"/>
    <m/>
    <s v="Active"/>
    <m/>
    <x v="2"/>
    <n v="259"/>
    <n v="0"/>
    <s v="10-2025"/>
    <s v=""/>
    <n v="0"/>
    <n v="0"/>
    <x v="1"/>
  </r>
  <r>
    <s v="EMP1304"/>
    <s v="Exploring Infinities - Sales"/>
    <s v="SALES"/>
    <s v="Sales - India"/>
    <s v="Director 1"/>
    <s v="Bengaluru"/>
    <s v="WFH"/>
    <d v="2026-04-15T00:00:00"/>
    <d v="2026-06-21T00:00:00"/>
    <s v="Relieved"/>
    <s v="Involuntary"/>
    <x v="1"/>
    <n v="67"/>
    <n v="1"/>
    <s v="04-2026"/>
    <s v="06-2026"/>
    <n v="0"/>
    <n v="1"/>
    <x v="0"/>
  </r>
  <r>
    <s v="EMP1321"/>
    <s v="Exploring Infinities - Sales"/>
    <s v="SALES"/>
    <s v="Sales - India"/>
    <s v="Director 1"/>
    <s v="Bengaluru"/>
    <s v="WFH"/>
    <d v="2026-04-15T00:00:00"/>
    <m/>
    <s v="Active"/>
    <m/>
    <x v="2"/>
    <n v="76"/>
    <n v="0"/>
    <s v="04-2026"/>
    <s v=""/>
    <n v="0"/>
    <n v="0"/>
    <x v="0"/>
  </r>
  <r>
    <s v="EMP1328"/>
    <s v="Exploring Infinities - Sales"/>
    <s v="SALES"/>
    <s v="Sales - India"/>
    <s v="Director 1"/>
    <s v="Bengaluru"/>
    <s v="WFH"/>
    <d v="2026-04-15T00:00:00"/>
    <m/>
    <s v="Active"/>
    <m/>
    <x v="2"/>
    <n v="76"/>
    <n v="0"/>
    <s v="04-2026"/>
    <s v=""/>
    <n v="0"/>
    <n v="0"/>
    <x v="0"/>
  </r>
  <r>
    <s v="EMP1204"/>
    <s v="Exploring Infinities - Sales"/>
    <s v="SALES"/>
    <s v="Sales - India"/>
    <s v="Director 1"/>
    <s v="Bengaluru"/>
    <s v="WFH"/>
    <d v="2025-08-15T00:00:00"/>
    <d v="2026-04-19T00:00:00"/>
    <s v="Relieved"/>
    <s v="Involuntary"/>
    <x v="9"/>
    <n v="247"/>
    <n v="1"/>
    <s v="08-2025"/>
    <s v="04-2026"/>
    <n v="0"/>
    <n v="1"/>
    <x v="1"/>
  </r>
  <r>
    <s v="EMP1196"/>
    <s v="Exploring Infinities - Sales"/>
    <s v="SALES"/>
    <s v="Sales - India"/>
    <s v="Director 1"/>
    <s v="Bengaluru"/>
    <s v="WFH"/>
    <d v="2026-02-15T00:00:00"/>
    <d v="2026-05-15T00:00:00"/>
    <s v="Relieved"/>
    <s v="Involuntary"/>
    <x v="1"/>
    <n v="89"/>
    <n v="1"/>
    <s v="02-2026"/>
    <s v="05-2026"/>
    <n v="0"/>
    <n v="1"/>
    <x v="0"/>
  </r>
  <r>
    <s v="EMP1358"/>
    <s v="Exploring Infinities - Sales"/>
    <s v="SALES"/>
    <s v="Sales - India"/>
    <s v="Director 1"/>
    <s v="Bengaluru"/>
    <s v="WFH"/>
    <d v="2026-05-15T00:00:00"/>
    <d v="2026-05-19T00:00:00"/>
    <s v="Relieved"/>
    <s v="Voluntary"/>
    <x v="3"/>
    <n v="4"/>
    <n v="1"/>
    <s v="05-2026"/>
    <s v="05-2026"/>
    <n v="1"/>
    <n v="0"/>
    <x v="0"/>
  </r>
  <r>
    <s v="EMP1368"/>
    <s v="Exploring Infinities - Sales"/>
    <s v="SALES"/>
    <s v="Sales - India"/>
    <s v="Director 1"/>
    <s v="Bengaluru"/>
    <s v="WFH"/>
    <d v="2026-05-15T00:00:00"/>
    <d v="2026-05-31T00:00:00"/>
    <s v="Relieved"/>
    <s v="Voluntary"/>
    <x v="10"/>
    <n v="16"/>
    <n v="1"/>
    <s v="05-2026"/>
    <s v="05-2026"/>
    <n v="1"/>
    <n v="0"/>
    <x v="0"/>
  </r>
  <r>
    <s v="EMP1377"/>
    <s v="Exploring Infinities - Sales"/>
    <s v="SALES"/>
    <s v="Sales - India"/>
    <s v="Director 1"/>
    <s v="Bengaluru"/>
    <s v="WFH"/>
    <d v="2026-05-15T00:00:00"/>
    <m/>
    <s v="Active"/>
    <m/>
    <x v="2"/>
    <n v="46"/>
    <n v="0"/>
    <s v="05-2026"/>
    <s v=""/>
    <n v="0"/>
    <n v="0"/>
    <x v="0"/>
  </r>
  <r>
    <s v="EMP1399"/>
    <s v="Exploring Infinities - Sales"/>
    <s v="SALES"/>
    <s v="Sales - India"/>
    <s v="Director 1"/>
    <s v="Bengaluru"/>
    <s v="WFH"/>
    <d v="2026-05-15T00:00:00"/>
    <d v="2026-05-15T00:00:00"/>
    <s v="Relieved"/>
    <s v="Voluntary"/>
    <x v="8"/>
    <n v="0"/>
    <n v="1"/>
    <s v="05-2026"/>
    <s v="05-2026"/>
    <n v="1"/>
    <n v="0"/>
    <x v="0"/>
  </r>
  <r>
    <s v="EMP1417"/>
    <s v="Exploring Infinities - Sales"/>
    <s v="SALES"/>
    <s v="Sales - India"/>
    <s v="Director 1"/>
    <s v="Bengaluru"/>
    <s v="WFH"/>
    <d v="2026-05-15T00:00:00"/>
    <m/>
    <s v="Active"/>
    <m/>
    <x v="2"/>
    <n v="46"/>
    <n v="0"/>
    <s v="05-2026"/>
    <s v=""/>
    <n v="0"/>
    <n v="0"/>
    <x v="0"/>
  </r>
  <r>
    <s v="EMP1452"/>
    <s v="Exploring Infinities - Sales"/>
    <s v="SALES"/>
    <s v="Sales - India"/>
    <s v="Director 1"/>
    <s v="Bengaluru"/>
    <s v="WFH"/>
    <d v="2026-05-15T00:00:00"/>
    <m/>
    <s v="Active"/>
    <m/>
    <x v="2"/>
    <n v="46"/>
    <n v="0"/>
    <s v="05-2026"/>
    <s v=""/>
    <n v="0"/>
    <n v="0"/>
    <x v="0"/>
  </r>
  <r>
    <s v="EMP1271"/>
    <s v="Exploring Infinities - Sales"/>
    <s v="SALES"/>
    <s v="Sales - India"/>
    <s v="Director 1"/>
    <s v="Bengaluru"/>
    <s v="WFH"/>
    <d v="2026-04-16T00:00:00"/>
    <d v="2026-04-26T00:00:00"/>
    <s v="Relieved"/>
    <s v="Voluntary"/>
    <x v="5"/>
    <n v="10"/>
    <n v="1"/>
    <s v="04-2026"/>
    <s v="04-2026"/>
    <n v="1"/>
    <n v="0"/>
    <x v="0"/>
  </r>
  <r>
    <s v="EMP1289"/>
    <s v="Exploring Infinities - Sales"/>
    <s v="SALES"/>
    <s v="Sales - India"/>
    <s v="Director 1"/>
    <s v="Bengaluru"/>
    <s v="WFH"/>
    <d v="2026-04-16T00:00:00"/>
    <d v="2026-05-13T00:00:00"/>
    <s v="Relieved"/>
    <s v="Involuntary"/>
    <x v="7"/>
    <n v="27"/>
    <n v="1"/>
    <s v="04-2026"/>
    <s v="05-2026"/>
    <n v="0"/>
    <n v="1"/>
    <x v="0"/>
  </r>
  <r>
    <s v="EMP1293"/>
    <s v="Exploring Infinities - Sales"/>
    <s v="SALES"/>
    <s v="Sales - India"/>
    <s v="Director 1"/>
    <s v="Bengaluru"/>
    <s v="WFH"/>
    <d v="2026-04-16T00:00:00"/>
    <d v="2026-06-29T00:00:00"/>
    <s v="Relieved"/>
    <s v="Involuntary"/>
    <x v="9"/>
    <n v="74"/>
    <n v="1"/>
    <s v="04-2026"/>
    <s v="06-2026"/>
    <n v="0"/>
    <n v="1"/>
    <x v="0"/>
  </r>
  <r>
    <s v="EMP1341"/>
    <s v="Exploring Infinities - Sales"/>
    <s v="SALES"/>
    <s v="Sales - India"/>
    <s v="Director 1"/>
    <s v="Bengaluru"/>
    <s v="WFH"/>
    <d v="2026-04-16T00:00:00"/>
    <d v="2026-06-25T00:00:00"/>
    <s v="Relieved"/>
    <s v="Involuntary"/>
    <x v="6"/>
    <n v="70"/>
    <n v="1"/>
    <s v="04-2026"/>
    <s v="06-2026"/>
    <n v="0"/>
    <n v="1"/>
    <x v="0"/>
  </r>
  <r>
    <s v="EMP1185"/>
    <s v="Exploring Infinities - Sales"/>
    <s v="SALES"/>
    <s v="Sales - India"/>
    <s v="Director 1"/>
    <s v="Bengaluru"/>
    <s v="WFH"/>
    <d v="2026-02-16T00:00:00"/>
    <m/>
    <s v="Active"/>
    <m/>
    <x v="2"/>
    <n v="134"/>
    <n v="0"/>
    <s v="02-2026"/>
    <s v=""/>
    <n v="0"/>
    <n v="0"/>
    <x v="3"/>
  </r>
  <r>
    <s v="EMP1214"/>
    <s v="Exploring Infinities - Sales"/>
    <s v="SALES"/>
    <s v="Sales - India"/>
    <s v="Director 1"/>
    <s v="Bengaluru"/>
    <s v="WFH"/>
    <d v="2026-01-16T00:00:00"/>
    <d v="2026-04-06T00:00:00"/>
    <s v="Relieved"/>
    <s v="Involuntary"/>
    <x v="6"/>
    <n v="80"/>
    <n v="1"/>
    <s v="01-2026"/>
    <s v="04-2026"/>
    <n v="0"/>
    <n v="1"/>
    <x v="0"/>
  </r>
  <r>
    <s v="EMP1168"/>
    <s v="Exploring Infinities - Sales"/>
    <s v="SALES"/>
    <s v="Sales - India"/>
    <s v="Director 1"/>
    <s v="Bengaluru"/>
    <s v="WFH"/>
    <d v="2025-07-16T00:00:00"/>
    <d v="2026-04-16T00:00:00"/>
    <s v="Relieved"/>
    <s v="Voluntary"/>
    <x v="10"/>
    <n v="274"/>
    <n v="1"/>
    <s v="07-2025"/>
    <s v="04-2026"/>
    <n v="1"/>
    <n v="0"/>
    <x v="1"/>
  </r>
  <r>
    <s v="EMP1244"/>
    <s v="Exploring Infinities - Sales"/>
    <s v="SALES"/>
    <s v="Sales - India"/>
    <s v="Director 1"/>
    <s v="Bengaluru"/>
    <s v="WFH"/>
    <d v="2025-07-16T00:00:00"/>
    <d v="2026-06-04T00:00:00"/>
    <s v="Relieved"/>
    <s v="Involuntary"/>
    <x v="9"/>
    <n v="323"/>
    <n v="1"/>
    <s v="07-2025"/>
    <s v="06-2026"/>
    <n v="0"/>
    <n v="1"/>
    <x v="1"/>
  </r>
  <r>
    <s v="EMP1485"/>
    <s v="Exploring Infinities - Sales"/>
    <s v="SALES"/>
    <s v="Sales - India"/>
    <s v="Director 1"/>
    <s v="Bengaluru"/>
    <s v="WFH"/>
    <d v="2026-06-16T00:00:00"/>
    <d v="2026-06-16T00:00:00"/>
    <s v="Relieved"/>
    <s v="Voluntary"/>
    <x v="0"/>
    <n v="0"/>
    <n v="1"/>
    <s v="06-2026"/>
    <s v="06-2026"/>
    <n v="1"/>
    <n v="0"/>
    <x v="0"/>
  </r>
  <r>
    <s v="EMP1366"/>
    <s v="Exploring Infinities - Sales"/>
    <s v="SALES"/>
    <s v="Sales - India"/>
    <s v="Director 1"/>
    <s v="Bengaluru"/>
    <s v="WFH"/>
    <d v="2026-05-16T00:00:00"/>
    <d v="2026-05-20T00:00:00"/>
    <s v="Relieved"/>
    <s v="Voluntary"/>
    <x v="10"/>
    <n v="4"/>
    <n v="1"/>
    <s v="05-2026"/>
    <s v="05-2026"/>
    <n v="1"/>
    <n v="0"/>
    <x v="0"/>
  </r>
  <r>
    <s v="EMP1380"/>
    <s v="Exploring Infinities - Sales"/>
    <s v="SALES"/>
    <s v="Sales - India"/>
    <s v="Director 1"/>
    <s v="Bengaluru"/>
    <s v="WFH"/>
    <d v="2026-05-16T00:00:00"/>
    <m/>
    <s v="Active"/>
    <m/>
    <x v="2"/>
    <n v="45"/>
    <n v="0"/>
    <s v="05-2026"/>
    <s v=""/>
    <n v="0"/>
    <n v="0"/>
    <x v="0"/>
  </r>
  <r>
    <s v="EMP1405"/>
    <s v="Exploring Infinities - Sales"/>
    <s v="SALES"/>
    <s v="Sales - India"/>
    <s v="Director 1"/>
    <s v="Bengaluru"/>
    <s v="WFH"/>
    <d v="2026-05-16T00:00:00"/>
    <d v="2026-06-03T00:00:00"/>
    <s v="Relieved"/>
    <s v="Involuntary"/>
    <x v="9"/>
    <n v="18"/>
    <n v="1"/>
    <s v="05-2026"/>
    <s v="06-2026"/>
    <n v="0"/>
    <n v="1"/>
    <x v="0"/>
  </r>
  <r>
    <s v="EMP1414"/>
    <s v="Exploring Infinities - Sales"/>
    <s v="SALES"/>
    <s v="Sales - India"/>
    <s v="Director 1"/>
    <s v="Bengaluru"/>
    <s v="WFH"/>
    <d v="2026-05-16T00:00:00"/>
    <d v="2026-05-16T00:00:00"/>
    <s v="Relieved"/>
    <s v="Voluntary"/>
    <x v="5"/>
    <n v="0"/>
    <n v="1"/>
    <s v="05-2026"/>
    <s v="05-2026"/>
    <n v="1"/>
    <n v="0"/>
    <x v="0"/>
  </r>
  <r>
    <s v="EMP1415"/>
    <s v="Exploring Infinities - Sales"/>
    <s v="SALES"/>
    <s v="Sales - India"/>
    <s v="Director 1"/>
    <s v="Bengaluru"/>
    <s v="WFH"/>
    <d v="2026-05-16T00:00:00"/>
    <d v="2026-05-16T00:00:00"/>
    <s v="Relieved"/>
    <s v="Voluntary"/>
    <x v="5"/>
    <n v="0"/>
    <n v="1"/>
    <s v="05-2026"/>
    <s v="05-2026"/>
    <n v="1"/>
    <n v="0"/>
    <x v="0"/>
  </r>
  <r>
    <s v="EMP1449"/>
    <s v="Exploring Infinities - Sales"/>
    <s v="SALES"/>
    <s v="Sales - India"/>
    <s v="Director 1"/>
    <s v="Bengaluru"/>
    <s v="WFH"/>
    <d v="2026-05-16T00:00:00"/>
    <m/>
    <s v="Active"/>
    <m/>
    <x v="2"/>
    <n v="45"/>
    <n v="0"/>
    <s v="05-2026"/>
    <s v=""/>
    <n v="0"/>
    <n v="0"/>
    <x v="0"/>
  </r>
  <r>
    <s v="EMP1454"/>
    <s v="Exploring Infinities - Sales"/>
    <s v="SALES"/>
    <s v="Sales - India"/>
    <s v="Director 1"/>
    <s v="Bengaluru"/>
    <s v="WFH"/>
    <d v="2026-05-16T00:00:00"/>
    <m/>
    <s v="Active"/>
    <m/>
    <x v="2"/>
    <n v="45"/>
    <n v="0"/>
    <s v="05-2026"/>
    <s v=""/>
    <n v="0"/>
    <n v="0"/>
    <x v="0"/>
  </r>
  <r>
    <s v="EMP1208"/>
    <s v="Exploring Infinities - Sales"/>
    <s v="SALES"/>
    <s v="Sales - India"/>
    <s v="Director 1"/>
    <s v="Bengaluru"/>
    <s v="WFH"/>
    <d v="2025-09-16T00:00:00"/>
    <d v="2026-04-21T00:00:00"/>
    <s v="Relieved"/>
    <s v="Involuntary"/>
    <x v="6"/>
    <n v="217"/>
    <n v="1"/>
    <s v="09-2025"/>
    <s v="04-2026"/>
    <n v="0"/>
    <n v="1"/>
    <x v="1"/>
  </r>
  <r>
    <s v="EMP1212"/>
    <s v="Exploring Infinities - Sales"/>
    <s v="SALES"/>
    <s v="Sales - India"/>
    <s v="Director 1"/>
    <s v="Bengaluru"/>
    <s v="WFH"/>
    <d v="2025-08-17T00:00:00"/>
    <m/>
    <s v="Active"/>
    <m/>
    <x v="2"/>
    <n v="317"/>
    <n v="0"/>
    <s v="08-2025"/>
    <s v=""/>
    <n v="0"/>
    <n v="0"/>
    <x v="1"/>
  </r>
  <r>
    <s v="EMP1481"/>
    <s v="Exploring Infinities - Sales"/>
    <s v="SALES"/>
    <s v="Sales - India"/>
    <s v="Director 1"/>
    <s v="Bengaluru"/>
    <s v="WFH"/>
    <d v="2026-06-17T00:00:00"/>
    <d v="2026-06-24T00:00:00"/>
    <s v="Relieved"/>
    <s v="Voluntary"/>
    <x v="10"/>
    <n v="7"/>
    <n v="1"/>
    <s v="06-2026"/>
    <s v="06-2026"/>
    <n v="1"/>
    <n v="0"/>
    <x v="0"/>
  </r>
  <r>
    <s v="EMP1539"/>
    <s v="Exploring Infinities - Sales"/>
    <s v="SALES"/>
    <s v="Sales - India"/>
    <s v="Director 1"/>
    <s v="Bengaluru"/>
    <s v="WFH"/>
    <d v="2026-06-17T00:00:00"/>
    <d v="2026-06-17T00:00:00"/>
    <s v="Relieved"/>
    <s v="Voluntary"/>
    <x v="5"/>
    <n v="0"/>
    <n v="1"/>
    <s v="06-2026"/>
    <s v="06-2026"/>
    <n v="1"/>
    <n v="0"/>
    <x v="0"/>
  </r>
  <r>
    <s v="EMP1172"/>
    <s v="Exploring Infinities - Sales"/>
    <s v="SALES"/>
    <s v="Sales - India"/>
    <s v="Director 1"/>
    <s v="Bengaluru"/>
    <s v="WFH"/>
    <d v="2025-03-17T00:00:00"/>
    <d v="2026-05-17T00:00:00"/>
    <s v="Relieved"/>
    <s v="Involuntary"/>
    <x v="9"/>
    <n v="426"/>
    <n v="1"/>
    <s v="03-2025"/>
    <s v="05-2026"/>
    <n v="0"/>
    <n v="1"/>
    <x v="2"/>
  </r>
  <r>
    <s v="EMP1177"/>
    <s v="Exploring Infinities - Sales"/>
    <s v="SALES"/>
    <s v="Sales - India"/>
    <s v="Director 1"/>
    <s v="Bengaluru"/>
    <s v="WFH"/>
    <d v="2026-03-17T00:00:00"/>
    <d v="2026-05-14T00:00:00"/>
    <s v="Relieved"/>
    <s v="Involuntary"/>
    <x v="9"/>
    <n v="58"/>
    <n v="1"/>
    <s v="03-2026"/>
    <s v="05-2026"/>
    <n v="0"/>
    <n v="1"/>
    <x v="0"/>
  </r>
  <r>
    <s v="EMP1362"/>
    <s v="Exploring Infinities - Sales"/>
    <s v="SALES"/>
    <s v="Sales - India"/>
    <s v="Director 1"/>
    <s v="Bengaluru"/>
    <s v="WFH"/>
    <d v="2026-05-17T00:00:00"/>
    <m/>
    <s v="Active"/>
    <m/>
    <x v="2"/>
    <n v="44"/>
    <n v="0"/>
    <s v="05-2026"/>
    <s v=""/>
    <n v="0"/>
    <n v="0"/>
    <x v="0"/>
  </r>
  <r>
    <s v="EMP1409"/>
    <s v="Exploring Infinities - Sales"/>
    <s v="SALES"/>
    <s v="Sales - India"/>
    <s v="Director 1"/>
    <s v="Bengaluru"/>
    <s v="WFH"/>
    <d v="2026-05-17T00:00:00"/>
    <d v="2026-05-28T00:00:00"/>
    <s v="Relieved"/>
    <s v="Voluntary"/>
    <x v="8"/>
    <n v="11"/>
    <n v="1"/>
    <s v="05-2026"/>
    <s v="05-2026"/>
    <n v="1"/>
    <n v="0"/>
    <x v="0"/>
  </r>
  <r>
    <s v="EMP1424"/>
    <s v="Exploring Infinities - Sales"/>
    <s v="SALES"/>
    <s v="Sales - India"/>
    <s v="Director 1"/>
    <s v="Bengaluru"/>
    <s v="WFH"/>
    <d v="2026-05-17T00:00:00"/>
    <d v="2026-05-17T00:00:00"/>
    <s v="Relieved"/>
    <s v="Voluntary"/>
    <x v="8"/>
    <n v="0"/>
    <n v="1"/>
    <s v="05-2026"/>
    <s v="05-2026"/>
    <n v="1"/>
    <n v="0"/>
    <x v="0"/>
  </r>
  <r>
    <s v="EMP1438"/>
    <s v="Exploring Infinities - Sales"/>
    <s v="SALES"/>
    <s v="Sales - India"/>
    <s v="Director 1"/>
    <s v="Bengaluru"/>
    <s v="WFH"/>
    <d v="2026-05-17T00:00:00"/>
    <m/>
    <s v="Active"/>
    <m/>
    <x v="2"/>
    <n v="44"/>
    <n v="0"/>
    <s v="05-2026"/>
    <s v=""/>
    <n v="0"/>
    <n v="0"/>
    <x v="0"/>
  </r>
  <r>
    <s v="EMP1228"/>
    <s v="Exploring Infinities - Sales"/>
    <s v="SALES"/>
    <s v="Sales - India"/>
    <s v="Director 1"/>
    <s v="Bengaluru"/>
    <s v="WFH"/>
    <d v="2025-11-17T00:00:00"/>
    <d v="2026-04-11T00:00:00"/>
    <s v="Relieved"/>
    <s v="Involuntary"/>
    <x v="7"/>
    <n v="145"/>
    <n v="1"/>
    <s v="11-2025"/>
    <s v="04-2026"/>
    <n v="0"/>
    <n v="1"/>
    <x v="3"/>
  </r>
  <r>
    <s v="EMP1281"/>
    <s v="Exploring Infinities - Sales"/>
    <s v="SALES"/>
    <s v="Sales - India"/>
    <s v="Director 1"/>
    <s v="Bengaluru"/>
    <s v="WFH"/>
    <d v="2026-04-18T00:00:00"/>
    <d v="2026-04-18T00:00:00"/>
    <s v="Relieved"/>
    <s v="Voluntary"/>
    <x v="5"/>
    <n v="0"/>
    <n v="1"/>
    <s v="04-2026"/>
    <s v="04-2026"/>
    <n v="1"/>
    <n v="0"/>
    <x v="0"/>
  </r>
  <r>
    <s v="EMP1284"/>
    <s v="Exploring Infinities - Sales"/>
    <s v="SALES"/>
    <s v="Sales - India"/>
    <s v="Director 1"/>
    <s v="Bengaluru"/>
    <s v="WFH"/>
    <d v="2026-04-18T00:00:00"/>
    <m/>
    <s v="Active"/>
    <m/>
    <x v="2"/>
    <n v="73"/>
    <n v="0"/>
    <s v="04-2026"/>
    <s v=""/>
    <n v="0"/>
    <n v="0"/>
    <x v="0"/>
  </r>
  <r>
    <s v="EMP1308"/>
    <s v="Exploring Infinities - Sales"/>
    <s v="SALES"/>
    <s v="Sales - India"/>
    <s v="Director 1"/>
    <s v="Bengaluru"/>
    <s v="WFH"/>
    <d v="2026-04-18T00:00:00"/>
    <d v="2026-05-15T00:00:00"/>
    <s v="Relieved"/>
    <s v="Involuntary"/>
    <x v="6"/>
    <n v="27"/>
    <n v="1"/>
    <s v="04-2026"/>
    <s v="05-2026"/>
    <n v="0"/>
    <n v="1"/>
    <x v="0"/>
  </r>
  <r>
    <s v="EMP1344"/>
    <s v="Exploring Infinities - Sales"/>
    <s v="SALES"/>
    <s v="Sales - India"/>
    <s v="Director 1"/>
    <s v="Bengaluru"/>
    <s v="WFH"/>
    <d v="2026-04-18T00:00:00"/>
    <d v="2026-05-27T00:00:00"/>
    <s v="Relieved"/>
    <s v="Involuntary"/>
    <x v="9"/>
    <n v="39"/>
    <n v="1"/>
    <s v="04-2026"/>
    <s v="05-2026"/>
    <n v="0"/>
    <n v="1"/>
    <x v="0"/>
  </r>
  <r>
    <s v="EMP1460"/>
    <s v="Exploring Infinities - Sales"/>
    <s v="SALES"/>
    <s v="Sales - India"/>
    <s v="Director 1"/>
    <s v="Bengaluru"/>
    <s v="WFH"/>
    <d v="2026-06-18T00:00:00"/>
    <d v="2026-06-18T00:00:00"/>
    <s v="Relieved"/>
    <s v="Voluntary"/>
    <x v="4"/>
    <n v="0"/>
    <n v="1"/>
    <s v="06-2026"/>
    <s v="06-2026"/>
    <n v="1"/>
    <n v="0"/>
    <x v="0"/>
  </r>
  <r>
    <s v="EMP1461"/>
    <s v="Exploring Infinities - Sales"/>
    <s v="SALES"/>
    <s v="Sales - India"/>
    <s v="Director 1"/>
    <s v="Bengaluru"/>
    <s v="WFH"/>
    <d v="2026-06-18T00:00:00"/>
    <m/>
    <s v="Active"/>
    <m/>
    <x v="2"/>
    <n v="12"/>
    <n v="0"/>
    <s v="06-2026"/>
    <s v=""/>
    <n v="0"/>
    <n v="0"/>
    <x v="0"/>
  </r>
  <r>
    <s v="EMP1491"/>
    <s v="Exploring Infinities - Sales"/>
    <s v="SALES"/>
    <s v="Sales - India"/>
    <s v="Director 1"/>
    <s v="Bengaluru"/>
    <s v="WFH"/>
    <d v="2026-06-18T00:00:00"/>
    <d v="2026-06-18T00:00:00"/>
    <s v="Relieved"/>
    <s v="Voluntary"/>
    <x v="10"/>
    <n v="0"/>
    <n v="1"/>
    <s v="06-2026"/>
    <s v="06-2026"/>
    <n v="1"/>
    <n v="0"/>
    <x v="0"/>
  </r>
  <r>
    <s v="EMP1501"/>
    <s v="Exploring Infinities - Sales"/>
    <s v="SALES"/>
    <s v="Sales - India"/>
    <s v="Director 1"/>
    <s v="Bengaluru"/>
    <s v="WFH"/>
    <d v="2026-06-18T00:00:00"/>
    <m/>
    <s v="Active"/>
    <m/>
    <x v="2"/>
    <n v="12"/>
    <n v="0"/>
    <s v="06-2026"/>
    <s v=""/>
    <n v="0"/>
    <n v="0"/>
    <x v="0"/>
  </r>
  <r>
    <s v="EMP1508"/>
    <s v="Exploring Infinities - Sales"/>
    <s v="SALES"/>
    <s v="Sales - India"/>
    <s v="Director 1"/>
    <s v="Bengaluru"/>
    <s v="WFH"/>
    <d v="2026-06-18T00:00:00"/>
    <m/>
    <s v="Active"/>
    <m/>
    <x v="2"/>
    <n v="12"/>
    <n v="0"/>
    <s v="06-2026"/>
    <s v=""/>
    <n v="0"/>
    <n v="0"/>
    <x v="0"/>
  </r>
  <r>
    <s v="EMP1215"/>
    <s v="Exploring Infinities - Sales"/>
    <s v="SALES"/>
    <s v="Sales - India"/>
    <s v="Director 1"/>
    <s v="Bengaluru"/>
    <s v="WFH"/>
    <d v="2026-03-18T00:00:00"/>
    <m/>
    <s v="Active"/>
    <m/>
    <x v="2"/>
    <n v="104"/>
    <n v="0"/>
    <s v="03-2026"/>
    <s v=""/>
    <n v="0"/>
    <n v="0"/>
    <x v="3"/>
  </r>
  <r>
    <s v="EMP1357"/>
    <s v="Exploring Infinities - Sales"/>
    <s v="SALES"/>
    <s v="Sales - India"/>
    <s v="Director 1"/>
    <s v="Bengaluru"/>
    <s v="WFH"/>
    <d v="2026-05-18T00:00:00"/>
    <m/>
    <s v="Active"/>
    <m/>
    <x v="2"/>
    <n v="43"/>
    <n v="0"/>
    <s v="05-2026"/>
    <s v=""/>
    <n v="0"/>
    <n v="0"/>
    <x v="0"/>
  </r>
  <r>
    <s v="EMP1373"/>
    <s v="Exploring Infinities - Sales"/>
    <s v="SALES"/>
    <s v="Sales - India"/>
    <s v="Director 1"/>
    <s v="Bengaluru"/>
    <s v="WFH"/>
    <d v="2026-05-18T00:00:00"/>
    <d v="2026-05-18T00:00:00"/>
    <s v="Relieved"/>
    <s v="Voluntary"/>
    <x v="5"/>
    <n v="0"/>
    <n v="1"/>
    <s v="05-2026"/>
    <s v="05-2026"/>
    <n v="1"/>
    <n v="0"/>
    <x v="0"/>
  </r>
  <r>
    <s v="EMP1390"/>
    <s v="Exploring Infinities - Sales"/>
    <s v="SALES"/>
    <s v="Sales - India"/>
    <s v="Director 1"/>
    <s v="Bengaluru"/>
    <s v="WFH"/>
    <d v="2026-05-18T00:00:00"/>
    <d v="2026-06-26T00:00:00"/>
    <s v="Relieved"/>
    <s v="Involuntary"/>
    <x v="1"/>
    <n v="39"/>
    <n v="1"/>
    <s v="05-2026"/>
    <s v="06-2026"/>
    <n v="0"/>
    <n v="1"/>
    <x v="0"/>
  </r>
  <r>
    <s v="EMP1392"/>
    <s v="Exploring Infinities - Sales"/>
    <s v="SALES"/>
    <s v="Sales - India"/>
    <s v="Director 1"/>
    <s v="Bengaluru"/>
    <s v="WFH"/>
    <d v="2026-05-18T00:00:00"/>
    <d v="2026-06-21T00:00:00"/>
    <s v="Relieved"/>
    <s v="Involuntary"/>
    <x v="6"/>
    <n v="34"/>
    <n v="1"/>
    <s v="05-2026"/>
    <s v="06-2026"/>
    <n v="0"/>
    <n v="1"/>
    <x v="0"/>
  </r>
  <r>
    <s v="EMP1418"/>
    <s v="Exploring Infinities - Sales"/>
    <s v="SALES"/>
    <s v="Sales - India"/>
    <s v="Director 1"/>
    <s v="Bengaluru"/>
    <s v="WFH"/>
    <d v="2026-05-18T00:00:00"/>
    <m/>
    <s v="Active"/>
    <m/>
    <x v="2"/>
    <n v="43"/>
    <n v="0"/>
    <s v="05-2026"/>
    <s v=""/>
    <n v="0"/>
    <n v="0"/>
    <x v="0"/>
  </r>
  <r>
    <s v="EMP1453"/>
    <s v="Exploring Infinities - Sales"/>
    <s v="SALES"/>
    <s v="Sales - India"/>
    <s v="Director 1"/>
    <s v="Bengaluru"/>
    <s v="WFH"/>
    <d v="2026-05-18T00:00:00"/>
    <d v="2026-06-27T00:00:00"/>
    <s v="Relieved"/>
    <s v="Involuntary"/>
    <x v="1"/>
    <n v="40"/>
    <n v="1"/>
    <s v="05-2026"/>
    <s v="06-2026"/>
    <n v="0"/>
    <n v="1"/>
    <x v="0"/>
  </r>
  <r>
    <s v="EMP1457"/>
    <s v="Exploring Infinities - Sales"/>
    <s v="SALES"/>
    <s v="Sales - India"/>
    <s v="Director 1"/>
    <s v="Bengaluru"/>
    <s v="WFH"/>
    <d v="2026-05-18T00:00:00"/>
    <d v="2026-05-29T00:00:00"/>
    <s v="Relieved"/>
    <s v="Voluntary"/>
    <x v="10"/>
    <n v="11"/>
    <n v="1"/>
    <s v="05-2026"/>
    <s v="05-2026"/>
    <n v="1"/>
    <n v="0"/>
    <x v="0"/>
  </r>
  <r>
    <s v="EMP1263"/>
    <s v="Exploring Infinities - Sales"/>
    <s v="SALES"/>
    <s v="Sales - India"/>
    <s v="Director 1"/>
    <s v="Bengaluru"/>
    <s v="WFH"/>
    <d v="2026-04-19T00:00:00"/>
    <m/>
    <s v="Active"/>
    <m/>
    <x v="2"/>
    <n v="72"/>
    <n v="0"/>
    <s v="04-2026"/>
    <s v=""/>
    <n v="0"/>
    <n v="0"/>
    <x v="0"/>
  </r>
  <r>
    <s v="EMP1269"/>
    <s v="Exploring Infinities - Sales"/>
    <s v="SALES"/>
    <s v="Sales - India"/>
    <s v="Director 1"/>
    <s v="Bengaluru"/>
    <s v="WFH"/>
    <d v="2026-04-19T00:00:00"/>
    <d v="2026-04-21T00:00:00"/>
    <s v="Relieved"/>
    <s v="Voluntary"/>
    <x v="5"/>
    <n v="2"/>
    <n v="1"/>
    <s v="04-2026"/>
    <s v="04-2026"/>
    <n v="1"/>
    <n v="0"/>
    <x v="0"/>
  </r>
  <r>
    <s v="EMP1312"/>
    <s v="Exploring Infinities - Sales"/>
    <s v="SALES"/>
    <s v="Sales - India"/>
    <s v="Director 1"/>
    <s v="Bengaluru"/>
    <s v="WFH"/>
    <d v="2026-04-19T00:00:00"/>
    <d v="2026-04-19T00:00:00"/>
    <s v="Relieved"/>
    <s v="Voluntary"/>
    <x v="5"/>
    <n v="0"/>
    <n v="1"/>
    <s v="04-2026"/>
    <s v="04-2026"/>
    <n v="1"/>
    <n v="0"/>
    <x v="0"/>
  </r>
  <r>
    <s v="EMP1313"/>
    <s v="Exploring Infinities - Sales"/>
    <s v="SALES"/>
    <s v="Sales - India"/>
    <s v="Director 1"/>
    <s v="Bengaluru"/>
    <s v="WFH"/>
    <d v="2026-04-19T00:00:00"/>
    <d v="2026-04-19T00:00:00"/>
    <s v="Relieved"/>
    <s v="Voluntary"/>
    <x v="8"/>
    <n v="0"/>
    <n v="1"/>
    <s v="04-2026"/>
    <s v="04-2026"/>
    <n v="1"/>
    <n v="0"/>
    <x v="0"/>
  </r>
  <r>
    <s v="EMP1217"/>
    <s v="Exploring Infinities - Sales"/>
    <s v="SALES"/>
    <s v="Sales - India"/>
    <s v="Director 1"/>
    <s v="Bengaluru"/>
    <s v="WFH"/>
    <d v="2025-08-19T00:00:00"/>
    <d v="2026-05-18T00:00:00"/>
    <s v="Relieved"/>
    <s v="Involuntary"/>
    <x v="9"/>
    <n v="272"/>
    <n v="1"/>
    <s v="08-2025"/>
    <s v="05-2026"/>
    <n v="0"/>
    <n v="1"/>
    <x v="1"/>
  </r>
  <r>
    <s v="EMP1174"/>
    <s v="Exploring Infinities - Sales"/>
    <s v="SALES"/>
    <s v="Sales - India"/>
    <s v="Director 1"/>
    <s v="Bengaluru"/>
    <s v="WFH"/>
    <d v="2025-12-19T00:00:00"/>
    <d v="2026-06-17T00:00:00"/>
    <s v="Relieved"/>
    <s v="Involuntary"/>
    <x v="6"/>
    <n v="180"/>
    <n v="1"/>
    <s v="12-2025"/>
    <s v="06-2026"/>
    <n v="0"/>
    <n v="1"/>
    <x v="1"/>
  </r>
  <r>
    <s v="EMP1252"/>
    <s v="Exploring Infinities - Sales"/>
    <s v="SALES"/>
    <s v="Sales - India"/>
    <s v="Director 1"/>
    <s v="Bengaluru"/>
    <s v="WFH"/>
    <d v="2025-06-19T00:00:00"/>
    <d v="2026-05-13T00:00:00"/>
    <s v="Relieved"/>
    <s v="Involuntary"/>
    <x v="6"/>
    <n v="328"/>
    <n v="1"/>
    <s v="06-2025"/>
    <s v="05-2026"/>
    <n v="0"/>
    <n v="1"/>
    <x v="1"/>
  </r>
  <r>
    <s v="EMP1459"/>
    <s v="Exploring Infinities - Sales"/>
    <s v="SALES"/>
    <s v="Sales - India"/>
    <s v="Director 1"/>
    <s v="Bengaluru"/>
    <s v="WFH"/>
    <d v="2026-06-19T00:00:00"/>
    <d v="2026-06-28T00:00:00"/>
    <s v="Relieved"/>
    <s v="Voluntary"/>
    <x v="8"/>
    <n v="9"/>
    <n v="1"/>
    <s v="06-2026"/>
    <s v="06-2026"/>
    <n v="1"/>
    <n v="0"/>
    <x v="0"/>
  </r>
  <r>
    <s v="EMP1480"/>
    <s v="Exploring Infinities - Sales"/>
    <s v="SALES"/>
    <s v="Sales - India"/>
    <s v="Director 1"/>
    <s v="Bengaluru"/>
    <s v="WFH"/>
    <d v="2026-06-19T00:00:00"/>
    <d v="2026-06-19T00:00:00"/>
    <s v="Relieved"/>
    <s v="Voluntary"/>
    <x v="3"/>
    <n v="0"/>
    <n v="1"/>
    <s v="06-2026"/>
    <s v="06-2026"/>
    <n v="1"/>
    <n v="0"/>
    <x v="0"/>
  </r>
  <r>
    <s v="EMP1496"/>
    <s v="Exploring Infinities - Sales"/>
    <s v="SALES"/>
    <s v="Sales - India"/>
    <s v="Director 1"/>
    <s v="Bengaluru"/>
    <s v="WFH"/>
    <d v="2026-06-19T00:00:00"/>
    <m/>
    <s v="Active"/>
    <m/>
    <x v="2"/>
    <n v="11"/>
    <n v="0"/>
    <s v="06-2026"/>
    <s v=""/>
    <n v="0"/>
    <n v="0"/>
    <x v="0"/>
  </r>
  <r>
    <s v="EMP1529"/>
    <s v="Exploring Infinities - Sales"/>
    <s v="SALES"/>
    <s v="Sales - India"/>
    <s v="Director 1"/>
    <s v="Bengaluru"/>
    <s v="WFH"/>
    <d v="2026-06-19T00:00:00"/>
    <d v="2026-06-26T00:00:00"/>
    <s v="Relieved"/>
    <s v="Voluntary"/>
    <x v="4"/>
    <n v="7"/>
    <n v="1"/>
    <s v="06-2026"/>
    <s v="06-2026"/>
    <n v="1"/>
    <n v="0"/>
    <x v="0"/>
  </r>
  <r>
    <s v="EMP1242"/>
    <s v="Exploring Infinities - Sales"/>
    <s v="SALES"/>
    <s v="Sales - India"/>
    <s v="Director 1"/>
    <s v="Bengaluru"/>
    <s v="WFH"/>
    <d v="2025-03-19T00:00:00"/>
    <m/>
    <s v="Active"/>
    <m/>
    <x v="2"/>
    <n v="468"/>
    <n v="0"/>
    <s v="03-2025"/>
    <s v=""/>
    <n v="0"/>
    <n v="0"/>
    <x v="2"/>
  </r>
  <r>
    <s v="EMP1446"/>
    <s v="Exploring Infinities - Sales"/>
    <s v="SALES"/>
    <s v="Sales - India"/>
    <s v="Director 1"/>
    <s v="Bengaluru"/>
    <s v="WFH"/>
    <d v="2026-05-19T00:00:00"/>
    <m/>
    <s v="Active"/>
    <m/>
    <x v="2"/>
    <n v="42"/>
    <n v="0"/>
    <s v="05-2026"/>
    <s v=""/>
    <n v="0"/>
    <n v="0"/>
    <x v="0"/>
  </r>
  <r>
    <s v="EMP1447"/>
    <s v="Exploring Infinities - Sales"/>
    <s v="SALES"/>
    <s v="Sales - India"/>
    <s v="Director 1"/>
    <s v="Bengaluru"/>
    <s v="WFH"/>
    <d v="2026-05-19T00:00:00"/>
    <d v="2026-05-19T00:00:00"/>
    <s v="Relieved"/>
    <s v="Voluntary"/>
    <x v="8"/>
    <n v="0"/>
    <n v="1"/>
    <s v="05-2026"/>
    <s v="05-2026"/>
    <n v="1"/>
    <n v="0"/>
    <x v="0"/>
  </r>
  <r>
    <s v="EMP1163"/>
    <s v="Exploring Infinities - Sales"/>
    <s v="SALES"/>
    <s v="Sales - India"/>
    <s v="Director 1"/>
    <s v="Bengaluru"/>
    <s v="WFH"/>
    <d v="2025-11-19T00:00:00"/>
    <d v="2026-04-12T00:00:00"/>
    <s v="Relieved"/>
    <s v="Involuntary"/>
    <x v="6"/>
    <n v="144"/>
    <n v="1"/>
    <s v="11-2025"/>
    <s v="04-2026"/>
    <n v="0"/>
    <n v="1"/>
    <x v="3"/>
  </r>
  <r>
    <s v="EMP1248"/>
    <s v="Exploring Infinities - Sales"/>
    <s v="SALES"/>
    <s v="Sales - India"/>
    <s v="Director 1"/>
    <s v="Bengaluru"/>
    <s v="WFH"/>
    <d v="2025-04-20T00:00:00"/>
    <d v="2026-04-17T00:00:00"/>
    <s v="Relieved"/>
    <s v="Voluntary"/>
    <x v="4"/>
    <n v="362"/>
    <n v="1"/>
    <s v="04-2025"/>
    <s v="04-2026"/>
    <n v="1"/>
    <n v="0"/>
    <x v="1"/>
  </r>
  <r>
    <s v="EMP1286"/>
    <s v="Exploring Infinities - Sales"/>
    <s v="SALES"/>
    <s v="Sales - India"/>
    <s v="Director 1"/>
    <s v="Bengaluru"/>
    <s v="WFH"/>
    <d v="2026-04-20T00:00:00"/>
    <d v="2026-06-29T00:00:00"/>
    <s v="Relieved"/>
    <s v="Involuntary"/>
    <x v="9"/>
    <n v="70"/>
    <n v="1"/>
    <s v="04-2026"/>
    <s v="06-2026"/>
    <n v="0"/>
    <n v="1"/>
    <x v="0"/>
  </r>
  <r>
    <s v="EMP1307"/>
    <s v="Exploring Infinities - Sales"/>
    <s v="SALES"/>
    <s v="Sales - India"/>
    <s v="Director 1"/>
    <s v="Bengaluru"/>
    <s v="WFH"/>
    <d v="2026-04-20T00:00:00"/>
    <d v="2026-06-27T00:00:00"/>
    <s v="Relieved"/>
    <s v="Involuntary"/>
    <x v="6"/>
    <n v="68"/>
    <n v="1"/>
    <s v="04-2026"/>
    <s v="06-2026"/>
    <n v="0"/>
    <n v="1"/>
    <x v="0"/>
  </r>
  <r>
    <s v="EMP1176"/>
    <s v="Exploring Infinities - Sales"/>
    <s v="SALES"/>
    <s v="Sales - India"/>
    <s v="Director 1"/>
    <s v="Bengaluru"/>
    <s v="WFH"/>
    <d v="2026-01-20T00:00:00"/>
    <d v="2026-04-03T00:00:00"/>
    <s v="Relieved"/>
    <s v="Involuntary"/>
    <x v="9"/>
    <n v="73"/>
    <n v="1"/>
    <s v="01-2026"/>
    <s v="04-2026"/>
    <n v="0"/>
    <n v="1"/>
    <x v="0"/>
  </r>
  <r>
    <s v="EMP1219"/>
    <s v="Exploring Infinities - Sales"/>
    <s v="SALES"/>
    <s v="Sales - India"/>
    <s v="Director 1"/>
    <s v="Bengaluru"/>
    <s v="WFH"/>
    <d v="2026-01-20T00:00:00"/>
    <d v="2026-04-20T00:00:00"/>
    <s v="Relieved"/>
    <s v="Involuntary"/>
    <x v="7"/>
    <n v="90"/>
    <n v="1"/>
    <s v="01-2026"/>
    <s v="04-2026"/>
    <n v="0"/>
    <n v="1"/>
    <x v="3"/>
  </r>
  <r>
    <s v="EMP1476"/>
    <s v="Exploring Infinities - Sales"/>
    <s v="SALES"/>
    <s v="Sales - India"/>
    <s v="Director 1"/>
    <s v="Bengaluru"/>
    <s v="WFH"/>
    <d v="2026-06-20T00:00:00"/>
    <d v="2026-06-25T00:00:00"/>
    <s v="Relieved"/>
    <s v="Voluntary"/>
    <x v="4"/>
    <n v="5"/>
    <n v="1"/>
    <s v="06-2026"/>
    <s v="06-2026"/>
    <n v="1"/>
    <n v="0"/>
    <x v="0"/>
  </r>
  <r>
    <s v="EMP1504"/>
    <s v="Exploring Infinities - Sales"/>
    <s v="SALES"/>
    <s v="Sales - India"/>
    <s v="Director 1"/>
    <s v="Bengaluru"/>
    <s v="WFH"/>
    <d v="2026-06-20T00:00:00"/>
    <d v="2026-06-26T00:00:00"/>
    <s v="Relieved"/>
    <s v="Voluntary"/>
    <x v="5"/>
    <n v="6"/>
    <n v="1"/>
    <s v="06-2026"/>
    <s v="06-2026"/>
    <n v="1"/>
    <n v="0"/>
    <x v="0"/>
  </r>
  <r>
    <s v="EMP1505"/>
    <s v="Exploring Infinities - Sales"/>
    <s v="SALES"/>
    <s v="Sales - India"/>
    <s v="Director 1"/>
    <s v="Bengaluru"/>
    <s v="WFH"/>
    <d v="2026-06-20T00:00:00"/>
    <m/>
    <s v="Active"/>
    <m/>
    <x v="2"/>
    <n v="10"/>
    <n v="0"/>
    <s v="06-2026"/>
    <s v=""/>
    <n v="0"/>
    <n v="0"/>
    <x v="0"/>
  </r>
  <r>
    <s v="EMP1510"/>
    <s v="Exploring Infinities - Sales"/>
    <s v="SALES"/>
    <s v="Sales - India"/>
    <s v="Director 1"/>
    <s v="Bengaluru"/>
    <s v="WFH"/>
    <d v="2026-06-20T00:00:00"/>
    <m/>
    <s v="Active"/>
    <m/>
    <x v="2"/>
    <n v="10"/>
    <n v="0"/>
    <s v="06-2026"/>
    <s v=""/>
    <n v="0"/>
    <n v="0"/>
    <x v="0"/>
  </r>
  <r>
    <s v="EMP1246"/>
    <s v="Exploring Infinities - Sales"/>
    <s v="SALES"/>
    <s v="Sales - India"/>
    <s v="Director 1"/>
    <s v="Bengaluru"/>
    <s v="WFH"/>
    <d v="2025-03-20T00:00:00"/>
    <m/>
    <s v="Active"/>
    <m/>
    <x v="2"/>
    <n v="467"/>
    <n v="0"/>
    <s v="03-2025"/>
    <s v=""/>
    <n v="0"/>
    <n v="0"/>
    <x v="2"/>
  </r>
  <r>
    <s v="EMP1236"/>
    <s v="Exploring Infinities - Sales"/>
    <s v="SALES"/>
    <s v="Sales - India"/>
    <s v="Director 1"/>
    <s v="Bengaluru"/>
    <s v="WFH"/>
    <d v="2025-05-20T00:00:00"/>
    <d v="2026-05-03T00:00:00"/>
    <s v="Relieved"/>
    <s v="Involuntary"/>
    <x v="1"/>
    <n v="348"/>
    <n v="1"/>
    <s v="05-2025"/>
    <s v="05-2026"/>
    <n v="0"/>
    <n v="1"/>
    <x v="1"/>
  </r>
  <r>
    <s v="EMP1364"/>
    <s v="Exploring Infinities - Sales"/>
    <s v="SALES"/>
    <s v="Sales - India"/>
    <s v="Director 1"/>
    <s v="Bengaluru"/>
    <s v="WFH"/>
    <d v="2026-05-20T00:00:00"/>
    <m/>
    <s v="Active"/>
    <m/>
    <x v="2"/>
    <n v="41"/>
    <n v="0"/>
    <s v="05-2026"/>
    <s v=""/>
    <n v="0"/>
    <n v="0"/>
    <x v="0"/>
  </r>
  <r>
    <s v="EMP1384"/>
    <s v="Exploring Infinities - Sales"/>
    <s v="SALES"/>
    <s v="Sales - India"/>
    <s v="Director 1"/>
    <s v="Bengaluru"/>
    <s v="WFH"/>
    <d v="2026-05-20T00:00:00"/>
    <m/>
    <s v="Active"/>
    <m/>
    <x v="2"/>
    <n v="41"/>
    <n v="0"/>
    <s v="05-2026"/>
    <s v=""/>
    <n v="0"/>
    <n v="0"/>
    <x v="0"/>
  </r>
  <r>
    <s v="EMP1423"/>
    <s v="Exploring Infinities - Sales"/>
    <s v="SALES"/>
    <s v="Sales - India"/>
    <s v="Director 1"/>
    <s v="Bengaluru"/>
    <s v="WFH"/>
    <d v="2026-05-20T00:00:00"/>
    <m/>
    <s v="Active"/>
    <m/>
    <x v="2"/>
    <n v="41"/>
    <n v="0"/>
    <s v="05-2026"/>
    <s v=""/>
    <n v="0"/>
    <n v="0"/>
    <x v="0"/>
  </r>
  <r>
    <s v="EMP1317"/>
    <s v="Exploring Infinities - Sales"/>
    <s v="SALES"/>
    <s v="Sales - India"/>
    <s v="Director 1"/>
    <s v="Bengaluru"/>
    <s v="WFH"/>
    <d v="2026-04-21T00:00:00"/>
    <m/>
    <s v="Active"/>
    <m/>
    <x v="2"/>
    <n v="70"/>
    <n v="0"/>
    <s v="04-2026"/>
    <s v=""/>
    <n v="0"/>
    <n v="0"/>
    <x v="0"/>
  </r>
  <r>
    <s v="EMP1348"/>
    <s v="Exploring Infinities - Sales"/>
    <s v="SALES"/>
    <s v="Sales - India"/>
    <s v="Director 1"/>
    <s v="Bengaluru"/>
    <s v="WFH"/>
    <d v="2026-04-21T00:00:00"/>
    <d v="2026-05-16T00:00:00"/>
    <s v="Relieved"/>
    <s v="Involuntary"/>
    <x v="6"/>
    <n v="25"/>
    <n v="1"/>
    <s v="04-2026"/>
    <s v="05-2026"/>
    <n v="0"/>
    <n v="1"/>
    <x v="0"/>
  </r>
  <r>
    <s v="EMP1351"/>
    <s v="Exploring Infinities - Sales"/>
    <s v="SALES"/>
    <s v="Sales - India"/>
    <s v="Director 1"/>
    <s v="Bengaluru"/>
    <s v="WFH"/>
    <d v="2026-04-21T00:00:00"/>
    <d v="2026-06-20T00:00:00"/>
    <s v="Relieved"/>
    <s v="Involuntary"/>
    <x v="9"/>
    <n v="60"/>
    <n v="1"/>
    <s v="04-2026"/>
    <s v="06-2026"/>
    <n v="0"/>
    <n v="1"/>
    <x v="0"/>
  </r>
  <r>
    <s v="EMP1237"/>
    <s v="Exploring Infinities - Sales"/>
    <s v="SALES"/>
    <s v="Sales - India"/>
    <s v="Director 1"/>
    <s v="Bengaluru"/>
    <s v="WFH"/>
    <d v="2025-06-21T00:00:00"/>
    <d v="2026-05-24T00:00:00"/>
    <s v="Relieved"/>
    <s v="Involuntary"/>
    <x v="9"/>
    <n v="337"/>
    <n v="1"/>
    <s v="06-2025"/>
    <s v="05-2026"/>
    <n v="0"/>
    <n v="1"/>
    <x v="1"/>
  </r>
  <r>
    <s v="EMP1507"/>
    <s v="Exploring Infinities - Sales"/>
    <s v="SALES"/>
    <s v="Sales - India"/>
    <s v="Director 1"/>
    <s v="Bengaluru"/>
    <s v="WFH"/>
    <d v="2026-06-21T00:00:00"/>
    <d v="2026-06-24T00:00:00"/>
    <s v="Relieved"/>
    <s v="Voluntary"/>
    <x v="5"/>
    <n v="3"/>
    <n v="1"/>
    <s v="06-2026"/>
    <s v="06-2026"/>
    <n v="1"/>
    <n v="0"/>
    <x v="0"/>
  </r>
  <r>
    <s v="EMP1535"/>
    <s v="Exploring Infinities - Sales"/>
    <s v="SALES"/>
    <s v="Sales - India"/>
    <s v="Director 1"/>
    <s v="Bengaluru"/>
    <s v="WFH"/>
    <d v="2026-06-21T00:00:00"/>
    <d v="2026-06-21T00:00:00"/>
    <s v="Relieved"/>
    <s v="Voluntary"/>
    <x v="8"/>
    <n v="0"/>
    <n v="1"/>
    <s v="06-2026"/>
    <s v="06-2026"/>
    <n v="1"/>
    <n v="0"/>
    <x v="0"/>
  </r>
  <r>
    <s v="EMP1230"/>
    <s v="Exploring Infinities - Sales"/>
    <s v="SALES"/>
    <s v="Sales - India"/>
    <s v="Director 1"/>
    <s v="Bengaluru"/>
    <s v="WFH"/>
    <d v="2025-05-21T00:00:00"/>
    <d v="2026-04-22T00:00:00"/>
    <s v="Relieved"/>
    <s v="Involuntary"/>
    <x v="9"/>
    <n v="336"/>
    <n v="1"/>
    <s v="05-2025"/>
    <s v="04-2026"/>
    <n v="0"/>
    <n v="1"/>
    <x v="1"/>
  </r>
  <r>
    <s v="EMP1367"/>
    <s v="Exploring Infinities - Sales"/>
    <s v="SALES"/>
    <s v="Sales - India"/>
    <s v="Director 1"/>
    <s v="Bengaluru"/>
    <s v="WFH"/>
    <d v="2026-05-21T00:00:00"/>
    <d v="2026-05-29T00:00:00"/>
    <s v="Relieved"/>
    <s v="Voluntary"/>
    <x v="3"/>
    <n v="8"/>
    <n v="1"/>
    <s v="05-2026"/>
    <s v="05-2026"/>
    <n v="1"/>
    <n v="0"/>
    <x v="0"/>
  </r>
  <r>
    <s v="EMP1383"/>
    <s v="Exploring Infinities - Sales"/>
    <s v="SALES"/>
    <s v="Sales - India"/>
    <s v="Director 1"/>
    <s v="Bengaluru"/>
    <s v="WFH"/>
    <d v="2026-05-21T00:00:00"/>
    <d v="2026-06-25T00:00:00"/>
    <s v="Relieved"/>
    <s v="Involuntary"/>
    <x v="7"/>
    <n v="35"/>
    <n v="1"/>
    <s v="05-2026"/>
    <s v="06-2026"/>
    <n v="0"/>
    <n v="1"/>
    <x v="0"/>
  </r>
  <r>
    <s v="EMP1402"/>
    <s v="Exploring Infinities - Sales"/>
    <s v="SALES"/>
    <s v="Sales - India"/>
    <s v="Director 1"/>
    <s v="Bengaluru"/>
    <s v="WFH"/>
    <d v="2026-05-21T00:00:00"/>
    <m/>
    <s v="Active"/>
    <m/>
    <x v="2"/>
    <n v="40"/>
    <n v="0"/>
    <s v="05-2026"/>
    <s v=""/>
    <n v="0"/>
    <n v="0"/>
    <x v="0"/>
  </r>
  <r>
    <s v="EMP1297"/>
    <s v="Exploring Infinities - Sales"/>
    <s v="SALES"/>
    <s v="Sales - India"/>
    <s v="Director 1"/>
    <s v="Bengaluru"/>
    <s v="WFH"/>
    <d v="2026-04-22T00:00:00"/>
    <d v="2026-04-22T00:00:00"/>
    <s v="Relieved"/>
    <s v="Voluntary"/>
    <x v="5"/>
    <n v="0"/>
    <n v="1"/>
    <s v="04-2026"/>
    <s v="04-2026"/>
    <n v="1"/>
    <n v="0"/>
    <x v="0"/>
  </r>
  <r>
    <s v="EMP1298"/>
    <s v="Exploring Infinities - Sales"/>
    <s v="SALES"/>
    <s v="Sales - India"/>
    <s v="Director 1"/>
    <s v="Bengaluru"/>
    <s v="WFH"/>
    <d v="2026-04-22T00:00:00"/>
    <d v="2026-06-27T00:00:00"/>
    <s v="Relieved"/>
    <s v="Involuntary"/>
    <x v="6"/>
    <n v="66"/>
    <n v="1"/>
    <s v="04-2026"/>
    <s v="06-2026"/>
    <n v="0"/>
    <n v="1"/>
    <x v="0"/>
  </r>
  <r>
    <s v="EMP1314"/>
    <s v="Exploring Infinities - Sales"/>
    <s v="SALES"/>
    <s v="Sales - India"/>
    <s v="Director 1"/>
    <s v="Bengaluru"/>
    <s v="WFH"/>
    <d v="2026-04-22T00:00:00"/>
    <m/>
    <s v="Active"/>
    <m/>
    <x v="2"/>
    <n v="69"/>
    <n v="0"/>
    <s v="04-2026"/>
    <s v=""/>
    <n v="0"/>
    <n v="0"/>
    <x v="0"/>
  </r>
  <r>
    <s v="EMP1160"/>
    <s v="Exploring Infinities - Sales"/>
    <s v="SALES"/>
    <s v="Sales - India"/>
    <s v="Director 1"/>
    <s v="Bengaluru"/>
    <s v="WFH"/>
    <d v="2025-08-22T00:00:00"/>
    <d v="2026-06-17T00:00:00"/>
    <s v="Relieved"/>
    <s v="Involuntary"/>
    <x v="7"/>
    <n v="299"/>
    <n v="1"/>
    <s v="08-2025"/>
    <s v="06-2026"/>
    <n v="0"/>
    <n v="1"/>
    <x v="1"/>
  </r>
  <r>
    <s v="EMP1194"/>
    <s v="Exploring Infinities - Sales"/>
    <s v="SALES"/>
    <s v="Sales - India"/>
    <s v="Director 1"/>
    <s v="Bengaluru"/>
    <s v="WFH"/>
    <d v="2025-08-22T00:00:00"/>
    <m/>
    <s v="Active"/>
    <m/>
    <x v="2"/>
    <n v="312"/>
    <n v="0"/>
    <s v="08-2025"/>
    <s v=""/>
    <n v="0"/>
    <n v="0"/>
    <x v="1"/>
  </r>
  <r>
    <s v="EMP1245"/>
    <s v="Exploring Infinities - Sales"/>
    <s v="SALES"/>
    <s v="Sales - India"/>
    <s v="Director 1"/>
    <s v="Bengaluru"/>
    <s v="WFH"/>
    <d v="2025-12-22T00:00:00"/>
    <d v="2026-04-25T00:00:00"/>
    <s v="Relieved"/>
    <s v="Involuntary"/>
    <x v="6"/>
    <n v="124"/>
    <n v="1"/>
    <s v="12-2025"/>
    <s v="04-2026"/>
    <n v="0"/>
    <n v="1"/>
    <x v="3"/>
  </r>
  <r>
    <s v="EMP1206"/>
    <s v="Exploring Infinities - Sales"/>
    <s v="SALES"/>
    <s v="Sales - India"/>
    <s v="Director 1"/>
    <s v="Bengaluru"/>
    <s v="WFH"/>
    <d v="2026-02-22T00:00:00"/>
    <d v="2026-05-17T00:00:00"/>
    <s v="Relieved"/>
    <s v="Involuntary"/>
    <x v="9"/>
    <n v="84"/>
    <n v="1"/>
    <s v="02-2026"/>
    <s v="05-2026"/>
    <n v="0"/>
    <n v="1"/>
    <x v="0"/>
  </r>
  <r>
    <s v="EMP1203"/>
    <s v="Exploring Infinities - Sales"/>
    <s v="SALES"/>
    <s v="Sales - India"/>
    <s v="Director 1"/>
    <s v="Bengaluru"/>
    <s v="WFH"/>
    <d v="2026-01-22T00:00:00"/>
    <d v="2026-04-11T00:00:00"/>
    <s v="Relieved"/>
    <s v="Involuntary"/>
    <x v="9"/>
    <n v="79"/>
    <n v="1"/>
    <s v="01-2026"/>
    <s v="04-2026"/>
    <n v="0"/>
    <n v="1"/>
    <x v="0"/>
  </r>
  <r>
    <s v="EMP1463"/>
    <s v="Exploring Infinities - Sales"/>
    <s v="SALES"/>
    <s v="Sales - India"/>
    <s v="Director 1"/>
    <s v="Bengaluru"/>
    <s v="WFH"/>
    <d v="2026-06-22T00:00:00"/>
    <d v="2026-06-27T00:00:00"/>
    <s v="Relieved"/>
    <s v="Voluntary"/>
    <x v="3"/>
    <n v="5"/>
    <n v="1"/>
    <s v="06-2026"/>
    <s v="06-2026"/>
    <n v="1"/>
    <n v="0"/>
    <x v="0"/>
  </r>
  <r>
    <s v="EMP1468"/>
    <s v="Exploring Infinities - Sales"/>
    <s v="SALES"/>
    <s v="Sales - India"/>
    <s v="Director 1"/>
    <s v="Bengaluru"/>
    <s v="WFH"/>
    <d v="2026-06-22T00:00:00"/>
    <m/>
    <s v="Active"/>
    <m/>
    <x v="2"/>
    <n v="8"/>
    <n v="0"/>
    <s v="06-2026"/>
    <s v=""/>
    <n v="0"/>
    <n v="0"/>
    <x v="0"/>
  </r>
  <r>
    <s v="EMP1484"/>
    <s v="Exploring Infinities - Sales"/>
    <s v="SALES"/>
    <s v="Sales - India"/>
    <s v="Director 1"/>
    <s v="Bengaluru"/>
    <s v="WFH"/>
    <d v="2026-06-22T00:00:00"/>
    <d v="2026-06-22T00:00:00"/>
    <s v="Relieved"/>
    <s v="Voluntary"/>
    <x v="5"/>
    <n v="0"/>
    <n v="1"/>
    <s v="06-2026"/>
    <s v="06-2026"/>
    <n v="1"/>
    <n v="0"/>
    <x v="0"/>
  </r>
  <r>
    <s v="EMP1506"/>
    <s v="Exploring Infinities - Sales"/>
    <s v="SALES"/>
    <s v="Sales - India"/>
    <s v="Director 1"/>
    <s v="Bengaluru"/>
    <s v="WFH"/>
    <d v="2026-06-22T00:00:00"/>
    <d v="2026-06-22T00:00:00"/>
    <s v="Relieved"/>
    <s v="Voluntary"/>
    <x v="8"/>
    <n v="0"/>
    <n v="1"/>
    <s v="06-2026"/>
    <s v="06-2026"/>
    <n v="1"/>
    <n v="0"/>
    <x v="0"/>
  </r>
  <r>
    <s v="EMP1512"/>
    <s v="Exploring Infinities - Sales"/>
    <s v="SALES"/>
    <s v="Sales - India"/>
    <s v="Director 1"/>
    <s v="Bengaluru"/>
    <s v="WFH"/>
    <d v="2026-06-22T00:00:00"/>
    <d v="2026-06-22T00:00:00"/>
    <s v="Relieved"/>
    <s v="Voluntary"/>
    <x v="5"/>
    <n v="0"/>
    <n v="1"/>
    <s v="06-2026"/>
    <s v="06-2026"/>
    <n v="1"/>
    <n v="0"/>
    <x v="0"/>
  </r>
  <r>
    <s v="EMP1530"/>
    <s v="Exploring Infinities - Sales"/>
    <s v="SALES"/>
    <s v="Sales - India"/>
    <s v="Director 1"/>
    <s v="Bengaluru"/>
    <s v="WFH"/>
    <d v="2026-06-22T00:00:00"/>
    <d v="2026-06-29T00:00:00"/>
    <s v="Relieved"/>
    <s v="Voluntary"/>
    <x v="5"/>
    <n v="7"/>
    <n v="1"/>
    <s v="06-2026"/>
    <s v="06-2026"/>
    <n v="1"/>
    <n v="0"/>
    <x v="0"/>
  </r>
  <r>
    <s v="EMP1223"/>
    <s v="Exploring Infinities - Sales"/>
    <s v="SALES"/>
    <s v="Sales - India"/>
    <s v="Director 1"/>
    <s v="Bengaluru"/>
    <s v="WFH"/>
    <d v="2025-05-22T00:00:00"/>
    <d v="2026-06-18T00:00:00"/>
    <s v="Relieved"/>
    <s v="Involuntary"/>
    <x v="6"/>
    <n v="392"/>
    <n v="1"/>
    <s v="05-2025"/>
    <s v="06-2026"/>
    <n v="0"/>
    <n v="1"/>
    <x v="2"/>
  </r>
  <r>
    <s v="EMP1355"/>
    <s v="Exploring Infinities - Sales"/>
    <s v="SALES"/>
    <s v="Sales - India"/>
    <s v="Director 1"/>
    <s v="Bengaluru"/>
    <s v="WFH"/>
    <d v="2026-05-22T00:00:00"/>
    <m/>
    <s v="Active"/>
    <m/>
    <x v="2"/>
    <n v="39"/>
    <n v="0"/>
    <s v="05-2026"/>
    <s v=""/>
    <n v="0"/>
    <n v="0"/>
    <x v="0"/>
  </r>
  <r>
    <s v="EMP1448"/>
    <s v="Exploring Infinities - Sales"/>
    <s v="SALES"/>
    <s v="Sales - India"/>
    <s v="Director 1"/>
    <s v="Bengaluru"/>
    <s v="WFH"/>
    <d v="2026-05-22T00:00:00"/>
    <m/>
    <s v="Active"/>
    <m/>
    <x v="2"/>
    <n v="39"/>
    <n v="0"/>
    <s v="05-2026"/>
    <s v=""/>
    <n v="0"/>
    <n v="0"/>
    <x v="0"/>
  </r>
  <r>
    <s v="EMP1164"/>
    <s v="Exploring Infinities - Sales"/>
    <s v="SALES"/>
    <s v="Sales - India"/>
    <s v="Director 1"/>
    <s v="Bengaluru"/>
    <s v="WFH"/>
    <d v="2025-10-22T00:00:00"/>
    <d v="2026-04-01T00:00:00"/>
    <s v="Relieved"/>
    <s v="Involuntary"/>
    <x v="9"/>
    <n v="161"/>
    <n v="1"/>
    <s v="10-2025"/>
    <s v="04-2026"/>
    <n v="0"/>
    <n v="1"/>
    <x v="3"/>
  </r>
  <r>
    <s v="EMP1183"/>
    <s v="Exploring Infinities - Sales"/>
    <s v="SALES"/>
    <s v="Sales - India"/>
    <s v="Director 1"/>
    <s v="Bengaluru"/>
    <s v="WFH"/>
    <d v="2025-04-23T00:00:00"/>
    <d v="2026-05-11T00:00:00"/>
    <s v="Relieved"/>
    <s v="Involuntary"/>
    <x v="1"/>
    <n v="383"/>
    <n v="1"/>
    <s v="04-2025"/>
    <s v="05-2026"/>
    <n v="0"/>
    <n v="1"/>
    <x v="2"/>
  </r>
  <r>
    <s v="EMP1264"/>
    <s v="Exploring Infinities - Sales"/>
    <s v="SALES"/>
    <s v="Sales - India"/>
    <s v="Director 1"/>
    <s v="Bengaluru"/>
    <s v="WFH"/>
    <d v="2026-04-23T00:00:00"/>
    <d v="2026-06-08T00:00:00"/>
    <s v="Relieved"/>
    <s v="Involuntary"/>
    <x v="6"/>
    <n v="46"/>
    <n v="1"/>
    <s v="04-2026"/>
    <s v="06-2026"/>
    <n v="0"/>
    <n v="1"/>
    <x v="0"/>
  </r>
  <r>
    <s v="EMP1167"/>
    <s v="Exploring Infinities - Sales"/>
    <s v="SALES"/>
    <s v="Sales - India"/>
    <s v="Director 1"/>
    <s v="Bengaluru"/>
    <s v="WFH"/>
    <d v="2025-12-23T00:00:00"/>
    <d v="2026-04-27T00:00:00"/>
    <s v="Relieved"/>
    <s v="Involuntary"/>
    <x v="9"/>
    <n v="125"/>
    <n v="1"/>
    <s v="12-2025"/>
    <s v="04-2026"/>
    <n v="0"/>
    <n v="1"/>
    <x v="3"/>
  </r>
  <r>
    <s v="EMP1186"/>
    <s v="Exploring Infinities - Sales"/>
    <s v="SALES"/>
    <s v="Sales - India"/>
    <s v="Director 1"/>
    <s v="Bengaluru"/>
    <s v="WFH"/>
    <d v="2025-12-23T00:00:00"/>
    <m/>
    <s v="Active"/>
    <m/>
    <x v="2"/>
    <n v="189"/>
    <n v="0"/>
    <s v="12-2025"/>
    <s v=""/>
    <n v="0"/>
    <n v="0"/>
    <x v="1"/>
  </r>
  <r>
    <s v="EMP1514"/>
    <s v="Exploring Infinities - Sales"/>
    <s v="SALES"/>
    <s v="Sales - India"/>
    <s v="Director 1"/>
    <s v="Bengaluru"/>
    <s v="WFH"/>
    <d v="2026-06-23T00:00:00"/>
    <d v="2026-06-26T00:00:00"/>
    <s v="Relieved"/>
    <s v="Voluntary"/>
    <x v="10"/>
    <n v="3"/>
    <n v="1"/>
    <s v="06-2026"/>
    <s v="06-2026"/>
    <n v="1"/>
    <n v="0"/>
    <x v="0"/>
  </r>
  <r>
    <s v="EMP1519"/>
    <s v="Exploring Infinities - Sales"/>
    <s v="SALES"/>
    <s v="Sales - India"/>
    <s v="Director 1"/>
    <s v="Bengaluru"/>
    <s v="WFH"/>
    <d v="2026-06-23T00:00:00"/>
    <d v="2026-06-23T00:00:00"/>
    <s v="Relieved"/>
    <s v="Voluntary"/>
    <x v="5"/>
    <n v="0"/>
    <n v="1"/>
    <s v="06-2026"/>
    <s v="06-2026"/>
    <n v="1"/>
    <n v="0"/>
    <x v="0"/>
  </r>
  <r>
    <s v="EMP1213"/>
    <s v="Exploring Infinities - Sales"/>
    <s v="SALES"/>
    <s v="Sales - India"/>
    <s v="Director 1"/>
    <s v="Bengaluru"/>
    <s v="WFH"/>
    <d v="2025-03-23T00:00:00"/>
    <m/>
    <s v="Active"/>
    <m/>
    <x v="2"/>
    <n v="464"/>
    <n v="0"/>
    <s v="03-2025"/>
    <s v=""/>
    <n v="0"/>
    <n v="0"/>
    <x v="2"/>
  </r>
  <r>
    <s v="EMP1379"/>
    <s v="Exploring Infinities - Sales"/>
    <s v="SALES"/>
    <s v="Sales - India"/>
    <s v="Director 1"/>
    <s v="Bengaluru"/>
    <s v="WFH"/>
    <d v="2026-05-23T00:00:00"/>
    <m/>
    <s v="Active"/>
    <m/>
    <x v="2"/>
    <n v="38"/>
    <n v="0"/>
    <s v="05-2026"/>
    <s v=""/>
    <n v="0"/>
    <n v="0"/>
    <x v="0"/>
  </r>
  <r>
    <s v="EMP1387"/>
    <s v="Exploring Infinities - Sales"/>
    <s v="SALES"/>
    <s v="Sales - India"/>
    <s v="Director 1"/>
    <s v="Bengaluru"/>
    <s v="WFH"/>
    <d v="2026-05-23T00:00:00"/>
    <m/>
    <s v="Active"/>
    <m/>
    <x v="2"/>
    <n v="38"/>
    <n v="0"/>
    <s v="05-2026"/>
    <s v=""/>
    <n v="0"/>
    <n v="0"/>
    <x v="0"/>
  </r>
  <r>
    <s v="EMP1407"/>
    <s v="Exploring Infinities - Sales"/>
    <s v="SALES"/>
    <s v="Sales - India"/>
    <s v="Director 1"/>
    <s v="Bengaluru"/>
    <s v="WFH"/>
    <d v="2026-05-23T00:00:00"/>
    <d v="2026-05-23T00:00:00"/>
    <s v="Relieved"/>
    <s v="Voluntary"/>
    <x v="3"/>
    <n v="0"/>
    <n v="1"/>
    <s v="05-2026"/>
    <s v="05-2026"/>
    <n v="1"/>
    <n v="0"/>
    <x v="0"/>
  </r>
  <r>
    <s v="EMP1410"/>
    <s v="Exploring Infinities - Sales"/>
    <s v="SALES"/>
    <s v="Sales - India"/>
    <s v="Director 1"/>
    <s v="Bengaluru"/>
    <s v="WFH"/>
    <d v="2026-05-23T00:00:00"/>
    <d v="2026-05-23T00:00:00"/>
    <s v="Relieved"/>
    <s v="Voluntary"/>
    <x v="5"/>
    <n v="0"/>
    <n v="1"/>
    <s v="05-2026"/>
    <s v="05-2026"/>
    <n v="1"/>
    <n v="0"/>
    <x v="0"/>
  </r>
  <r>
    <s v="EMP1222"/>
    <s v="Exploring Infinities - Sales"/>
    <s v="SALES"/>
    <s v="Sales - India"/>
    <s v="Director 1"/>
    <s v="Bengaluru"/>
    <s v="WFH"/>
    <d v="2025-11-23T00:00:00"/>
    <m/>
    <s v="Active"/>
    <m/>
    <x v="2"/>
    <n v="219"/>
    <n v="0"/>
    <s v="11-2025"/>
    <s v=""/>
    <n v="0"/>
    <n v="0"/>
    <x v="1"/>
  </r>
  <r>
    <s v="EMP1187"/>
    <s v="Exploring Infinities - Sales"/>
    <s v="SALES"/>
    <s v="Sales - India"/>
    <s v="Director 1"/>
    <s v="Bengaluru"/>
    <s v="WFH"/>
    <d v="2025-09-23T00:00:00"/>
    <d v="2026-06-06T00:00:00"/>
    <s v="Relieved"/>
    <s v="Involuntary"/>
    <x v="9"/>
    <n v="256"/>
    <n v="1"/>
    <s v="09-2025"/>
    <s v="06-2026"/>
    <n v="0"/>
    <n v="1"/>
    <x v="1"/>
  </r>
  <r>
    <s v="EMP1282"/>
    <s v="Exploring Infinities - Sales"/>
    <s v="SALES"/>
    <s v="Sales - India"/>
    <s v="Director 1"/>
    <s v="Bengaluru"/>
    <s v="WFH"/>
    <d v="2026-04-24T00:00:00"/>
    <m/>
    <s v="Active"/>
    <m/>
    <x v="2"/>
    <n v="67"/>
    <n v="0"/>
    <s v="04-2026"/>
    <s v=""/>
    <n v="0"/>
    <n v="0"/>
    <x v="0"/>
  </r>
  <r>
    <s v="EMP1283"/>
    <s v="Exploring Infinities - Sales"/>
    <s v="SALES"/>
    <s v="Sales - India"/>
    <s v="Director 1"/>
    <s v="Bengaluru"/>
    <s v="WFH"/>
    <d v="2026-04-24T00:00:00"/>
    <d v="2026-06-27T00:00:00"/>
    <s v="Relieved"/>
    <s v="Involuntary"/>
    <x v="7"/>
    <n v="64"/>
    <n v="1"/>
    <s v="04-2026"/>
    <s v="06-2026"/>
    <n v="0"/>
    <n v="1"/>
    <x v="0"/>
  </r>
  <r>
    <s v="EMP1301"/>
    <s v="Exploring Infinities - Sales"/>
    <s v="SALES"/>
    <s v="Sales - India"/>
    <s v="Director 1"/>
    <s v="Bengaluru"/>
    <s v="WFH"/>
    <d v="2026-04-24T00:00:00"/>
    <d v="2026-04-24T00:00:00"/>
    <s v="Relieved"/>
    <s v="Voluntary"/>
    <x v="3"/>
    <n v="0"/>
    <n v="1"/>
    <s v="04-2026"/>
    <s v="04-2026"/>
    <n v="1"/>
    <n v="0"/>
    <x v="0"/>
  </r>
  <r>
    <s v="EMP1343"/>
    <s v="Exploring Infinities - Sales"/>
    <s v="SALES"/>
    <s v="Sales - India"/>
    <s v="Director 1"/>
    <s v="Bengaluru"/>
    <s v="WFH"/>
    <d v="2026-04-24T00:00:00"/>
    <d v="2026-04-26T00:00:00"/>
    <s v="Relieved"/>
    <s v="Voluntary"/>
    <x v="3"/>
    <n v="2"/>
    <n v="1"/>
    <s v="04-2026"/>
    <s v="04-2026"/>
    <n v="1"/>
    <n v="0"/>
    <x v="0"/>
  </r>
  <r>
    <s v="EMP1180"/>
    <s v="Exploring Infinities - Sales"/>
    <s v="SALES"/>
    <s v="Sales - India"/>
    <s v="Director 1"/>
    <s v="Bengaluru"/>
    <s v="WFH"/>
    <d v="2025-02-24T00:00:00"/>
    <d v="2026-04-25T00:00:00"/>
    <s v="Relieved"/>
    <s v="Involuntary"/>
    <x v="1"/>
    <n v="425"/>
    <n v="1"/>
    <s v="02-2025"/>
    <s v="04-2026"/>
    <n v="0"/>
    <n v="1"/>
    <x v="2"/>
  </r>
  <r>
    <s v="EMP1170"/>
    <s v="Exploring Infinities - Sales"/>
    <s v="SALES"/>
    <s v="Sales - India"/>
    <s v="Director 1"/>
    <s v="Bengaluru"/>
    <s v="WFH"/>
    <d v="2025-07-24T00:00:00"/>
    <d v="2026-06-08T00:00:00"/>
    <s v="Relieved"/>
    <s v="Involuntary"/>
    <x v="6"/>
    <n v="319"/>
    <n v="1"/>
    <s v="07-2025"/>
    <s v="06-2026"/>
    <n v="0"/>
    <n v="1"/>
    <x v="1"/>
  </r>
  <r>
    <s v="EMP1473"/>
    <s v="Exploring Infinities - Sales"/>
    <s v="SALES"/>
    <s v="Sales - India"/>
    <s v="Director 1"/>
    <s v="Bengaluru"/>
    <s v="WFH"/>
    <d v="2026-06-24T00:00:00"/>
    <d v="2026-06-25T00:00:00"/>
    <s v="Relieved"/>
    <s v="Voluntary"/>
    <x v="10"/>
    <n v="1"/>
    <n v="1"/>
    <s v="06-2026"/>
    <s v="06-2026"/>
    <n v="1"/>
    <n v="0"/>
    <x v="0"/>
  </r>
  <r>
    <s v="EMP1534"/>
    <s v="Exploring Infinities - Sales"/>
    <s v="SALES"/>
    <s v="Sales - India"/>
    <s v="Director 1"/>
    <s v="Bengaluru"/>
    <s v="WFH"/>
    <d v="2026-06-24T00:00:00"/>
    <d v="2026-06-24T00:00:00"/>
    <s v="Relieved"/>
    <s v="Voluntary"/>
    <x v="4"/>
    <n v="0"/>
    <n v="1"/>
    <s v="06-2026"/>
    <s v="06-2026"/>
    <n v="1"/>
    <n v="0"/>
    <x v="0"/>
  </r>
  <r>
    <s v="EMP1538"/>
    <s v="Exploring Infinities - Sales"/>
    <s v="SALES"/>
    <s v="Sales - India"/>
    <s v="Director 1"/>
    <s v="Bengaluru"/>
    <s v="WFH"/>
    <d v="2026-06-24T00:00:00"/>
    <d v="2026-06-24T00:00:00"/>
    <s v="Relieved"/>
    <s v="Voluntary"/>
    <x v="4"/>
    <n v="0"/>
    <n v="1"/>
    <s v="06-2026"/>
    <s v="06-2026"/>
    <n v="1"/>
    <n v="0"/>
    <x v="0"/>
  </r>
  <r>
    <s v="EMP1425"/>
    <s v="Exploring Infinities - Sales"/>
    <s v="SALES"/>
    <s v="Sales - India"/>
    <s v="Director 1"/>
    <s v="Bengaluru"/>
    <s v="WFH"/>
    <d v="2026-05-24T00:00:00"/>
    <m/>
    <s v="Active"/>
    <m/>
    <x v="2"/>
    <n v="37"/>
    <n v="0"/>
    <s v="05-2026"/>
    <s v=""/>
    <n v="0"/>
    <n v="0"/>
    <x v="0"/>
  </r>
  <r>
    <s v="EMP1443"/>
    <s v="Exploring Infinities - Sales"/>
    <s v="SALES"/>
    <s v="Sales - India"/>
    <s v="Director 1"/>
    <s v="Bengaluru"/>
    <s v="WFH"/>
    <d v="2026-05-24T00:00:00"/>
    <m/>
    <s v="Active"/>
    <m/>
    <x v="2"/>
    <n v="37"/>
    <n v="0"/>
    <s v="05-2026"/>
    <s v=""/>
    <n v="0"/>
    <n v="0"/>
    <x v="0"/>
  </r>
  <r>
    <s v="EMP1226"/>
    <s v="Exploring Infinities - Sales"/>
    <s v="SALES"/>
    <s v="Sales - India"/>
    <s v="Director 1"/>
    <s v="Bengaluru"/>
    <s v="WFH"/>
    <d v="2025-09-24T00:00:00"/>
    <d v="2026-06-02T00:00:00"/>
    <s v="Relieved"/>
    <s v="Involuntary"/>
    <x v="7"/>
    <n v="251"/>
    <n v="1"/>
    <s v="09-2025"/>
    <s v="06-2026"/>
    <n v="0"/>
    <n v="1"/>
    <x v="1"/>
  </r>
  <r>
    <s v="EMP1262"/>
    <s v="Exploring Infinities - Sales"/>
    <s v="SALES"/>
    <s v="Sales - India"/>
    <s v="Director 1"/>
    <s v="Bengaluru"/>
    <s v="WFH"/>
    <d v="2026-04-25T00:00:00"/>
    <d v="2026-06-01T00:00:00"/>
    <s v="Relieved"/>
    <s v="Involuntary"/>
    <x v="7"/>
    <n v="37"/>
    <n v="1"/>
    <s v="04-2026"/>
    <s v="06-2026"/>
    <n v="0"/>
    <n v="1"/>
    <x v="0"/>
  </r>
  <r>
    <s v="EMP1268"/>
    <s v="Exploring Infinities - Sales"/>
    <s v="SALES"/>
    <s v="Sales - India"/>
    <s v="Director 1"/>
    <s v="Bengaluru"/>
    <s v="WFH"/>
    <d v="2026-04-25T00:00:00"/>
    <d v="2026-04-25T00:00:00"/>
    <s v="Relieved"/>
    <s v="Voluntary"/>
    <x v="8"/>
    <n v="0"/>
    <n v="1"/>
    <s v="04-2026"/>
    <s v="04-2026"/>
    <n v="1"/>
    <n v="0"/>
    <x v="0"/>
  </r>
  <r>
    <s v="EMP1275"/>
    <s v="Exploring Infinities - Sales"/>
    <s v="SALES"/>
    <s v="Sales - India"/>
    <s v="Director 1"/>
    <s v="Bengaluru"/>
    <s v="WFH"/>
    <d v="2026-04-25T00:00:00"/>
    <d v="2026-04-30T00:00:00"/>
    <s v="Relieved"/>
    <s v="Voluntary"/>
    <x v="0"/>
    <n v="5"/>
    <n v="1"/>
    <s v="04-2026"/>
    <s v="04-2026"/>
    <n v="1"/>
    <n v="0"/>
    <x v="0"/>
  </r>
  <r>
    <s v="EMP1331"/>
    <s v="Exploring Infinities - Sales"/>
    <s v="SALES"/>
    <s v="Sales - India"/>
    <s v="Director 1"/>
    <s v="Bengaluru"/>
    <s v="WFH"/>
    <d v="2026-04-25T00:00:00"/>
    <m/>
    <s v="Active"/>
    <m/>
    <x v="2"/>
    <n v="66"/>
    <n v="0"/>
    <s v="04-2026"/>
    <s v=""/>
    <n v="0"/>
    <n v="0"/>
    <x v="0"/>
  </r>
  <r>
    <s v="EMP1335"/>
    <s v="Exploring Infinities - Sales"/>
    <s v="SALES"/>
    <s v="Sales - India"/>
    <s v="Director 1"/>
    <s v="Bengaluru"/>
    <s v="WFH"/>
    <d v="2026-04-25T00:00:00"/>
    <d v="2026-05-04T00:00:00"/>
    <s v="Relieved"/>
    <s v="Involuntary"/>
    <x v="9"/>
    <n v="9"/>
    <n v="1"/>
    <s v="04-2026"/>
    <s v="05-2026"/>
    <n v="0"/>
    <n v="1"/>
    <x v="0"/>
  </r>
  <r>
    <s v="EMP1350"/>
    <s v="Exploring Infinities - Sales"/>
    <s v="SALES"/>
    <s v="Sales - India"/>
    <s v="Director 1"/>
    <s v="Bengaluru"/>
    <s v="WFH"/>
    <d v="2026-04-25T00:00:00"/>
    <d v="2026-05-28T00:00:00"/>
    <s v="Relieved"/>
    <s v="Involuntary"/>
    <x v="6"/>
    <n v="33"/>
    <n v="1"/>
    <s v="04-2026"/>
    <s v="05-2026"/>
    <n v="0"/>
    <n v="1"/>
    <x v="0"/>
  </r>
  <r>
    <s v="EMP1353"/>
    <s v="Exploring Infinities - Sales"/>
    <s v="SALES"/>
    <s v="Sales - India"/>
    <s v="Director 1"/>
    <s v="Bengaluru"/>
    <s v="WFH"/>
    <d v="2026-04-25T00:00:00"/>
    <m/>
    <s v="Active"/>
    <m/>
    <x v="2"/>
    <n v="66"/>
    <n v="0"/>
    <s v="04-2026"/>
    <s v=""/>
    <n v="0"/>
    <n v="0"/>
    <x v="0"/>
  </r>
  <r>
    <s v="EMP1469"/>
    <s v="Exploring Infinities - Sales"/>
    <s v="SALES"/>
    <s v="Sales - India"/>
    <s v="Director 1"/>
    <s v="Bengaluru"/>
    <s v="WFH"/>
    <d v="2026-06-25T00:00:00"/>
    <m/>
    <s v="Active"/>
    <m/>
    <x v="2"/>
    <n v="5"/>
    <n v="0"/>
    <s v="06-2026"/>
    <s v=""/>
    <n v="0"/>
    <n v="0"/>
    <x v="0"/>
  </r>
  <r>
    <s v="EMP1494"/>
    <s v="Exploring Infinities - Sales"/>
    <s v="SALES"/>
    <s v="Sales - India"/>
    <s v="Director 1"/>
    <s v="Bengaluru"/>
    <s v="WFH"/>
    <d v="2026-06-25T00:00:00"/>
    <d v="2026-06-25T00:00:00"/>
    <s v="Relieved"/>
    <s v="Voluntary"/>
    <x v="5"/>
    <n v="0"/>
    <n v="1"/>
    <s v="06-2026"/>
    <s v="06-2026"/>
    <n v="1"/>
    <n v="0"/>
    <x v="0"/>
  </r>
  <r>
    <s v="EMP1502"/>
    <s v="Exploring Infinities - Sales"/>
    <s v="SALES"/>
    <s v="Sales - India"/>
    <s v="Director 1"/>
    <s v="Bengaluru"/>
    <s v="WFH"/>
    <d v="2026-06-25T00:00:00"/>
    <d v="2026-06-25T00:00:00"/>
    <s v="Relieved"/>
    <s v="Voluntary"/>
    <x v="10"/>
    <n v="0"/>
    <n v="1"/>
    <s v="06-2026"/>
    <s v="06-2026"/>
    <n v="1"/>
    <n v="0"/>
    <x v="0"/>
  </r>
  <r>
    <s v="EMP1520"/>
    <s v="Exploring Infinities - Sales"/>
    <s v="SALES"/>
    <s v="Sales - India"/>
    <s v="Director 1"/>
    <s v="Bengaluru"/>
    <s v="WFH"/>
    <d v="2026-06-25T00:00:00"/>
    <d v="2026-06-25T00:00:00"/>
    <s v="Relieved"/>
    <s v="Voluntary"/>
    <x v="4"/>
    <n v="0"/>
    <n v="1"/>
    <s v="06-2026"/>
    <s v="06-2026"/>
    <n v="1"/>
    <n v="0"/>
    <x v="0"/>
  </r>
  <r>
    <s v="EMP1365"/>
    <s v="Exploring Infinities - Sales"/>
    <s v="SALES"/>
    <s v="Sales - India"/>
    <s v="Director 1"/>
    <s v="Bengaluru"/>
    <s v="WFH"/>
    <d v="2026-05-25T00:00:00"/>
    <d v="2026-05-26T00:00:00"/>
    <s v="Relieved"/>
    <s v="Voluntary"/>
    <x v="4"/>
    <n v="1"/>
    <n v="1"/>
    <s v="05-2026"/>
    <s v="05-2026"/>
    <n v="1"/>
    <n v="0"/>
    <x v="0"/>
  </r>
  <r>
    <s v="EMP1369"/>
    <s v="Exploring Infinities - Sales"/>
    <s v="SALES"/>
    <s v="Sales - India"/>
    <s v="Director 1"/>
    <s v="Bengaluru"/>
    <s v="WFH"/>
    <d v="2026-05-25T00:00:00"/>
    <d v="2026-06-05T00:00:00"/>
    <s v="Relieved"/>
    <s v="Involuntary"/>
    <x v="9"/>
    <n v="11"/>
    <n v="1"/>
    <s v="05-2026"/>
    <s v="06-2026"/>
    <n v="0"/>
    <n v="1"/>
    <x v="0"/>
  </r>
  <r>
    <s v="EMP1431"/>
    <s v="Exploring Infinities - Sales"/>
    <s v="SALES"/>
    <s v="Sales - India"/>
    <s v="Director 1"/>
    <s v="Bengaluru"/>
    <s v="WFH"/>
    <d v="2026-05-25T00:00:00"/>
    <d v="2026-05-25T00:00:00"/>
    <s v="Relieved"/>
    <s v="Voluntary"/>
    <x v="0"/>
    <n v="0"/>
    <n v="1"/>
    <s v="05-2026"/>
    <s v="05-2026"/>
    <n v="1"/>
    <n v="0"/>
    <x v="0"/>
  </r>
  <r>
    <s v="EMP1458"/>
    <s v="Exploring Infinities - Sales"/>
    <s v="SALES"/>
    <s v="Sales - India"/>
    <s v="Director 1"/>
    <s v="Bengaluru"/>
    <s v="WFH"/>
    <d v="2026-05-25T00:00:00"/>
    <d v="2026-05-25T00:00:00"/>
    <s v="Relieved"/>
    <s v="Voluntary"/>
    <x v="4"/>
    <n v="0"/>
    <n v="1"/>
    <s v="05-2026"/>
    <s v="05-2026"/>
    <n v="1"/>
    <n v="0"/>
    <x v="0"/>
  </r>
  <r>
    <s v="EMP1285"/>
    <s v="Exploring Infinities - Sales"/>
    <s v="SALES"/>
    <s v="Sales - India"/>
    <s v="Director 1"/>
    <s v="Bengaluru"/>
    <s v="WFH"/>
    <d v="2026-04-26T00:00:00"/>
    <m/>
    <s v="Active"/>
    <m/>
    <x v="2"/>
    <n v="65"/>
    <n v="0"/>
    <s v="04-2026"/>
    <s v=""/>
    <n v="0"/>
    <n v="0"/>
    <x v="0"/>
  </r>
  <r>
    <s v="EMP1299"/>
    <s v="Exploring Infinities - Sales"/>
    <s v="SALES"/>
    <s v="Sales - India"/>
    <s v="Director 1"/>
    <s v="Bengaluru"/>
    <s v="WFH"/>
    <d v="2026-04-26T00:00:00"/>
    <d v="2026-05-16T00:00:00"/>
    <s v="Relieved"/>
    <s v="Involuntary"/>
    <x v="6"/>
    <n v="20"/>
    <n v="1"/>
    <s v="04-2026"/>
    <s v="05-2026"/>
    <n v="0"/>
    <n v="1"/>
    <x v="0"/>
  </r>
  <r>
    <s v="EMP1188"/>
    <s v="Exploring Infinities - Sales"/>
    <s v="SALES"/>
    <s v="Sales - India"/>
    <s v="Director 1"/>
    <s v="Bengaluru"/>
    <s v="WFH"/>
    <d v="2025-08-26T00:00:00"/>
    <d v="2026-06-10T00:00:00"/>
    <s v="Relieved"/>
    <s v="Involuntary"/>
    <x v="6"/>
    <n v="288"/>
    <n v="1"/>
    <s v="08-2025"/>
    <s v="06-2026"/>
    <n v="0"/>
    <n v="1"/>
    <x v="1"/>
  </r>
  <r>
    <s v="EMP1197"/>
    <s v="Exploring Infinities - Sales"/>
    <s v="SALES"/>
    <s v="Sales - India"/>
    <s v="Director 1"/>
    <s v="Bengaluru"/>
    <s v="WFH"/>
    <d v="2025-08-26T00:00:00"/>
    <d v="2026-05-24T00:00:00"/>
    <s v="Relieved"/>
    <s v="Involuntary"/>
    <x v="9"/>
    <n v="271"/>
    <n v="1"/>
    <s v="08-2025"/>
    <s v="05-2026"/>
    <n v="0"/>
    <n v="1"/>
    <x v="1"/>
  </r>
  <r>
    <s v="EMP1189"/>
    <s v="Exploring Infinities - Sales"/>
    <s v="SALES"/>
    <s v="Sales - India"/>
    <s v="Director 1"/>
    <s v="Bengaluru"/>
    <s v="WFH"/>
    <d v="2025-01-26T00:00:00"/>
    <d v="2026-05-22T00:00:00"/>
    <s v="Relieved"/>
    <s v="Involuntary"/>
    <x v="6"/>
    <n v="481"/>
    <n v="1"/>
    <s v="01-2025"/>
    <s v="05-2026"/>
    <n v="0"/>
    <n v="1"/>
    <x v="2"/>
  </r>
  <r>
    <s v="EMP1498"/>
    <s v="Exploring Infinities - Sales"/>
    <s v="SALES"/>
    <s v="Sales - India"/>
    <s v="Director 1"/>
    <s v="Bengaluru"/>
    <s v="WFH"/>
    <d v="2026-06-26T00:00:00"/>
    <d v="2026-06-26T00:00:00"/>
    <s v="Relieved"/>
    <s v="Voluntary"/>
    <x v="0"/>
    <n v="0"/>
    <n v="1"/>
    <s v="06-2026"/>
    <s v="06-2026"/>
    <n v="1"/>
    <n v="0"/>
    <x v="0"/>
  </r>
  <r>
    <s v="EMP1385"/>
    <s v="Exploring Infinities - Sales"/>
    <s v="SALES"/>
    <s v="Sales - India"/>
    <s v="Director 1"/>
    <s v="Bengaluru"/>
    <s v="WFH"/>
    <d v="2026-05-26T00:00:00"/>
    <d v="2026-06-30T00:00:00"/>
    <s v="Relieved"/>
    <s v="Involuntary"/>
    <x v="9"/>
    <n v="35"/>
    <n v="1"/>
    <s v="05-2026"/>
    <s v="06-2026"/>
    <n v="0"/>
    <n v="1"/>
    <x v="0"/>
  </r>
  <r>
    <s v="EMP1432"/>
    <s v="Exploring Infinities - Sales"/>
    <s v="SALES"/>
    <s v="Sales - India"/>
    <s v="Director 1"/>
    <s v="Bengaluru"/>
    <s v="WFH"/>
    <d v="2026-05-26T00:00:00"/>
    <d v="2026-05-28T00:00:00"/>
    <s v="Relieved"/>
    <s v="Voluntary"/>
    <x v="0"/>
    <n v="2"/>
    <n v="1"/>
    <s v="05-2026"/>
    <s v="05-2026"/>
    <n v="1"/>
    <n v="0"/>
    <x v="0"/>
  </r>
  <r>
    <s v="EMP1437"/>
    <s v="Exploring Infinities - Sales"/>
    <s v="SALES"/>
    <s v="Sales - India"/>
    <s v="Director 1"/>
    <s v="Bengaluru"/>
    <s v="WFH"/>
    <d v="2026-05-26T00:00:00"/>
    <m/>
    <s v="Active"/>
    <m/>
    <x v="2"/>
    <n v="35"/>
    <n v="0"/>
    <s v="05-2026"/>
    <s v=""/>
    <n v="0"/>
    <n v="0"/>
    <x v="0"/>
  </r>
  <r>
    <s v="EMP1258"/>
    <s v="Exploring Infinities - Sales"/>
    <s v="SALES"/>
    <s v="Sales - India"/>
    <s v="Director 1"/>
    <s v="Bengaluru"/>
    <s v="WFH"/>
    <d v="2026-04-27T00:00:00"/>
    <d v="2026-04-27T00:00:00"/>
    <s v="Relieved"/>
    <s v="Voluntary"/>
    <x v="10"/>
    <n v="0"/>
    <n v="1"/>
    <s v="04-2026"/>
    <s v="04-2026"/>
    <n v="1"/>
    <n v="0"/>
    <x v="0"/>
  </r>
  <r>
    <s v="EMP1279"/>
    <s v="Exploring Infinities - Sales"/>
    <s v="SALES"/>
    <s v="Sales - India"/>
    <s v="Director 1"/>
    <s v="Bengaluru"/>
    <s v="WFH"/>
    <d v="2026-04-27T00:00:00"/>
    <d v="2026-04-27T00:00:00"/>
    <s v="Relieved"/>
    <s v="Voluntary"/>
    <x v="0"/>
    <n v="0"/>
    <n v="1"/>
    <s v="04-2026"/>
    <s v="04-2026"/>
    <n v="1"/>
    <n v="0"/>
    <x v="0"/>
  </r>
  <r>
    <s v="EMP1303"/>
    <s v="Exploring Infinities - Sales"/>
    <s v="SALES"/>
    <s v="Sales - India"/>
    <s v="Director 1"/>
    <s v="Bengaluru"/>
    <s v="WFH"/>
    <d v="2026-04-27T00:00:00"/>
    <d v="2026-05-09T00:00:00"/>
    <s v="Relieved"/>
    <s v="Involuntary"/>
    <x v="9"/>
    <n v="12"/>
    <n v="1"/>
    <s v="04-2026"/>
    <s v="05-2026"/>
    <n v="0"/>
    <n v="1"/>
    <x v="0"/>
  </r>
  <r>
    <s v="EMP1336"/>
    <s v="Exploring Infinities - Sales"/>
    <s v="SALES"/>
    <s v="Sales - India"/>
    <s v="Director 1"/>
    <s v="Bengaluru"/>
    <s v="WFH"/>
    <d v="2026-04-27T00:00:00"/>
    <d v="2026-04-27T00:00:00"/>
    <s v="Relieved"/>
    <s v="Voluntary"/>
    <x v="4"/>
    <n v="0"/>
    <n v="1"/>
    <s v="04-2026"/>
    <s v="04-2026"/>
    <n v="1"/>
    <n v="0"/>
    <x v="0"/>
  </r>
  <r>
    <s v="EMP1339"/>
    <s v="Exploring Infinities - Sales"/>
    <s v="SALES"/>
    <s v="Sales - India"/>
    <s v="Director 1"/>
    <s v="Bengaluru"/>
    <s v="WFH"/>
    <d v="2026-04-27T00:00:00"/>
    <m/>
    <s v="Active"/>
    <m/>
    <x v="2"/>
    <n v="64"/>
    <n v="0"/>
    <s v="04-2026"/>
    <s v=""/>
    <n v="0"/>
    <n v="0"/>
    <x v="0"/>
  </r>
  <r>
    <s v="EMP1254"/>
    <s v="Exploring Infinities - Sales"/>
    <s v="SALES"/>
    <s v="Sales - India"/>
    <s v="Director 1"/>
    <s v="Bengaluru"/>
    <s v="WFH"/>
    <d v="2025-08-27T00:00:00"/>
    <d v="2026-06-07T00:00:00"/>
    <s v="Relieved"/>
    <s v="Involuntary"/>
    <x v="9"/>
    <n v="284"/>
    <n v="1"/>
    <s v="08-2025"/>
    <s v="06-2026"/>
    <n v="0"/>
    <n v="1"/>
    <x v="1"/>
  </r>
  <r>
    <s v="EMP1503"/>
    <s v="Exploring Infinities - Sales"/>
    <s v="SALES"/>
    <s v="Sales - India"/>
    <s v="Director 1"/>
    <s v="Bengaluru"/>
    <s v="WFH"/>
    <d v="2026-06-27T00:00:00"/>
    <m/>
    <s v="Active"/>
    <m/>
    <x v="2"/>
    <n v="3"/>
    <n v="0"/>
    <s v="06-2026"/>
    <s v=""/>
    <n v="0"/>
    <n v="0"/>
    <x v="0"/>
  </r>
  <r>
    <s v="EMP1513"/>
    <s v="Exploring Infinities - Sales"/>
    <s v="SALES"/>
    <s v="Sales - India"/>
    <s v="Director 1"/>
    <s v="Bengaluru"/>
    <s v="WFH"/>
    <d v="2026-06-27T00:00:00"/>
    <d v="2026-06-27T00:00:00"/>
    <s v="Relieved"/>
    <s v="Voluntary"/>
    <x v="5"/>
    <n v="0"/>
    <n v="1"/>
    <s v="06-2026"/>
    <s v="06-2026"/>
    <n v="1"/>
    <n v="0"/>
    <x v="0"/>
  </r>
  <r>
    <s v="EMP1234"/>
    <s v="Exploring Infinities - Sales"/>
    <s v="SALES"/>
    <s v="Sales - India"/>
    <s v="Director 1"/>
    <s v="Bengaluru"/>
    <s v="WFH"/>
    <d v="2025-05-27T00:00:00"/>
    <d v="2026-05-26T00:00:00"/>
    <s v="Relieved"/>
    <s v="Involuntary"/>
    <x v="1"/>
    <n v="364"/>
    <n v="1"/>
    <s v="05-2025"/>
    <s v="05-2026"/>
    <n v="0"/>
    <n v="1"/>
    <x v="1"/>
  </r>
  <r>
    <s v="EMP1396"/>
    <s v="Exploring Infinities - Sales"/>
    <s v="SALES"/>
    <s v="Sales - India"/>
    <s v="Director 1"/>
    <s v="Bengaluru"/>
    <s v="WFH"/>
    <d v="2026-05-27T00:00:00"/>
    <m/>
    <s v="Active"/>
    <m/>
    <x v="2"/>
    <n v="34"/>
    <n v="0"/>
    <s v="05-2026"/>
    <s v=""/>
    <n v="0"/>
    <n v="0"/>
    <x v="0"/>
  </r>
  <r>
    <s v="EMP1403"/>
    <s v="Exploring Infinities - Sales"/>
    <s v="SALES"/>
    <s v="Sales - India"/>
    <s v="Director 1"/>
    <s v="Bengaluru"/>
    <s v="WFH"/>
    <d v="2026-05-27T00:00:00"/>
    <d v="2026-06-23T00:00:00"/>
    <s v="Relieved"/>
    <s v="Involuntary"/>
    <x v="1"/>
    <n v="27"/>
    <n v="1"/>
    <s v="05-2026"/>
    <s v="06-2026"/>
    <n v="0"/>
    <n v="1"/>
    <x v="0"/>
  </r>
  <r>
    <s v="EMP1413"/>
    <s v="Exploring Infinities - Sales"/>
    <s v="SALES"/>
    <s v="Sales - India"/>
    <s v="Director 1"/>
    <s v="Bengaluru"/>
    <s v="WFH"/>
    <d v="2026-05-27T00:00:00"/>
    <d v="2026-05-27T00:00:00"/>
    <s v="Relieved"/>
    <s v="Voluntary"/>
    <x v="3"/>
    <n v="0"/>
    <n v="1"/>
    <s v="05-2026"/>
    <s v="05-2026"/>
    <n v="1"/>
    <n v="0"/>
    <x v="0"/>
  </r>
  <r>
    <s v="EMP1440"/>
    <s v="Exploring Infinities - Sales"/>
    <s v="SALES"/>
    <s v="Sales - India"/>
    <s v="Director 1"/>
    <s v="Bengaluru"/>
    <s v="WFH"/>
    <d v="2026-05-27T00:00:00"/>
    <m/>
    <s v="Active"/>
    <m/>
    <x v="2"/>
    <n v="34"/>
    <n v="0"/>
    <s v="05-2026"/>
    <s v=""/>
    <n v="0"/>
    <n v="0"/>
    <x v="0"/>
  </r>
  <r>
    <s v="EMP1445"/>
    <s v="Exploring Infinities - Sales"/>
    <s v="SALES"/>
    <s v="Sales - India"/>
    <s v="Director 1"/>
    <s v="Bengaluru"/>
    <s v="WFH"/>
    <d v="2026-05-27T00:00:00"/>
    <d v="2026-06-04T00:00:00"/>
    <s v="Relieved"/>
    <s v="Involuntary"/>
    <x v="7"/>
    <n v="8"/>
    <n v="1"/>
    <s v="05-2026"/>
    <s v="06-2026"/>
    <n v="0"/>
    <n v="1"/>
    <x v="0"/>
  </r>
  <r>
    <s v="EMP1266"/>
    <s v="Exploring Infinities - Sales"/>
    <s v="SALES"/>
    <s v="Sales - India"/>
    <s v="Director 1"/>
    <s v="Bengaluru"/>
    <s v="WFH"/>
    <d v="2026-04-28T00:00:00"/>
    <m/>
    <s v="Active"/>
    <m/>
    <x v="2"/>
    <n v="63"/>
    <n v="0"/>
    <s v="04-2026"/>
    <s v=""/>
    <n v="0"/>
    <n v="0"/>
    <x v="0"/>
  </r>
  <r>
    <s v="EMP1277"/>
    <s v="Exploring Infinities - Sales"/>
    <s v="SALES"/>
    <s v="Sales - India"/>
    <s v="Director 1"/>
    <s v="Bengaluru"/>
    <s v="WFH"/>
    <d v="2026-04-28T00:00:00"/>
    <m/>
    <s v="Active"/>
    <m/>
    <x v="2"/>
    <n v="63"/>
    <n v="0"/>
    <s v="04-2026"/>
    <s v=""/>
    <n v="0"/>
    <n v="0"/>
    <x v="0"/>
  </r>
  <r>
    <s v="EMP1320"/>
    <s v="Exploring Infinities - Sales"/>
    <s v="SALES"/>
    <s v="Sales - India"/>
    <s v="Director 1"/>
    <s v="Bengaluru"/>
    <s v="WFH"/>
    <d v="2026-04-28T00:00:00"/>
    <d v="2026-04-28T00:00:00"/>
    <s v="Relieved"/>
    <s v="Voluntary"/>
    <x v="5"/>
    <n v="0"/>
    <n v="1"/>
    <s v="04-2026"/>
    <s v="04-2026"/>
    <n v="1"/>
    <n v="0"/>
    <x v="0"/>
  </r>
  <r>
    <s v="EMP1247"/>
    <s v="Exploring Infinities - Sales"/>
    <s v="SALES"/>
    <s v="Sales - India"/>
    <s v="Director 1"/>
    <s v="Bengaluru"/>
    <s v="WFH"/>
    <d v="2025-12-28T00:00:00"/>
    <m/>
    <s v="Active"/>
    <m/>
    <x v="2"/>
    <n v="184"/>
    <n v="0"/>
    <s v="12-2025"/>
    <s v=""/>
    <n v="0"/>
    <n v="0"/>
    <x v="1"/>
  </r>
  <r>
    <s v="EMP1224"/>
    <s v="Exploring Infinities - Sales"/>
    <s v="SALES"/>
    <s v="Sales - India"/>
    <s v="Director 1"/>
    <s v="Bengaluru"/>
    <s v="WFH"/>
    <d v="2026-01-28T00:00:00"/>
    <d v="2026-05-11T00:00:00"/>
    <s v="Relieved"/>
    <s v="Involuntary"/>
    <x v="6"/>
    <n v="103"/>
    <n v="1"/>
    <s v="01-2026"/>
    <s v="05-2026"/>
    <n v="0"/>
    <n v="1"/>
    <x v="3"/>
  </r>
  <r>
    <s v="EMP1251"/>
    <s v="Exploring Infinities - Sales"/>
    <s v="SALES"/>
    <s v="Sales - India"/>
    <s v="Director 1"/>
    <s v="Bengaluru"/>
    <s v="WFH"/>
    <d v="2025-07-28T00:00:00"/>
    <d v="2026-06-03T00:00:00"/>
    <s v="Relieved"/>
    <s v="Involuntary"/>
    <x v="9"/>
    <n v="310"/>
    <n v="1"/>
    <s v="07-2025"/>
    <s v="06-2026"/>
    <n v="0"/>
    <n v="1"/>
    <x v="1"/>
  </r>
  <r>
    <s v="EMP1467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  <x v="0"/>
  </r>
  <r>
    <s v="EMP1471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  <x v="0"/>
  </r>
  <r>
    <s v="EMP1487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  <x v="0"/>
  </r>
  <r>
    <s v="EMP1490"/>
    <s v="Exploring Infinities - Sales"/>
    <s v="SALES"/>
    <s v="Sales - India"/>
    <s v="Director 1"/>
    <s v="Bengaluru"/>
    <s v="WFH"/>
    <d v="2026-06-28T00:00:00"/>
    <d v="2026-06-28T00:00:00"/>
    <s v="Relieved"/>
    <s v="Voluntary"/>
    <x v="3"/>
    <n v="0"/>
    <n v="1"/>
    <s v="06-2026"/>
    <s v="06-2026"/>
    <n v="1"/>
    <n v="0"/>
    <x v="0"/>
  </r>
  <r>
    <s v="EMP1500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  <x v="0"/>
  </r>
  <r>
    <s v="EMP1527"/>
    <s v="Exploring Infinities - Sales"/>
    <s v="SALES"/>
    <s v="Sales - India"/>
    <s v="Director 1"/>
    <s v="Bengaluru"/>
    <s v="WFH"/>
    <d v="2026-06-28T00:00:00"/>
    <m/>
    <s v="Active"/>
    <m/>
    <x v="2"/>
    <n v="2"/>
    <n v="0"/>
    <s v="06-2026"/>
    <s v=""/>
    <n v="0"/>
    <n v="0"/>
    <x v="0"/>
  </r>
  <r>
    <s v="EMP1356"/>
    <s v="Exploring Infinities - Sales"/>
    <s v="SALES"/>
    <s v="Sales - India"/>
    <s v="Director 1"/>
    <s v="Bengaluru"/>
    <s v="WFH"/>
    <d v="2026-05-28T00:00:00"/>
    <m/>
    <s v="Active"/>
    <m/>
    <x v="2"/>
    <n v="33"/>
    <n v="0"/>
    <s v="05-2026"/>
    <s v=""/>
    <n v="0"/>
    <n v="0"/>
    <x v="0"/>
  </r>
  <r>
    <s v="EMP1428"/>
    <s v="Exploring Infinities - Sales"/>
    <s v="SALES"/>
    <s v="Sales - India"/>
    <s v="Director 1"/>
    <s v="Bengaluru"/>
    <s v="WFH"/>
    <d v="2026-05-28T00:00:00"/>
    <d v="2026-06-08T00:00:00"/>
    <s v="Relieved"/>
    <s v="Involuntary"/>
    <x v="7"/>
    <n v="11"/>
    <n v="1"/>
    <s v="05-2026"/>
    <s v="06-2026"/>
    <n v="0"/>
    <n v="1"/>
    <x v="0"/>
  </r>
  <r>
    <s v="EMP1433"/>
    <s v="Exploring Infinities - Sales"/>
    <s v="SALES"/>
    <s v="Sales - India"/>
    <s v="Director 1"/>
    <s v="Bengaluru"/>
    <s v="WFH"/>
    <d v="2026-05-28T00:00:00"/>
    <d v="2026-06-10T00:00:00"/>
    <s v="Relieved"/>
    <s v="Involuntary"/>
    <x v="6"/>
    <n v="13"/>
    <n v="1"/>
    <s v="05-2026"/>
    <s v="06-2026"/>
    <n v="0"/>
    <n v="1"/>
    <x v="0"/>
  </r>
  <r>
    <s v="EMP1450"/>
    <s v="Exploring Infinities - Sales"/>
    <s v="SALES"/>
    <s v="Sales - India"/>
    <s v="Director 1"/>
    <s v="Bengaluru"/>
    <s v="WFH"/>
    <d v="2026-05-28T00:00:00"/>
    <d v="2026-06-13T00:00:00"/>
    <s v="Relieved"/>
    <s v="Involuntary"/>
    <x v="9"/>
    <n v="16"/>
    <n v="1"/>
    <s v="05-2026"/>
    <s v="06-2026"/>
    <n v="0"/>
    <n v="1"/>
    <x v="0"/>
  </r>
  <r>
    <s v="EMP1243"/>
    <s v="Exploring Infinities - Sales"/>
    <s v="SALES"/>
    <s v="Sales - India"/>
    <s v="Director 1"/>
    <s v="Bengaluru"/>
    <s v="WFH"/>
    <d v="2025-04-29T00:00:00"/>
    <m/>
    <s v="Active"/>
    <m/>
    <x v="2"/>
    <n v="427"/>
    <n v="0"/>
    <s v="04-2025"/>
    <s v=""/>
    <n v="0"/>
    <n v="0"/>
    <x v="2"/>
  </r>
  <r>
    <s v="EMP1261"/>
    <s v="Exploring Infinities - Sales"/>
    <s v="SALES"/>
    <s v="Sales - India"/>
    <s v="Director 1"/>
    <s v="Bengaluru"/>
    <s v="WFH"/>
    <d v="2026-04-29T00:00:00"/>
    <d v="2026-04-29T00:00:00"/>
    <s v="Relieved"/>
    <s v="Voluntary"/>
    <x v="3"/>
    <n v="0"/>
    <n v="1"/>
    <s v="04-2026"/>
    <s v="04-2026"/>
    <n v="1"/>
    <n v="0"/>
    <x v="0"/>
  </r>
  <r>
    <s v="EMP1267"/>
    <s v="Exploring Infinities - Sales"/>
    <s v="SALES"/>
    <s v="Sales - India"/>
    <s v="Director 1"/>
    <s v="Bengaluru"/>
    <s v="WFH"/>
    <d v="2026-04-29T00:00:00"/>
    <d v="2026-06-13T00:00:00"/>
    <s v="Relieved"/>
    <s v="Involuntary"/>
    <x v="6"/>
    <n v="45"/>
    <n v="1"/>
    <s v="04-2026"/>
    <s v="06-2026"/>
    <n v="0"/>
    <n v="1"/>
    <x v="0"/>
  </r>
  <r>
    <s v="EMP1278"/>
    <s v="Exploring Infinities - Sales"/>
    <s v="SALES"/>
    <s v="Sales - India"/>
    <s v="Director 1"/>
    <s v="Bengaluru"/>
    <s v="WFH"/>
    <d v="2026-04-29T00:00:00"/>
    <m/>
    <s v="Active"/>
    <m/>
    <x v="2"/>
    <n v="62"/>
    <n v="0"/>
    <s v="04-2026"/>
    <s v=""/>
    <n v="0"/>
    <n v="0"/>
    <x v="0"/>
  </r>
  <r>
    <s v="EMP1287"/>
    <s v="Exploring Infinities - Sales"/>
    <s v="SALES"/>
    <s v="Sales - India"/>
    <s v="Director 1"/>
    <s v="Bengaluru"/>
    <s v="WFH"/>
    <d v="2026-04-29T00:00:00"/>
    <m/>
    <s v="Active"/>
    <m/>
    <x v="2"/>
    <n v="62"/>
    <n v="0"/>
    <s v="04-2026"/>
    <s v=""/>
    <n v="0"/>
    <n v="0"/>
    <x v="0"/>
  </r>
  <r>
    <s v="EMP1332"/>
    <s v="Exploring Infinities - Sales"/>
    <s v="SALES"/>
    <s v="Sales - India"/>
    <s v="Director 1"/>
    <s v="Bengaluru"/>
    <s v="WFH"/>
    <d v="2026-04-29T00:00:00"/>
    <m/>
    <s v="Active"/>
    <m/>
    <x v="2"/>
    <n v="62"/>
    <n v="0"/>
    <s v="04-2026"/>
    <s v=""/>
    <n v="0"/>
    <n v="0"/>
    <x v="0"/>
  </r>
  <r>
    <s v="EMP1158"/>
    <s v="Exploring Infinities - Sales"/>
    <s v="SALES"/>
    <s v="Sales - India"/>
    <s v="Director 1"/>
    <s v="Bengaluru"/>
    <s v="WFH"/>
    <d v="2026-01-29T00:00:00"/>
    <m/>
    <s v="Active"/>
    <m/>
    <x v="2"/>
    <n v="152"/>
    <n v="0"/>
    <s v="01-2026"/>
    <s v=""/>
    <n v="0"/>
    <n v="0"/>
    <x v="3"/>
  </r>
  <r>
    <s v="EMP1378"/>
    <s v="Exploring Infinities - Sales"/>
    <s v="SALES"/>
    <s v="Sales - India"/>
    <s v="Director 1"/>
    <s v="Bengaluru"/>
    <s v="WFH"/>
    <d v="2026-05-29T00:00:00"/>
    <m/>
    <s v="Active"/>
    <m/>
    <x v="2"/>
    <n v="32"/>
    <n v="0"/>
    <s v="05-2026"/>
    <s v=""/>
    <n v="0"/>
    <n v="0"/>
    <x v="0"/>
  </r>
  <r>
    <s v="EMP1426"/>
    <s v="Exploring Infinities - Sales"/>
    <s v="SALES"/>
    <s v="Sales - India"/>
    <s v="Director 1"/>
    <s v="Bengaluru"/>
    <s v="WFH"/>
    <d v="2026-05-29T00:00:00"/>
    <m/>
    <s v="Active"/>
    <m/>
    <x v="2"/>
    <n v="32"/>
    <n v="0"/>
    <s v="05-2026"/>
    <s v=""/>
    <n v="0"/>
    <n v="0"/>
    <x v="0"/>
  </r>
  <r>
    <s v="EMP1199"/>
    <s v="Exploring Infinities - Sales"/>
    <s v="SALES"/>
    <s v="Sales - India"/>
    <s v="Director 1"/>
    <s v="Bengaluru"/>
    <s v="WFH"/>
    <d v="2025-09-29T00:00:00"/>
    <m/>
    <s v="Active"/>
    <m/>
    <x v="2"/>
    <n v="274"/>
    <n v="0"/>
    <s v="09-2025"/>
    <s v=""/>
    <n v="0"/>
    <n v="0"/>
    <x v="1"/>
  </r>
  <r>
    <s v="EMP1305"/>
    <s v="Exploring Infinities - Sales"/>
    <s v="SALES"/>
    <s v="Sales - India"/>
    <s v="Director 1"/>
    <s v="Bengaluru"/>
    <s v="WFH"/>
    <d v="2026-04-30T00:00:00"/>
    <d v="2026-04-30T00:00:00"/>
    <s v="Relieved"/>
    <s v="Voluntary"/>
    <x v="8"/>
    <n v="0"/>
    <n v="1"/>
    <s v="04-2026"/>
    <s v="04-2026"/>
    <n v="1"/>
    <n v="0"/>
    <x v="0"/>
  </r>
  <r>
    <s v="EMP1310"/>
    <s v="Exploring Infinities - Sales"/>
    <s v="SALES"/>
    <s v="Sales - India"/>
    <s v="Director 1"/>
    <s v="Bengaluru"/>
    <s v="WFH"/>
    <d v="2026-04-30T00:00:00"/>
    <m/>
    <s v="Active"/>
    <m/>
    <x v="2"/>
    <n v="61"/>
    <n v="0"/>
    <s v="04-2026"/>
    <s v=""/>
    <n v="0"/>
    <n v="0"/>
    <x v="0"/>
  </r>
  <r>
    <s v="EMP1178"/>
    <s v="Exploring Infinities - Sales"/>
    <s v="SALES"/>
    <s v="Sales - India"/>
    <s v="Director 1"/>
    <s v="Bengaluru"/>
    <s v="WFH"/>
    <d v="2026-01-30T00:00:00"/>
    <m/>
    <s v="Active"/>
    <m/>
    <x v="2"/>
    <n v="151"/>
    <n v="0"/>
    <s v="01-2026"/>
    <s v=""/>
    <n v="0"/>
    <n v="0"/>
    <x v="3"/>
  </r>
  <r>
    <s v="EMP1472"/>
    <s v="Exploring Infinities - Sales"/>
    <s v="SALES"/>
    <s v="Sales - India"/>
    <s v="Director 1"/>
    <s v="Bengaluru"/>
    <s v="WFH"/>
    <d v="2026-06-30T00:00:00"/>
    <m/>
    <s v="Active"/>
    <m/>
    <x v="2"/>
    <n v="0"/>
    <n v="0"/>
    <s v="06-2026"/>
    <s v=""/>
    <n v="0"/>
    <n v="0"/>
    <x v="0"/>
  </r>
  <r>
    <s v="EMP1511"/>
    <s v="Exploring Infinities - Sales"/>
    <s v="SALES"/>
    <s v="Sales - India"/>
    <s v="Director 1"/>
    <s v="Bengaluru"/>
    <s v="WFH"/>
    <d v="2026-06-30T00:00:00"/>
    <d v="2026-06-30T00:00:00"/>
    <s v="Relieved"/>
    <s v="Voluntary"/>
    <x v="0"/>
    <n v="0"/>
    <n v="1"/>
    <s v="06-2026"/>
    <s v="06-2026"/>
    <n v="1"/>
    <n v="0"/>
    <x v="0"/>
  </r>
  <r>
    <s v="EMP1522"/>
    <s v="Exploring Infinities - Sales"/>
    <s v="SALES"/>
    <s v="Sales - India"/>
    <s v="Director 1"/>
    <s v="Bengaluru"/>
    <s v="WFH"/>
    <d v="2026-06-30T00:00:00"/>
    <m/>
    <s v="Active"/>
    <m/>
    <x v="2"/>
    <n v="0"/>
    <n v="0"/>
    <s v="06-2026"/>
    <s v=""/>
    <n v="0"/>
    <n v="0"/>
    <x v="0"/>
  </r>
  <r>
    <s v="EMP1162"/>
    <s v="Exploring Infinities - Sales"/>
    <s v="SALES"/>
    <s v="Sales - India"/>
    <s v="Director 1"/>
    <s v="Bengaluru"/>
    <s v="WFH"/>
    <d v="2026-03-30T00:00:00"/>
    <d v="2026-04-13T00:00:00"/>
    <s v="Relieved"/>
    <s v="Voluntary"/>
    <x v="0"/>
    <n v="14"/>
    <n v="1"/>
    <s v="03-2026"/>
    <s v="04-2026"/>
    <n v="1"/>
    <n v="0"/>
    <x v="0"/>
  </r>
  <r>
    <s v="EMP1179"/>
    <s v="Exploring Infinities - Sales"/>
    <s v="SALES"/>
    <s v="Sales - India"/>
    <s v="Director 1"/>
    <s v="Bengaluru"/>
    <s v="WFH"/>
    <d v="2026-03-30T00:00:00"/>
    <m/>
    <s v="Active"/>
    <m/>
    <x v="2"/>
    <n v="92"/>
    <n v="0"/>
    <s v="03-2026"/>
    <s v=""/>
    <n v="0"/>
    <n v="0"/>
    <x v="3"/>
  </r>
  <r>
    <s v="EMP1375"/>
    <s v="Exploring Infinities - Sales"/>
    <s v="SALES"/>
    <s v="Sales - India"/>
    <s v="Director 1"/>
    <s v="Bengaluru"/>
    <s v="WFH"/>
    <d v="2026-05-30T00:00:00"/>
    <d v="2026-05-30T00:00:00"/>
    <s v="Relieved"/>
    <s v="Voluntary"/>
    <x v="8"/>
    <n v="0"/>
    <n v="1"/>
    <s v="05-2026"/>
    <s v="05-2026"/>
    <n v="1"/>
    <n v="0"/>
    <x v="0"/>
  </r>
  <r>
    <s v="EMP1397"/>
    <s v="Exploring Infinities - Sales"/>
    <s v="SALES"/>
    <s v="Sales - India"/>
    <s v="Director 1"/>
    <s v="Bengaluru"/>
    <s v="WFH"/>
    <d v="2026-05-30T00:00:00"/>
    <d v="2026-05-30T00:00:00"/>
    <s v="Relieved"/>
    <s v="Voluntary"/>
    <x v="4"/>
    <n v="0"/>
    <n v="1"/>
    <s v="05-2026"/>
    <s v="05-2026"/>
    <n v="1"/>
    <n v="0"/>
    <x v="0"/>
  </r>
  <r>
    <s v="EMP1406"/>
    <s v="Exploring Infinities - Sales"/>
    <s v="SALES"/>
    <s v="Sales - India"/>
    <s v="Director 1"/>
    <s v="Bengaluru"/>
    <s v="WFH"/>
    <d v="2026-05-30T00:00:00"/>
    <m/>
    <s v="Active"/>
    <m/>
    <x v="2"/>
    <n v="31"/>
    <n v="0"/>
    <s v="05-2026"/>
    <s v=""/>
    <n v="0"/>
    <n v="0"/>
    <x v="0"/>
  </r>
  <r>
    <s v="EMP1422"/>
    <s v="Exploring Infinities - Sales"/>
    <s v="SALES"/>
    <s v="Sales - India"/>
    <s v="Director 1"/>
    <s v="Bengaluru"/>
    <s v="WFH"/>
    <d v="2026-05-30T00:00:00"/>
    <d v="2026-05-30T00:00:00"/>
    <s v="Relieved"/>
    <s v="Voluntary"/>
    <x v="4"/>
    <n v="0"/>
    <n v="1"/>
    <s v="05-2026"/>
    <s v="05-2026"/>
    <n v="1"/>
    <n v="0"/>
    <x v="0"/>
  </r>
  <r>
    <s v="EMP1436"/>
    <s v="Exploring Infinities - Sales"/>
    <s v="SALES"/>
    <s v="Sales - India"/>
    <s v="Director 1"/>
    <s v="Bengaluru"/>
    <s v="WFH"/>
    <d v="2026-05-30T00:00:00"/>
    <d v="2026-05-30T00:00:00"/>
    <s v="Relieved"/>
    <s v="Voluntary"/>
    <x v="8"/>
    <n v="0"/>
    <n v="1"/>
    <s v="05-2026"/>
    <s v="05-2026"/>
    <n v="1"/>
    <n v="0"/>
    <x v="0"/>
  </r>
  <r>
    <s v="EMP1400"/>
    <s v="Exploring Infinities - Sales"/>
    <s v="SALES"/>
    <s v="Sales - India"/>
    <s v="Director 1"/>
    <s v="Bengaluru"/>
    <s v="WFH"/>
    <d v="2026-05-31T00:00:00"/>
    <d v="2026-05-31T00:00:00"/>
    <s v="Relieved"/>
    <s v="Voluntary"/>
    <x v="5"/>
    <n v="0"/>
    <n v="1"/>
    <s v="05-2026"/>
    <s v="05-2026"/>
    <n v="1"/>
    <n v="0"/>
    <x v="0"/>
  </r>
  <r>
    <s v="EMP1138"/>
    <s v="Exploring Infinities - Sales"/>
    <s v="SALES"/>
    <s v="Sales - India"/>
    <s v="Director 1"/>
    <s v="Bengaluru"/>
    <s v="WFO"/>
    <d v="2026-06-01T00:00:00"/>
    <m/>
    <s v="Active"/>
    <m/>
    <x v="2"/>
    <n v="29"/>
    <n v="0"/>
    <s v="06-2026"/>
    <s v=""/>
    <n v="0"/>
    <n v="0"/>
    <x v="0"/>
  </r>
  <r>
    <s v="EMP1069"/>
    <s v="Exploring Infinities - Sales"/>
    <s v="SALES"/>
    <s v="Sales - India"/>
    <s v="Director 1"/>
    <s v="Bengaluru"/>
    <s v="WFO"/>
    <d v="2026-03-01T00:00:00"/>
    <m/>
    <s v="Active"/>
    <m/>
    <x v="2"/>
    <n v="121"/>
    <n v="0"/>
    <s v="03-2026"/>
    <s v=""/>
    <n v="0"/>
    <n v="0"/>
    <x v="3"/>
  </r>
  <r>
    <s v="EMP1079"/>
    <s v="Exploring Infinities - Sales"/>
    <s v="SALES"/>
    <s v="Sales - India"/>
    <s v="Director 1"/>
    <s v="Bengaluru"/>
    <s v="WFO"/>
    <d v="2026-04-02T00:00:00"/>
    <d v="2026-04-14T00:00:00"/>
    <s v="Relieved"/>
    <s v="Voluntary"/>
    <x v="5"/>
    <n v="12"/>
    <n v="1"/>
    <s v="04-2026"/>
    <s v="04-2026"/>
    <n v="1"/>
    <n v="0"/>
    <x v="0"/>
  </r>
  <r>
    <s v="EMP1027"/>
    <s v="Exploring Infinities - Sales"/>
    <s v="SALES"/>
    <s v="Sales - India"/>
    <s v="Director 1"/>
    <s v="Bengaluru"/>
    <s v="WFO"/>
    <d v="2026-01-02T00:00:00"/>
    <d v="2026-04-29T00:00:00"/>
    <s v="Relieved"/>
    <s v="Involuntary"/>
    <x v="9"/>
    <n v="117"/>
    <n v="1"/>
    <s v="01-2026"/>
    <s v="04-2026"/>
    <n v="0"/>
    <n v="1"/>
    <x v="3"/>
  </r>
  <r>
    <s v="EMP1146"/>
    <s v="Exploring Infinities - Sales"/>
    <s v="SALES"/>
    <s v="Sales - India"/>
    <s v="Director 1"/>
    <s v="Bengaluru"/>
    <s v="WFO"/>
    <d v="2026-06-02T00:00:00"/>
    <m/>
    <s v="Active"/>
    <m/>
    <x v="2"/>
    <n v="28"/>
    <n v="0"/>
    <s v="06-2026"/>
    <s v=""/>
    <n v="0"/>
    <n v="0"/>
    <x v="0"/>
  </r>
  <r>
    <s v="EMP1154"/>
    <s v="Exploring Infinities - Sales"/>
    <s v="SALES"/>
    <s v="Sales - India"/>
    <s v="Director 1"/>
    <s v="Bengaluru"/>
    <s v="WFO"/>
    <d v="2026-06-02T00:00:00"/>
    <d v="2026-06-22T00:00:00"/>
    <s v="Relieved"/>
    <s v="Voluntary"/>
    <x v="10"/>
    <n v="20"/>
    <n v="1"/>
    <s v="06-2026"/>
    <s v="06-2026"/>
    <n v="1"/>
    <n v="0"/>
    <x v="0"/>
  </r>
  <r>
    <s v="EMP1063"/>
    <s v="Exploring Infinities - Sales"/>
    <s v="SALES"/>
    <s v="Sales - India"/>
    <s v="Director 1"/>
    <s v="Bengaluru"/>
    <s v="WFO"/>
    <d v="2025-10-02T00:00:00"/>
    <d v="2026-04-23T00:00:00"/>
    <s v="Relieved"/>
    <s v="Voluntary"/>
    <x v="5"/>
    <n v="203"/>
    <n v="1"/>
    <s v="10-2025"/>
    <s v="04-2026"/>
    <n v="1"/>
    <n v="0"/>
    <x v="1"/>
  </r>
  <r>
    <s v="EMP1078"/>
    <s v="Exploring Infinities - Sales"/>
    <s v="SALES"/>
    <s v="Sales - India"/>
    <s v="Director 1"/>
    <s v="Bengaluru"/>
    <s v="WFO"/>
    <d v="2026-04-03T00:00:00"/>
    <m/>
    <s v="Active"/>
    <m/>
    <x v="2"/>
    <n v="88"/>
    <n v="0"/>
    <s v="04-2026"/>
    <s v=""/>
    <n v="0"/>
    <n v="0"/>
    <x v="0"/>
  </r>
  <r>
    <s v="EMP1084"/>
    <s v="Exploring Infinities - Sales"/>
    <s v="SALES"/>
    <s v="Sales - India"/>
    <s v="Director 1"/>
    <s v="Bengaluru"/>
    <s v="WFO"/>
    <d v="2026-04-03T00:00:00"/>
    <m/>
    <s v="Active"/>
    <m/>
    <x v="2"/>
    <n v="88"/>
    <n v="0"/>
    <s v="04-2026"/>
    <s v=""/>
    <n v="0"/>
    <n v="0"/>
    <x v="0"/>
  </r>
  <r>
    <s v="EMP1031"/>
    <s v="Exploring Infinities - Sales"/>
    <s v="SALES"/>
    <s v="Sales - India"/>
    <s v="Director 1"/>
    <s v="Bengaluru"/>
    <s v="WFO"/>
    <d v="2025-08-03T00:00:00"/>
    <d v="2026-05-03T00:00:00"/>
    <s v="Relieved"/>
    <s v="Involuntary"/>
    <x v="6"/>
    <n v="273"/>
    <n v="1"/>
    <s v="08-2025"/>
    <s v="05-2026"/>
    <n v="0"/>
    <n v="1"/>
    <x v="1"/>
  </r>
  <r>
    <s v="EMP1054"/>
    <s v="Exploring Infinities - Sales"/>
    <s v="SALES"/>
    <s v="Sales - India"/>
    <s v="Director 1"/>
    <s v="Bengaluru"/>
    <s v="WFO"/>
    <d v="2025-07-03T00:00:00"/>
    <d v="2026-04-08T00:00:00"/>
    <s v="Relieved"/>
    <s v="Involuntary"/>
    <x v="9"/>
    <n v="279"/>
    <n v="1"/>
    <s v="07-2025"/>
    <s v="04-2026"/>
    <n v="0"/>
    <n v="1"/>
    <x v="1"/>
  </r>
  <r>
    <s v="EMP1140"/>
    <s v="Exploring Infinities - Sales"/>
    <s v="SALES"/>
    <s v="Sales - India"/>
    <s v="Director 1"/>
    <s v="Bengaluru"/>
    <s v="WFO"/>
    <d v="2026-06-03T00:00:00"/>
    <m/>
    <s v="Active"/>
    <m/>
    <x v="2"/>
    <n v="27"/>
    <n v="0"/>
    <s v="06-2026"/>
    <s v=""/>
    <n v="0"/>
    <n v="0"/>
    <x v="0"/>
  </r>
  <r>
    <s v="EMP1101"/>
    <s v="Exploring Infinities - Sales"/>
    <s v="SALES"/>
    <s v="Sales - India"/>
    <s v="Director 1"/>
    <s v="Bengaluru"/>
    <s v="WFO"/>
    <d v="2026-05-03T00:00:00"/>
    <d v="2026-05-29T00:00:00"/>
    <s v="Relieved"/>
    <s v="Voluntary"/>
    <x v="8"/>
    <n v="26"/>
    <n v="1"/>
    <s v="05-2026"/>
    <s v="05-2026"/>
    <n v="1"/>
    <n v="0"/>
    <x v="0"/>
  </r>
  <r>
    <s v="EMP1088"/>
    <s v="Exploring Infinities - Sales"/>
    <s v="SALES"/>
    <s v="Sales - India"/>
    <s v="Director 1"/>
    <s v="Bengaluru"/>
    <s v="WFO"/>
    <d v="2026-04-04T00:00:00"/>
    <d v="2026-05-24T00:00:00"/>
    <s v="Relieved"/>
    <s v="Involuntary"/>
    <x v="1"/>
    <n v="50"/>
    <n v="1"/>
    <s v="04-2026"/>
    <s v="05-2026"/>
    <n v="0"/>
    <n v="1"/>
    <x v="0"/>
  </r>
  <r>
    <s v="EMP1038"/>
    <s v="Exploring Infinities - Sales"/>
    <s v="SALES"/>
    <s v="Sales - India"/>
    <s v="Director 1"/>
    <s v="Bengaluru"/>
    <s v="WFO"/>
    <d v="2025-01-04T00:00:00"/>
    <m/>
    <s v="Active"/>
    <m/>
    <x v="2"/>
    <n v="542"/>
    <n v="0"/>
    <s v="01-2025"/>
    <s v=""/>
    <n v="0"/>
    <n v="0"/>
    <x v="2"/>
  </r>
  <r>
    <s v="EMP1139"/>
    <s v="Exploring Infinities - Sales"/>
    <s v="SALES"/>
    <s v="Sales - India"/>
    <s v="Director 1"/>
    <s v="Bengaluru"/>
    <s v="WFO"/>
    <d v="2026-06-04T00:00:00"/>
    <m/>
    <s v="Active"/>
    <m/>
    <x v="2"/>
    <n v="26"/>
    <n v="0"/>
    <s v="06-2026"/>
    <s v=""/>
    <n v="0"/>
    <n v="0"/>
    <x v="0"/>
  </r>
  <r>
    <s v="EMP1122"/>
    <s v="Exploring Infinities - Sales"/>
    <s v="SALES"/>
    <s v="Sales - India"/>
    <s v="Director 1"/>
    <s v="Bengaluru"/>
    <s v="WFO"/>
    <d v="2026-05-04T00:00:00"/>
    <m/>
    <s v="Active"/>
    <m/>
    <x v="2"/>
    <n v="57"/>
    <n v="0"/>
    <s v="05-2026"/>
    <s v=""/>
    <n v="0"/>
    <n v="0"/>
    <x v="0"/>
  </r>
  <r>
    <s v="EMP1123"/>
    <s v="Exploring Infinities - Sales"/>
    <s v="SALES"/>
    <s v="Sales - India"/>
    <s v="Director 1"/>
    <s v="Bengaluru"/>
    <s v="WFO"/>
    <d v="2026-05-04T00:00:00"/>
    <d v="2026-05-15T00:00:00"/>
    <s v="Relieved"/>
    <s v="Voluntary"/>
    <x v="0"/>
    <n v="11"/>
    <n v="1"/>
    <s v="05-2026"/>
    <s v="05-2026"/>
    <n v="1"/>
    <n v="0"/>
    <x v="0"/>
  </r>
  <r>
    <s v="EMP1016"/>
    <s v="Exploring Infinities - Sales"/>
    <s v="SALES"/>
    <s v="Sales - India"/>
    <s v="Director 1"/>
    <s v="Bengaluru"/>
    <s v="WFO"/>
    <d v="2025-08-05T00:00:00"/>
    <d v="2026-06-05T00:00:00"/>
    <s v="Relieved"/>
    <s v="Involuntary"/>
    <x v="9"/>
    <n v="304"/>
    <n v="1"/>
    <s v="08-2025"/>
    <s v="06-2026"/>
    <n v="0"/>
    <n v="1"/>
    <x v="1"/>
  </r>
  <r>
    <s v="EMP1043"/>
    <s v="Exploring Infinities - Sales"/>
    <s v="SALES"/>
    <s v="Sales - India"/>
    <s v="Director 1"/>
    <s v="Bengaluru"/>
    <s v="WFO"/>
    <d v="2025-08-05T00:00:00"/>
    <d v="2026-05-09T00:00:00"/>
    <s v="Relieved"/>
    <s v="Involuntary"/>
    <x v="9"/>
    <n v="277"/>
    <n v="1"/>
    <s v="08-2025"/>
    <s v="05-2026"/>
    <n v="0"/>
    <n v="1"/>
    <x v="1"/>
  </r>
  <r>
    <s v="EMP1074"/>
    <s v="Exploring Infinities - Sales"/>
    <s v="SALES"/>
    <s v="Sales - India"/>
    <s v="Director 1"/>
    <s v="Bengaluru"/>
    <s v="WFO"/>
    <d v="2025-07-05T00:00:00"/>
    <d v="2026-06-26T00:00:00"/>
    <s v="Relieved"/>
    <s v="Involuntary"/>
    <x v="1"/>
    <n v="356"/>
    <n v="1"/>
    <s v="07-2025"/>
    <s v="06-2026"/>
    <n v="0"/>
    <n v="1"/>
    <x v="1"/>
  </r>
  <r>
    <s v="EMP1144"/>
    <s v="Exploring Infinities - Sales"/>
    <s v="SALES"/>
    <s v="Sales - India"/>
    <s v="Director 1"/>
    <s v="Bengaluru"/>
    <s v="WFO"/>
    <d v="2026-06-05T00:00:00"/>
    <d v="2026-06-07T00:00:00"/>
    <s v="Relieved"/>
    <s v="Voluntary"/>
    <x v="10"/>
    <n v="2"/>
    <n v="1"/>
    <s v="06-2026"/>
    <s v="06-2026"/>
    <n v="1"/>
    <n v="0"/>
    <x v="0"/>
  </r>
  <r>
    <s v="EMP1151"/>
    <s v="Exploring Infinities - Sales"/>
    <s v="SALES"/>
    <s v="Sales - India"/>
    <s v="Director 1"/>
    <s v="Bengaluru"/>
    <s v="WFO"/>
    <d v="2026-06-05T00:00:00"/>
    <m/>
    <s v="Active"/>
    <m/>
    <x v="2"/>
    <n v="25"/>
    <n v="0"/>
    <s v="06-2026"/>
    <s v=""/>
    <n v="0"/>
    <n v="0"/>
    <x v="0"/>
  </r>
  <r>
    <s v="EMP1153"/>
    <s v="Exploring Infinities - Sales"/>
    <s v="SALES"/>
    <s v="Sales - India"/>
    <s v="Director 1"/>
    <s v="Bengaluru"/>
    <s v="WFO"/>
    <d v="2026-06-05T00:00:00"/>
    <d v="2026-06-23T00:00:00"/>
    <s v="Relieved"/>
    <s v="Voluntary"/>
    <x v="0"/>
    <n v="18"/>
    <n v="1"/>
    <s v="06-2026"/>
    <s v="06-2026"/>
    <n v="1"/>
    <n v="0"/>
    <x v="0"/>
  </r>
  <r>
    <s v="EMP1064"/>
    <s v="Exploring Infinities - Sales"/>
    <s v="SALES"/>
    <s v="Sales - India"/>
    <s v="Director 1"/>
    <s v="Bengaluru"/>
    <s v="WFO"/>
    <d v="2025-03-05T00:00:00"/>
    <d v="2026-06-11T00:00:00"/>
    <s v="Relieved"/>
    <s v="Voluntary"/>
    <x v="10"/>
    <n v="463"/>
    <n v="1"/>
    <s v="03-2025"/>
    <s v="06-2026"/>
    <n v="1"/>
    <n v="0"/>
    <x v="2"/>
  </r>
  <r>
    <s v="EMP1109"/>
    <s v="Exploring Infinities - Sales"/>
    <s v="SALES"/>
    <s v="Sales - India"/>
    <s v="Director 1"/>
    <s v="Bengaluru"/>
    <s v="WFO"/>
    <d v="2026-05-05T00:00:00"/>
    <d v="2026-05-20T00:00:00"/>
    <s v="Relieved"/>
    <s v="Involuntary"/>
    <x v="9"/>
    <n v="15"/>
    <n v="1"/>
    <s v="05-2026"/>
    <s v="05-2026"/>
    <n v="0"/>
    <n v="1"/>
    <x v="0"/>
  </r>
  <r>
    <s v="EMP1023"/>
    <s v="Exploring Infinities - Sales"/>
    <s v="SALES"/>
    <s v="Sales - India"/>
    <s v="Director 1"/>
    <s v="Bengaluru"/>
    <s v="WFO"/>
    <d v="2025-11-05T00:00:00"/>
    <d v="2026-04-11T00:00:00"/>
    <s v="Relieved"/>
    <s v="Involuntary"/>
    <x v="9"/>
    <n v="157"/>
    <n v="1"/>
    <s v="11-2025"/>
    <s v="04-2026"/>
    <n v="0"/>
    <n v="1"/>
    <x v="3"/>
  </r>
  <r>
    <s v="EMP1095"/>
    <s v="Exploring Infinities - Sales"/>
    <s v="SALES"/>
    <s v="Sales - India"/>
    <s v="Director 1"/>
    <s v="Bengaluru"/>
    <s v="WFO"/>
    <d v="2026-04-06T00:00:00"/>
    <d v="2026-04-30T00:00:00"/>
    <s v="Relieved"/>
    <s v="Voluntary"/>
    <x v="4"/>
    <n v="24"/>
    <n v="1"/>
    <s v="04-2026"/>
    <s v="04-2026"/>
    <n v="1"/>
    <n v="0"/>
    <x v="0"/>
  </r>
  <r>
    <s v="EMP1131"/>
    <s v="Exploring Infinities - Sales"/>
    <s v="SALES"/>
    <s v="Sales - India"/>
    <s v="Director 1"/>
    <s v="Bengaluru"/>
    <s v="WFO"/>
    <d v="2026-06-06T00:00:00"/>
    <d v="2026-06-10T00:00:00"/>
    <s v="Relieved"/>
    <s v="Voluntary"/>
    <x v="0"/>
    <n v="4"/>
    <n v="1"/>
    <s v="06-2026"/>
    <s v="06-2026"/>
    <n v="1"/>
    <n v="0"/>
    <x v="0"/>
  </r>
  <r>
    <s v="EMP1006"/>
    <s v="Exploring Infinities - Sales"/>
    <s v="SALES"/>
    <s v="Sales - India"/>
    <s v="Director 1"/>
    <s v="Bengaluru"/>
    <s v="WFO"/>
    <d v="2025-05-06T00:00:00"/>
    <m/>
    <s v="Active"/>
    <m/>
    <x v="2"/>
    <n v="420"/>
    <n v="0"/>
    <s v="05-2025"/>
    <s v=""/>
    <n v="0"/>
    <n v="0"/>
    <x v="2"/>
  </r>
  <r>
    <s v="EMP1057"/>
    <s v="Exploring Infinities - Sales"/>
    <s v="SALES"/>
    <s v="Sales - India"/>
    <s v="Director 1"/>
    <s v="Bengaluru"/>
    <s v="WFO"/>
    <d v="2025-11-06T00:00:00"/>
    <d v="2026-06-22T00:00:00"/>
    <s v="Relieved"/>
    <s v="Voluntary"/>
    <x v="5"/>
    <n v="228"/>
    <n v="1"/>
    <s v="11-2025"/>
    <s v="06-2026"/>
    <n v="1"/>
    <n v="0"/>
    <x v="1"/>
  </r>
  <r>
    <s v="EMP1076"/>
    <s v="Exploring Infinities - Sales"/>
    <s v="SALES"/>
    <s v="Sales - India"/>
    <s v="Director 1"/>
    <s v="Bengaluru"/>
    <s v="WFO"/>
    <d v="2026-04-07T00:00:00"/>
    <m/>
    <s v="Active"/>
    <m/>
    <x v="2"/>
    <n v="84"/>
    <n v="0"/>
    <s v="04-2026"/>
    <s v=""/>
    <n v="0"/>
    <n v="0"/>
    <x v="0"/>
  </r>
  <r>
    <s v="EMP1098"/>
    <s v="Exploring Infinities - Sales"/>
    <s v="SALES"/>
    <s v="Sales - India"/>
    <s v="Director 1"/>
    <s v="Bengaluru"/>
    <s v="WFO"/>
    <d v="2026-04-07T00:00:00"/>
    <d v="2026-04-27T00:00:00"/>
    <s v="Relieved"/>
    <s v="Voluntary"/>
    <x v="8"/>
    <n v="20"/>
    <n v="1"/>
    <s v="04-2026"/>
    <s v="04-2026"/>
    <n v="1"/>
    <n v="0"/>
    <x v="0"/>
  </r>
  <r>
    <s v="EMP1107"/>
    <s v="Exploring Infinities - Sales"/>
    <s v="SALES"/>
    <s v="Sales - India"/>
    <s v="Director 1"/>
    <s v="Bengaluru"/>
    <s v="WFO"/>
    <d v="2026-05-07T00:00:00"/>
    <d v="2026-05-27T00:00:00"/>
    <s v="Relieved"/>
    <s v="Involuntary"/>
    <x v="7"/>
    <n v="20"/>
    <n v="1"/>
    <s v="05-2026"/>
    <s v="05-2026"/>
    <n v="0"/>
    <n v="1"/>
    <x v="0"/>
  </r>
  <r>
    <s v="EMP1121"/>
    <s v="Exploring Infinities - Sales"/>
    <s v="SALES"/>
    <s v="Sales - India"/>
    <s v="Director 1"/>
    <s v="Bengaluru"/>
    <s v="WFO"/>
    <d v="2026-05-07T00:00:00"/>
    <d v="2026-05-07T00:00:00"/>
    <s v="Relieved"/>
    <s v="Voluntary"/>
    <x v="8"/>
    <n v="0"/>
    <n v="1"/>
    <s v="05-2026"/>
    <s v="05-2026"/>
    <n v="1"/>
    <n v="0"/>
    <x v="0"/>
  </r>
  <r>
    <s v="EMP1013"/>
    <s v="Exploring Infinities - Sales"/>
    <s v="SALES"/>
    <s v="Sales - India"/>
    <s v="Director 1"/>
    <s v="Bengaluru"/>
    <s v="WFO"/>
    <d v="2025-10-07T00:00:00"/>
    <d v="2026-04-19T00:00:00"/>
    <s v="Relieved"/>
    <s v="Involuntary"/>
    <x v="1"/>
    <n v="194"/>
    <n v="1"/>
    <s v="10-2025"/>
    <s v="04-2026"/>
    <n v="0"/>
    <n v="1"/>
    <x v="1"/>
  </r>
  <r>
    <s v="EMP1030"/>
    <s v="Exploring Infinities - Sales"/>
    <s v="SALES"/>
    <s v="Sales - India"/>
    <s v="Director 1"/>
    <s v="Bengaluru"/>
    <s v="WFO"/>
    <d v="2025-10-07T00:00:00"/>
    <m/>
    <s v="Active"/>
    <m/>
    <x v="2"/>
    <n v="266"/>
    <n v="0"/>
    <s v="10-2025"/>
    <s v=""/>
    <n v="0"/>
    <n v="0"/>
    <x v="1"/>
  </r>
  <r>
    <s v="EMP1081"/>
    <s v="Exploring Infinities - Sales"/>
    <s v="SALES"/>
    <s v="Sales - India"/>
    <s v="Director 1"/>
    <s v="Bengaluru"/>
    <s v="WFO"/>
    <d v="2026-04-08T00:00:00"/>
    <d v="2026-04-29T00:00:00"/>
    <s v="Relieved"/>
    <s v="Voluntary"/>
    <x v="4"/>
    <n v="21"/>
    <n v="1"/>
    <s v="04-2026"/>
    <s v="04-2026"/>
    <n v="1"/>
    <n v="0"/>
    <x v="0"/>
  </r>
  <r>
    <s v="EMP1086"/>
    <s v="Exploring Infinities - Sales"/>
    <s v="SALES"/>
    <s v="Sales - India"/>
    <s v="Director 1"/>
    <s v="Bengaluru"/>
    <s v="WFO"/>
    <d v="2026-04-08T00:00:00"/>
    <m/>
    <s v="Active"/>
    <m/>
    <x v="2"/>
    <n v="83"/>
    <n v="0"/>
    <s v="04-2026"/>
    <s v=""/>
    <n v="0"/>
    <n v="0"/>
    <x v="0"/>
  </r>
  <r>
    <s v="EMP1103"/>
    <s v="Exploring Infinities - Sales"/>
    <s v="SALES"/>
    <s v="Sales - India"/>
    <s v="Director 1"/>
    <s v="Bengaluru"/>
    <s v="WFO"/>
    <d v="2026-05-08T00:00:00"/>
    <d v="2026-05-12T00:00:00"/>
    <s v="Relieved"/>
    <s v="Voluntary"/>
    <x v="0"/>
    <n v="4"/>
    <n v="1"/>
    <s v="05-2026"/>
    <s v="05-2026"/>
    <n v="1"/>
    <n v="0"/>
    <x v="0"/>
  </r>
  <r>
    <s v="EMP1116"/>
    <s v="Exploring Infinities - Sales"/>
    <s v="SALES"/>
    <s v="Sales - India"/>
    <s v="Director 1"/>
    <s v="Bengaluru"/>
    <s v="WFO"/>
    <d v="2026-05-08T00:00:00"/>
    <m/>
    <s v="Active"/>
    <m/>
    <x v="2"/>
    <n v="53"/>
    <n v="0"/>
    <s v="05-2026"/>
    <s v=""/>
    <n v="0"/>
    <n v="0"/>
    <x v="0"/>
  </r>
  <r>
    <s v="EMP1090"/>
    <s v="Exploring Infinities - Sales"/>
    <s v="SALES"/>
    <s v="Sales - India"/>
    <s v="Director 1"/>
    <s v="Bengaluru"/>
    <s v="WFO"/>
    <d v="2026-04-09T00:00:00"/>
    <d v="2026-06-02T00:00:00"/>
    <s v="Relieved"/>
    <s v="Involuntary"/>
    <x v="1"/>
    <n v="54"/>
    <n v="1"/>
    <s v="04-2026"/>
    <s v="06-2026"/>
    <n v="0"/>
    <n v="1"/>
    <x v="0"/>
  </r>
  <r>
    <s v="EMP1061"/>
    <s v="Exploring Infinities - Sales"/>
    <s v="SALES"/>
    <s v="Sales - India"/>
    <s v="Director 1"/>
    <s v="Bengaluru"/>
    <s v="WFO"/>
    <d v="2026-01-09T00:00:00"/>
    <m/>
    <s v="Active"/>
    <m/>
    <x v="2"/>
    <n v="172"/>
    <n v="0"/>
    <s v="01-2026"/>
    <s v=""/>
    <n v="0"/>
    <n v="0"/>
    <x v="3"/>
  </r>
  <r>
    <s v="EMP1130"/>
    <s v="Exploring Infinities - Sales"/>
    <s v="SALES"/>
    <s v="Sales - India"/>
    <s v="Director 1"/>
    <s v="Bengaluru"/>
    <s v="WFO"/>
    <d v="2026-06-09T00:00:00"/>
    <d v="2026-06-29T00:00:00"/>
    <s v="Relieved"/>
    <s v="Voluntary"/>
    <x v="5"/>
    <n v="20"/>
    <n v="1"/>
    <s v="06-2026"/>
    <s v="06-2026"/>
    <n v="1"/>
    <n v="0"/>
    <x v="0"/>
  </r>
  <r>
    <s v="EMP1104"/>
    <s v="Exploring Infinities - Sales"/>
    <s v="SALES"/>
    <s v="Sales - India"/>
    <s v="Director 1"/>
    <s v="Bengaluru"/>
    <s v="WFO"/>
    <d v="2026-05-09T00:00:00"/>
    <d v="2026-05-21T00:00:00"/>
    <s v="Relieved"/>
    <s v="Voluntary"/>
    <x v="0"/>
    <n v="12"/>
    <n v="1"/>
    <s v="05-2026"/>
    <s v="05-2026"/>
    <n v="1"/>
    <n v="0"/>
    <x v="0"/>
  </r>
  <r>
    <s v="EMP1083"/>
    <s v="Exploring Infinities - Sales"/>
    <s v="SALES"/>
    <s v="Sales - India"/>
    <s v="Director 1"/>
    <s v="Bengaluru"/>
    <s v="WFO"/>
    <d v="2026-04-10T00:00:00"/>
    <m/>
    <s v="Active"/>
    <m/>
    <x v="2"/>
    <n v="81"/>
    <n v="0"/>
    <s v="04-2026"/>
    <s v=""/>
    <n v="0"/>
    <n v="0"/>
    <x v="0"/>
  </r>
  <r>
    <s v="EMP1066"/>
    <s v="Exploring Infinities - Sales"/>
    <s v="SALES"/>
    <s v="Sales - India"/>
    <s v="Director 1"/>
    <s v="Bengaluru"/>
    <s v="WFO"/>
    <d v="2025-02-10T00:00:00"/>
    <d v="2026-04-04T00:00:00"/>
    <s v="Relieved"/>
    <s v="Involuntary"/>
    <x v="1"/>
    <n v="418"/>
    <n v="1"/>
    <s v="02-2025"/>
    <s v="04-2026"/>
    <n v="0"/>
    <n v="1"/>
    <x v="2"/>
  </r>
  <r>
    <s v="EMP1055"/>
    <s v="Exploring Infinities - Sales"/>
    <s v="SALES"/>
    <s v="Sales - India"/>
    <s v="Director 1"/>
    <s v="Bengaluru"/>
    <s v="WFO"/>
    <d v="2026-03-10T00:00:00"/>
    <m/>
    <s v="Active"/>
    <m/>
    <x v="2"/>
    <n v="112"/>
    <n v="0"/>
    <s v="03-2026"/>
    <s v=""/>
    <n v="0"/>
    <n v="0"/>
    <x v="3"/>
  </r>
  <r>
    <s v="EMP1067"/>
    <s v="Exploring Infinities - Sales"/>
    <s v="SALES"/>
    <s v="Sales - India"/>
    <s v="Director 1"/>
    <s v="Bengaluru"/>
    <s v="WFO"/>
    <d v="2025-10-10T00:00:00"/>
    <m/>
    <s v="Active"/>
    <m/>
    <x v="2"/>
    <n v="263"/>
    <n v="0"/>
    <s v="10-2025"/>
    <s v=""/>
    <n v="0"/>
    <n v="0"/>
    <x v="1"/>
  </r>
  <r>
    <s v="EMP1100"/>
    <s v="Exploring Infinities - Sales"/>
    <s v="SALES"/>
    <s v="Sales - India"/>
    <s v="Director 1"/>
    <s v="Bengaluru"/>
    <s v="WFO"/>
    <d v="2026-05-11T00:00:00"/>
    <d v="2026-05-11T00:00:00"/>
    <s v="Relieved"/>
    <s v="Voluntary"/>
    <x v="0"/>
    <n v="0"/>
    <n v="1"/>
    <s v="05-2026"/>
    <s v="05-2026"/>
    <n v="1"/>
    <n v="0"/>
    <x v="0"/>
  </r>
  <r>
    <s v="EMP1026"/>
    <s v="Exploring Infinities - Sales"/>
    <s v="SALES"/>
    <s v="Sales - India"/>
    <s v="Director 1"/>
    <s v="Bengaluru"/>
    <s v="WFO"/>
    <d v="2025-04-12T00:00:00"/>
    <m/>
    <s v="Active"/>
    <m/>
    <x v="2"/>
    <n v="444"/>
    <n v="0"/>
    <s v="04-2025"/>
    <s v=""/>
    <n v="0"/>
    <n v="0"/>
    <x v="2"/>
  </r>
  <r>
    <s v="EMP1094"/>
    <s v="Exploring Infinities - Sales"/>
    <s v="SALES"/>
    <s v="Sales - India"/>
    <s v="Director 1"/>
    <s v="Bengaluru"/>
    <s v="WFO"/>
    <d v="2026-04-12T00:00:00"/>
    <d v="2026-04-25T00:00:00"/>
    <s v="Relieved"/>
    <s v="Voluntary"/>
    <x v="3"/>
    <n v="13"/>
    <n v="1"/>
    <s v="04-2026"/>
    <s v="04-2026"/>
    <n v="1"/>
    <n v="0"/>
    <x v="0"/>
  </r>
  <r>
    <s v="EMP1096"/>
    <s v="Exploring Infinities - Sales"/>
    <s v="SALES"/>
    <s v="Sales - India"/>
    <s v="Director 1"/>
    <s v="Bengaluru"/>
    <s v="WFO"/>
    <d v="2026-04-12T00:00:00"/>
    <d v="2026-04-12T00:00:00"/>
    <s v="Relieved"/>
    <s v="Voluntary"/>
    <x v="8"/>
    <n v="0"/>
    <n v="1"/>
    <s v="04-2026"/>
    <s v="04-2026"/>
    <n v="1"/>
    <n v="0"/>
    <x v="0"/>
  </r>
  <r>
    <s v="EMP1097"/>
    <s v="Exploring Infinities - Sales"/>
    <s v="SALES"/>
    <s v="Sales - India"/>
    <s v="Director 1"/>
    <s v="Bengaluru"/>
    <s v="WFO"/>
    <d v="2026-04-12T00:00:00"/>
    <d v="2026-06-10T00:00:00"/>
    <s v="Relieved"/>
    <s v="Involuntary"/>
    <x v="7"/>
    <n v="59"/>
    <n v="1"/>
    <s v="04-2026"/>
    <s v="06-2026"/>
    <n v="0"/>
    <n v="1"/>
    <x v="0"/>
  </r>
  <r>
    <s v="EMP1148"/>
    <s v="Exploring Infinities - Sales"/>
    <s v="SALES"/>
    <s v="Sales - India"/>
    <s v="Director 1"/>
    <s v="Bengaluru"/>
    <s v="WFO"/>
    <d v="2026-06-12T00:00:00"/>
    <m/>
    <s v="Active"/>
    <m/>
    <x v="2"/>
    <n v="18"/>
    <n v="0"/>
    <s v="06-2026"/>
    <s v=""/>
    <n v="0"/>
    <n v="0"/>
    <x v="0"/>
  </r>
  <r>
    <s v="EMP1126"/>
    <s v="Exploring Infinities - Sales"/>
    <s v="SALES"/>
    <s v="Sales - India"/>
    <s v="Director 1"/>
    <s v="Bengaluru"/>
    <s v="WFO"/>
    <d v="2026-05-12T00:00:00"/>
    <d v="2026-06-15T00:00:00"/>
    <s v="Relieved"/>
    <s v="Voluntary"/>
    <x v="10"/>
    <n v="34"/>
    <n v="1"/>
    <s v="05-2026"/>
    <s v="06-2026"/>
    <n v="1"/>
    <n v="0"/>
    <x v="0"/>
  </r>
  <r>
    <s v="EMP1089"/>
    <s v="Exploring Infinities - Sales"/>
    <s v="SALES"/>
    <s v="Sales - India"/>
    <s v="Director 1"/>
    <s v="Bengaluru"/>
    <s v="WFO"/>
    <d v="2026-04-13T00:00:00"/>
    <d v="2026-04-13T00:00:00"/>
    <s v="Relieved"/>
    <s v="Voluntary"/>
    <x v="3"/>
    <n v="0"/>
    <n v="1"/>
    <s v="04-2026"/>
    <s v="04-2026"/>
    <n v="1"/>
    <n v="0"/>
    <x v="0"/>
  </r>
  <r>
    <s v="EMP1011"/>
    <s v="Exploring Infinities - Sales"/>
    <s v="SALES"/>
    <s v="Sales - India"/>
    <s v="Director 1"/>
    <s v="Bengaluru"/>
    <s v="WFO"/>
    <d v="2025-12-13T00:00:00"/>
    <m/>
    <s v="Active"/>
    <m/>
    <x v="2"/>
    <n v="199"/>
    <n v="0"/>
    <s v="12-2025"/>
    <s v=""/>
    <n v="0"/>
    <n v="0"/>
    <x v="1"/>
  </r>
  <r>
    <s v="EMP1003"/>
    <s v="Exploring Infinities - Sales"/>
    <s v="SALES"/>
    <s v="Sales - India"/>
    <s v="Director 1"/>
    <s v="Bengaluru"/>
    <s v="WFO"/>
    <d v="2025-01-13T00:00:00"/>
    <d v="2026-04-23T00:00:00"/>
    <s v="Relieved"/>
    <s v="Involuntary"/>
    <x v="9"/>
    <n v="465"/>
    <n v="1"/>
    <s v="01-2025"/>
    <s v="04-2026"/>
    <n v="0"/>
    <n v="1"/>
    <x v="2"/>
  </r>
  <r>
    <s v="EMP1009"/>
    <s v="Exploring Infinities - Sales"/>
    <s v="SALES"/>
    <s v="Sales - India"/>
    <s v="Director 1"/>
    <s v="Bengaluru"/>
    <s v="WFO"/>
    <d v="2026-01-13T00:00:00"/>
    <m/>
    <s v="Active"/>
    <m/>
    <x v="2"/>
    <n v="168"/>
    <n v="0"/>
    <s v="01-2026"/>
    <s v=""/>
    <n v="0"/>
    <n v="0"/>
    <x v="3"/>
  </r>
  <r>
    <s v="EMP1065"/>
    <s v="Exploring Infinities - Sales"/>
    <s v="SALES"/>
    <s v="Sales - India"/>
    <s v="Director 1"/>
    <s v="Bengaluru"/>
    <s v="WFO"/>
    <d v="2025-07-13T00:00:00"/>
    <d v="2026-06-08T00:00:00"/>
    <s v="Relieved"/>
    <s v="Involuntary"/>
    <x v="1"/>
    <n v="330"/>
    <n v="1"/>
    <s v="07-2025"/>
    <s v="06-2026"/>
    <n v="0"/>
    <n v="1"/>
    <x v="1"/>
  </r>
  <r>
    <s v="EMP1008"/>
    <s v="Exploring Infinities - Sales"/>
    <s v="SALES"/>
    <s v="Sales - India"/>
    <s v="Director 1"/>
    <s v="Bengaluru"/>
    <s v="WFO"/>
    <d v="2025-03-13T00:00:00"/>
    <d v="2026-05-09T00:00:00"/>
    <s v="Relieved"/>
    <s v="Involuntary"/>
    <x v="7"/>
    <n v="422"/>
    <n v="1"/>
    <s v="03-2025"/>
    <s v="05-2026"/>
    <n v="0"/>
    <n v="1"/>
    <x v="2"/>
  </r>
  <r>
    <s v="EMP1071"/>
    <s v="Exploring Infinities - Sales"/>
    <s v="SALES"/>
    <s v="Sales - India"/>
    <s v="Director 1"/>
    <s v="Bengaluru"/>
    <s v="WFO"/>
    <d v="2025-11-13T00:00:00"/>
    <m/>
    <s v="Active"/>
    <m/>
    <x v="2"/>
    <n v="229"/>
    <n v="0"/>
    <s v="11-2025"/>
    <s v=""/>
    <n v="0"/>
    <n v="0"/>
    <x v="1"/>
  </r>
  <r>
    <s v="EMP1014"/>
    <s v="Exploring Infinities - Sales"/>
    <s v="SALES"/>
    <s v="Sales - India"/>
    <s v="Director 1"/>
    <s v="Bengaluru"/>
    <s v="WFO"/>
    <d v="2025-02-14T00:00:00"/>
    <d v="2026-05-23T00:00:00"/>
    <s v="Relieved"/>
    <s v="Involuntary"/>
    <x v="7"/>
    <n v="463"/>
    <n v="1"/>
    <s v="02-2025"/>
    <s v="05-2026"/>
    <n v="0"/>
    <n v="1"/>
    <x v="2"/>
  </r>
  <r>
    <s v="EMP1024"/>
    <s v="Exploring Infinities - Sales"/>
    <s v="SALES"/>
    <s v="Sales - India"/>
    <s v="Director 1"/>
    <s v="Bengaluru"/>
    <s v="WFO"/>
    <d v="2025-01-14T00:00:00"/>
    <m/>
    <s v="Active"/>
    <m/>
    <x v="2"/>
    <n v="532"/>
    <n v="0"/>
    <s v="01-2025"/>
    <s v=""/>
    <n v="0"/>
    <n v="0"/>
    <x v="2"/>
  </r>
  <r>
    <s v="EMP1052"/>
    <s v="Exploring Infinities - Sales"/>
    <s v="SALES"/>
    <s v="Sales - India"/>
    <s v="Director 1"/>
    <s v="Bengaluru"/>
    <s v="WFO"/>
    <d v="2025-07-14T00:00:00"/>
    <d v="2026-05-30T00:00:00"/>
    <s v="Relieved"/>
    <s v="Involuntary"/>
    <x v="9"/>
    <n v="320"/>
    <n v="1"/>
    <s v="07-2025"/>
    <s v="05-2026"/>
    <n v="0"/>
    <n v="1"/>
    <x v="1"/>
  </r>
  <r>
    <s v="EMP1136"/>
    <s v="Exploring Infinities - Sales"/>
    <s v="SALES"/>
    <s v="Sales - India"/>
    <s v="Director 1"/>
    <s v="Bengaluru"/>
    <s v="WFO"/>
    <d v="2026-06-14T00:00:00"/>
    <d v="2026-06-14T00:00:00"/>
    <s v="Relieved"/>
    <s v="Voluntary"/>
    <x v="10"/>
    <n v="0"/>
    <n v="1"/>
    <s v="06-2026"/>
    <s v="06-2026"/>
    <n v="1"/>
    <n v="0"/>
    <x v="0"/>
  </r>
  <r>
    <s v="EMP1152"/>
    <s v="Exploring Infinities - Sales"/>
    <s v="SALES"/>
    <s v="Sales - India"/>
    <s v="Director 1"/>
    <s v="Bengaluru"/>
    <s v="WFO"/>
    <d v="2026-06-14T00:00:00"/>
    <d v="2026-06-22T00:00:00"/>
    <s v="Relieved"/>
    <s v="Voluntary"/>
    <x v="3"/>
    <n v="8"/>
    <n v="1"/>
    <s v="06-2026"/>
    <s v="06-2026"/>
    <n v="1"/>
    <n v="0"/>
    <x v="0"/>
  </r>
  <r>
    <s v="EMP1120"/>
    <s v="Exploring Infinities - Sales"/>
    <s v="SALES"/>
    <s v="Sales - India"/>
    <s v="Director 1"/>
    <s v="Bengaluru"/>
    <s v="WFO"/>
    <d v="2026-05-14T00:00:00"/>
    <m/>
    <s v="Active"/>
    <m/>
    <x v="2"/>
    <n v="47"/>
    <n v="0"/>
    <s v="05-2026"/>
    <s v=""/>
    <n v="0"/>
    <n v="0"/>
    <x v="0"/>
  </r>
  <r>
    <s v="EMP1125"/>
    <s v="Exploring Infinities - Sales"/>
    <s v="SALES"/>
    <s v="Sales - India"/>
    <s v="Director 1"/>
    <s v="Bengaluru"/>
    <s v="WFO"/>
    <d v="2026-05-14T00:00:00"/>
    <d v="2026-06-17T00:00:00"/>
    <s v="Relieved"/>
    <s v="Involuntary"/>
    <x v="6"/>
    <n v="34"/>
    <n v="1"/>
    <s v="05-2026"/>
    <s v="06-2026"/>
    <n v="0"/>
    <n v="1"/>
    <x v="0"/>
  </r>
  <r>
    <s v="EMP1127"/>
    <s v="Exploring Infinities - Sales"/>
    <s v="SALES"/>
    <s v="Sales - India"/>
    <s v="Director 1"/>
    <s v="Bengaluru"/>
    <s v="WFO"/>
    <d v="2026-05-14T00:00:00"/>
    <m/>
    <s v="Active"/>
    <m/>
    <x v="2"/>
    <n v="47"/>
    <n v="0"/>
    <s v="05-2026"/>
    <s v=""/>
    <n v="0"/>
    <n v="0"/>
    <x v="0"/>
  </r>
  <r>
    <s v="EMP1128"/>
    <s v="Exploring Infinities - Sales"/>
    <s v="SALES"/>
    <s v="Sales - India"/>
    <s v="Director 1"/>
    <s v="Bengaluru"/>
    <s v="WFO"/>
    <d v="2026-05-14T00:00:00"/>
    <m/>
    <s v="Active"/>
    <m/>
    <x v="2"/>
    <n v="47"/>
    <n v="0"/>
    <s v="05-2026"/>
    <s v=""/>
    <n v="0"/>
    <n v="0"/>
    <x v="0"/>
  </r>
  <r>
    <s v="EMP1091"/>
    <s v="Exploring Infinities - Sales"/>
    <s v="SALES"/>
    <s v="Sales - India"/>
    <s v="Director 1"/>
    <s v="Bengaluru"/>
    <s v="WFO"/>
    <d v="2026-04-15T00:00:00"/>
    <m/>
    <s v="Active"/>
    <m/>
    <x v="2"/>
    <n v="76"/>
    <n v="0"/>
    <s v="04-2026"/>
    <s v=""/>
    <n v="0"/>
    <n v="0"/>
    <x v="0"/>
  </r>
  <r>
    <s v="EMP1004"/>
    <s v="Exploring Infinities - Sales"/>
    <s v="SALES"/>
    <s v="Sales - India"/>
    <s v="Director 1"/>
    <s v="Bengaluru"/>
    <s v="WFO"/>
    <d v="2026-01-15T00:00:00"/>
    <m/>
    <s v="Active"/>
    <m/>
    <x v="2"/>
    <n v="166"/>
    <n v="0"/>
    <s v="01-2026"/>
    <s v=""/>
    <n v="0"/>
    <n v="0"/>
    <x v="3"/>
  </r>
  <r>
    <s v="EMP1012"/>
    <s v="Exploring Infinities - Sales"/>
    <s v="SALES"/>
    <s v="Sales - India"/>
    <s v="Director 1"/>
    <s v="Bengaluru"/>
    <s v="WFO"/>
    <d v="2026-01-15T00:00:00"/>
    <d v="2026-04-21T00:00:00"/>
    <s v="Relieved"/>
    <s v="Voluntary"/>
    <x v="0"/>
    <n v="96"/>
    <n v="1"/>
    <s v="01-2026"/>
    <s v="04-2026"/>
    <n v="1"/>
    <n v="0"/>
    <x v="3"/>
  </r>
  <r>
    <s v="EMP1133"/>
    <s v="Exploring Infinities - Sales"/>
    <s v="SALES"/>
    <s v="Sales - India"/>
    <s v="Director 1"/>
    <s v="Bengaluru"/>
    <s v="WFO"/>
    <d v="2026-06-15T00:00:00"/>
    <m/>
    <s v="Active"/>
    <m/>
    <x v="2"/>
    <n v="15"/>
    <n v="0"/>
    <s v="06-2026"/>
    <s v=""/>
    <n v="0"/>
    <n v="0"/>
    <x v="0"/>
  </r>
  <r>
    <s v="EMP1025"/>
    <s v="Exploring Infinities - Sales"/>
    <s v="SALES"/>
    <s v="Sales - India"/>
    <s v="Director 1"/>
    <s v="Bengaluru"/>
    <s v="WFO"/>
    <d v="2025-10-15T00:00:00"/>
    <m/>
    <s v="Active"/>
    <m/>
    <x v="2"/>
    <n v="258"/>
    <n v="0"/>
    <s v="10-2025"/>
    <s v=""/>
    <n v="0"/>
    <n v="0"/>
    <x v="1"/>
  </r>
  <r>
    <s v="EMP1018"/>
    <s v="Exploring Infinities - Sales"/>
    <s v="SALES"/>
    <s v="Sales - India"/>
    <s v="Director 1"/>
    <s v="Bengaluru"/>
    <s v="WFO"/>
    <d v="2025-01-16T00:00:00"/>
    <m/>
    <s v="Active"/>
    <m/>
    <x v="2"/>
    <n v="530"/>
    <n v="0"/>
    <s v="01-2025"/>
    <s v=""/>
    <n v="0"/>
    <n v="0"/>
    <x v="2"/>
  </r>
  <r>
    <s v="EMP1058"/>
    <s v="Exploring Infinities - Sales"/>
    <s v="SALES"/>
    <s v="Sales - India"/>
    <s v="Director 1"/>
    <s v="Bengaluru"/>
    <s v="WFO"/>
    <d v="2025-05-16T00:00:00"/>
    <m/>
    <s v="Active"/>
    <m/>
    <x v="2"/>
    <n v="410"/>
    <n v="0"/>
    <s v="05-2025"/>
    <s v=""/>
    <n v="0"/>
    <n v="0"/>
    <x v="2"/>
  </r>
  <r>
    <s v="EMP1106"/>
    <s v="Exploring Infinities - Sales"/>
    <s v="SALES"/>
    <s v="Sales - India"/>
    <s v="Director 1"/>
    <s v="Bengaluru"/>
    <s v="WFO"/>
    <d v="2026-05-16T00:00:00"/>
    <d v="2026-05-16T00:00:00"/>
    <s v="Relieved"/>
    <s v="Voluntary"/>
    <x v="10"/>
    <n v="0"/>
    <n v="1"/>
    <s v="05-2026"/>
    <s v="05-2026"/>
    <n v="1"/>
    <n v="0"/>
    <x v="0"/>
  </r>
  <r>
    <s v="EMP1115"/>
    <s v="Exploring Infinities - Sales"/>
    <s v="SALES"/>
    <s v="Sales - India"/>
    <s v="Director 1"/>
    <s v="Bengaluru"/>
    <s v="WFO"/>
    <d v="2026-05-16T00:00:00"/>
    <m/>
    <s v="Active"/>
    <m/>
    <x v="2"/>
    <n v="45"/>
    <n v="0"/>
    <s v="05-2026"/>
    <s v=""/>
    <n v="0"/>
    <n v="0"/>
    <x v="0"/>
  </r>
  <r>
    <s v="EMP1118"/>
    <s v="Exploring Infinities - Sales"/>
    <s v="SALES"/>
    <s v="Sales - India"/>
    <s v="Director 1"/>
    <s v="Bengaluru"/>
    <s v="WFO"/>
    <d v="2026-05-16T00:00:00"/>
    <d v="2026-05-29T00:00:00"/>
    <s v="Relieved"/>
    <s v="Voluntary"/>
    <x v="5"/>
    <n v="13"/>
    <n v="1"/>
    <s v="05-2026"/>
    <s v="05-2026"/>
    <n v="1"/>
    <n v="0"/>
    <x v="0"/>
  </r>
  <r>
    <s v="EMP1022"/>
    <s v="Exploring Infinities - Sales"/>
    <s v="SALES"/>
    <s v="Sales - India"/>
    <s v="Director 1"/>
    <s v="Bengaluru"/>
    <s v="WFO"/>
    <d v="2025-09-16T00:00:00"/>
    <d v="2026-05-09T00:00:00"/>
    <s v="Relieved"/>
    <s v="Involuntary"/>
    <x v="9"/>
    <n v="235"/>
    <n v="1"/>
    <s v="09-2025"/>
    <s v="05-2026"/>
    <n v="0"/>
    <n v="1"/>
    <x v="1"/>
  </r>
  <r>
    <s v="EMP1019"/>
    <s v="Exploring Infinities - Sales"/>
    <s v="SALES"/>
    <s v="Sales - India"/>
    <s v="Director 1"/>
    <s v="Bengaluru"/>
    <s v="WFO"/>
    <d v="2025-02-17T00:00:00"/>
    <m/>
    <s v="Active"/>
    <m/>
    <x v="2"/>
    <n v="498"/>
    <n v="0"/>
    <s v="02-2025"/>
    <s v=""/>
    <n v="0"/>
    <n v="0"/>
    <x v="2"/>
  </r>
  <r>
    <s v="EMP1051"/>
    <s v="Exploring Infinities - Sales"/>
    <s v="SALES"/>
    <s v="Sales - India"/>
    <s v="Director 1"/>
    <s v="Bengaluru"/>
    <s v="WFO"/>
    <d v="2025-02-17T00:00:00"/>
    <m/>
    <s v="Active"/>
    <m/>
    <x v="2"/>
    <n v="498"/>
    <n v="0"/>
    <s v="02-2025"/>
    <s v=""/>
    <n v="0"/>
    <n v="0"/>
    <x v="2"/>
  </r>
  <r>
    <s v="EMP1040"/>
    <s v="Exploring Infinities - Sales"/>
    <s v="SALES"/>
    <s v="Sales - India"/>
    <s v="Director 1"/>
    <s v="Bengaluru"/>
    <s v="WFO"/>
    <d v="2026-02-17T00:00:00"/>
    <d v="2026-04-23T00:00:00"/>
    <s v="Relieved"/>
    <s v="Voluntary"/>
    <x v="0"/>
    <n v="65"/>
    <n v="1"/>
    <s v="02-2026"/>
    <s v="04-2026"/>
    <n v="1"/>
    <n v="0"/>
    <x v="0"/>
  </r>
  <r>
    <s v="EMP1017"/>
    <s v="Exploring Infinities - Sales"/>
    <s v="SALES"/>
    <s v="Sales - India"/>
    <s v="Director 1"/>
    <s v="Bengaluru"/>
    <s v="WFO"/>
    <d v="2025-01-17T00:00:00"/>
    <d v="2026-06-22T00:00:00"/>
    <s v="Relieved"/>
    <s v="Involuntary"/>
    <x v="9"/>
    <n v="521"/>
    <n v="1"/>
    <s v="01-2025"/>
    <s v="06-2026"/>
    <n v="0"/>
    <n v="1"/>
    <x v="2"/>
  </r>
  <r>
    <s v="EMP1102"/>
    <s v="Exploring Infinities - Sales"/>
    <s v="SALES"/>
    <s v="Sales - India"/>
    <s v="Director 1"/>
    <s v="Bengaluru"/>
    <s v="WFO"/>
    <d v="2026-05-17T00:00:00"/>
    <d v="2026-05-30T00:00:00"/>
    <s v="Relieved"/>
    <s v="Voluntary"/>
    <x v="8"/>
    <n v="13"/>
    <n v="1"/>
    <s v="05-2026"/>
    <s v="05-2026"/>
    <n v="1"/>
    <n v="0"/>
    <x v="0"/>
  </r>
  <r>
    <s v="EMP1033"/>
    <s v="Exploring Infinities - Sales"/>
    <s v="SALES"/>
    <s v="Sales - India"/>
    <s v="Director 1"/>
    <s v="Bengaluru"/>
    <s v="WFO"/>
    <d v="2025-08-18T00:00:00"/>
    <m/>
    <s v="Active"/>
    <m/>
    <x v="2"/>
    <n v="316"/>
    <n v="0"/>
    <s v="08-2025"/>
    <s v=""/>
    <n v="0"/>
    <n v="0"/>
    <x v="1"/>
  </r>
  <r>
    <s v="EMP1059"/>
    <s v="Exploring Infinities - Sales"/>
    <s v="SALES"/>
    <s v="Sales - India"/>
    <s v="Director 1"/>
    <s v="Bengaluru"/>
    <s v="WFO"/>
    <d v="2026-02-18T00:00:00"/>
    <m/>
    <s v="Active"/>
    <m/>
    <x v="2"/>
    <n v="132"/>
    <n v="0"/>
    <s v="02-2026"/>
    <s v=""/>
    <n v="0"/>
    <n v="0"/>
    <x v="3"/>
  </r>
  <r>
    <s v="EMP1134"/>
    <s v="Exploring Infinities - Sales"/>
    <s v="SALES"/>
    <s v="Sales - India"/>
    <s v="Director 1"/>
    <s v="Bengaluru"/>
    <s v="WFO"/>
    <d v="2026-06-18T00:00:00"/>
    <d v="2026-06-18T00:00:00"/>
    <s v="Relieved"/>
    <s v="Voluntary"/>
    <x v="10"/>
    <n v="0"/>
    <n v="1"/>
    <s v="06-2026"/>
    <s v="06-2026"/>
    <n v="1"/>
    <n v="0"/>
    <x v="0"/>
  </r>
  <r>
    <s v="EMP1137"/>
    <s v="Exploring Infinities - Sales"/>
    <s v="SALES"/>
    <s v="Sales - India"/>
    <s v="Director 1"/>
    <s v="Bengaluru"/>
    <s v="WFO"/>
    <d v="2026-06-18T00:00:00"/>
    <m/>
    <s v="Active"/>
    <m/>
    <x v="2"/>
    <n v="12"/>
    <n v="0"/>
    <s v="06-2026"/>
    <s v=""/>
    <n v="0"/>
    <n v="0"/>
    <x v="0"/>
  </r>
  <r>
    <s v="EMP1145"/>
    <s v="Exploring Infinities - Sales"/>
    <s v="SALES"/>
    <s v="Sales - India"/>
    <s v="Director 1"/>
    <s v="Bengaluru"/>
    <s v="WFO"/>
    <d v="2026-06-18T00:00:00"/>
    <d v="2026-06-18T00:00:00"/>
    <s v="Relieved"/>
    <s v="Voluntary"/>
    <x v="10"/>
    <n v="0"/>
    <n v="1"/>
    <s v="06-2026"/>
    <s v="06-2026"/>
    <n v="1"/>
    <n v="0"/>
    <x v="0"/>
  </r>
  <r>
    <s v="EMP1150"/>
    <s v="Exploring Infinities - Sales"/>
    <s v="SALES"/>
    <s v="Sales - India"/>
    <s v="Director 1"/>
    <s v="Bengaluru"/>
    <s v="WFO"/>
    <d v="2026-06-18T00:00:00"/>
    <d v="2026-06-20T00:00:00"/>
    <s v="Relieved"/>
    <s v="Voluntary"/>
    <x v="4"/>
    <n v="2"/>
    <n v="1"/>
    <s v="06-2026"/>
    <s v="06-2026"/>
    <n v="1"/>
    <n v="0"/>
    <x v="0"/>
  </r>
  <r>
    <s v="EMP1073"/>
    <s v="Exploring Infinities - Sales"/>
    <s v="SALES"/>
    <s v="Sales - India"/>
    <s v="Director 1"/>
    <s v="Bengaluru"/>
    <s v="WFO"/>
    <d v="2026-03-18T00:00:00"/>
    <d v="2026-05-22T00:00:00"/>
    <s v="Relieved"/>
    <s v="Involuntary"/>
    <x v="7"/>
    <n v="65"/>
    <n v="1"/>
    <s v="03-2026"/>
    <s v="05-2026"/>
    <n v="0"/>
    <n v="1"/>
    <x v="0"/>
  </r>
  <r>
    <s v="EMP1108"/>
    <s v="Exploring Infinities - Sales"/>
    <s v="SALES"/>
    <s v="Sales - India"/>
    <s v="Director 1"/>
    <s v="Bengaluru"/>
    <s v="WFO"/>
    <d v="2026-05-18T00:00:00"/>
    <m/>
    <s v="Active"/>
    <m/>
    <x v="2"/>
    <n v="43"/>
    <n v="0"/>
    <s v="05-2026"/>
    <s v=""/>
    <n v="0"/>
    <n v="0"/>
    <x v="0"/>
  </r>
  <r>
    <s v="EMP1070"/>
    <s v="Exploring Infinities - Sales"/>
    <s v="SALES"/>
    <s v="Sales - India"/>
    <s v="Director 1"/>
    <s v="Bengaluru"/>
    <s v="WFO"/>
    <d v="2025-11-18T00:00:00"/>
    <m/>
    <s v="Active"/>
    <m/>
    <x v="2"/>
    <n v="224"/>
    <n v="0"/>
    <s v="11-2025"/>
    <s v=""/>
    <n v="0"/>
    <n v="0"/>
    <x v="1"/>
  </r>
  <r>
    <s v="EMP1075"/>
    <s v="Exploring Infinities - Sales"/>
    <s v="SALES"/>
    <s v="Sales - India"/>
    <s v="Director 1"/>
    <s v="Bengaluru"/>
    <s v="WFO"/>
    <d v="2026-04-19T00:00:00"/>
    <d v="2026-04-25T00:00:00"/>
    <s v="Relieved"/>
    <s v="Voluntary"/>
    <x v="4"/>
    <n v="6"/>
    <n v="1"/>
    <s v="04-2026"/>
    <s v="04-2026"/>
    <n v="1"/>
    <n v="0"/>
    <x v="0"/>
  </r>
  <r>
    <s v="EMP1053"/>
    <s v="Exploring Infinities - Sales"/>
    <s v="SALES"/>
    <s v="Sales - India"/>
    <s v="Director 1"/>
    <s v="Bengaluru"/>
    <s v="WFO"/>
    <d v="2025-02-19T00:00:00"/>
    <d v="2026-04-19T00:00:00"/>
    <s v="Relieved"/>
    <s v="Involuntary"/>
    <x v="1"/>
    <n v="424"/>
    <n v="1"/>
    <s v="02-2025"/>
    <s v="04-2026"/>
    <n v="0"/>
    <n v="1"/>
    <x v="2"/>
  </r>
  <r>
    <s v="EMP1036"/>
    <s v="Exploring Infinities - Sales"/>
    <s v="SALES"/>
    <s v="Sales - India"/>
    <s v="Director 1"/>
    <s v="Bengaluru"/>
    <s v="WFO"/>
    <d v="2026-02-19T00:00:00"/>
    <m/>
    <s v="Active"/>
    <m/>
    <x v="2"/>
    <n v="131"/>
    <n v="0"/>
    <s v="02-2026"/>
    <s v=""/>
    <n v="0"/>
    <n v="0"/>
    <x v="3"/>
  </r>
  <r>
    <s v="EMP1149"/>
    <s v="Exploring Infinities - Sales"/>
    <s v="SALES"/>
    <s v="Sales - India"/>
    <s v="Director 1"/>
    <s v="Bengaluru"/>
    <s v="WFO"/>
    <d v="2026-06-19T00:00:00"/>
    <m/>
    <s v="Active"/>
    <m/>
    <x v="2"/>
    <n v="11"/>
    <n v="0"/>
    <s v="06-2026"/>
    <s v=""/>
    <n v="0"/>
    <n v="0"/>
    <x v="0"/>
  </r>
  <r>
    <s v="EMP1113"/>
    <s v="Exploring Infinities - Sales"/>
    <s v="SALES"/>
    <s v="Sales - India"/>
    <s v="Director 1"/>
    <s v="Bengaluru"/>
    <s v="WFO"/>
    <d v="2026-05-19T00:00:00"/>
    <m/>
    <s v="Active"/>
    <m/>
    <x v="2"/>
    <n v="42"/>
    <n v="0"/>
    <s v="05-2026"/>
    <s v=""/>
    <n v="0"/>
    <n v="0"/>
    <x v="0"/>
  </r>
  <r>
    <s v="EMP1114"/>
    <s v="Exploring Infinities - Sales"/>
    <s v="SALES"/>
    <s v="Sales - India"/>
    <s v="Director 1"/>
    <s v="Bengaluru"/>
    <s v="WFO"/>
    <d v="2026-05-19T00:00:00"/>
    <d v="2026-05-19T00:00:00"/>
    <s v="Relieved"/>
    <s v="Voluntary"/>
    <x v="5"/>
    <n v="0"/>
    <n v="1"/>
    <s v="05-2026"/>
    <s v="05-2026"/>
    <n v="1"/>
    <n v="0"/>
    <x v="0"/>
  </r>
  <r>
    <s v="EMP1047"/>
    <s v="Exploring Infinities - Sales"/>
    <s v="SALES"/>
    <s v="Sales - India"/>
    <s v="Director 1"/>
    <s v="Bengaluru"/>
    <s v="WFO"/>
    <d v="2025-04-21T00:00:00"/>
    <m/>
    <s v="Active"/>
    <m/>
    <x v="2"/>
    <n v="435"/>
    <n v="0"/>
    <s v="04-2025"/>
    <s v=""/>
    <n v="0"/>
    <n v="0"/>
    <x v="2"/>
  </r>
  <r>
    <s v="EMP1092"/>
    <s v="Exploring Infinities - Sales"/>
    <s v="SALES"/>
    <s v="Sales - India"/>
    <s v="Director 1"/>
    <s v="Bengaluru"/>
    <s v="WFO"/>
    <d v="2026-04-21T00:00:00"/>
    <d v="2026-04-21T00:00:00"/>
    <s v="Relieved"/>
    <s v="Voluntary"/>
    <x v="4"/>
    <n v="0"/>
    <n v="1"/>
    <s v="04-2026"/>
    <s v="04-2026"/>
    <n v="1"/>
    <n v="0"/>
    <x v="0"/>
  </r>
  <r>
    <s v="EMP1129"/>
    <s v="Exploring Infinities - Sales"/>
    <s v="SALES"/>
    <s v="Sales - India"/>
    <s v="Director 1"/>
    <s v="Bengaluru"/>
    <s v="WFO"/>
    <d v="2026-06-21T00:00:00"/>
    <d v="2026-06-21T00:00:00"/>
    <s v="Relieved"/>
    <s v="Voluntary"/>
    <x v="8"/>
    <n v="0"/>
    <n v="1"/>
    <s v="06-2026"/>
    <s v="06-2026"/>
    <n v="1"/>
    <n v="0"/>
    <x v="0"/>
  </r>
  <r>
    <s v="EMP1046"/>
    <s v="Exploring Infinities - Sales"/>
    <s v="SALES"/>
    <s v="Sales - India"/>
    <s v="Director 1"/>
    <s v="Bengaluru"/>
    <s v="WFO"/>
    <d v="2025-03-21T00:00:00"/>
    <d v="2026-05-07T00:00:00"/>
    <s v="Relieved"/>
    <s v="Involuntary"/>
    <x v="7"/>
    <n v="412"/>
    <n v="1"/>
    <s v="03-2025"/>
    <s v="05-2026"/>
    <n v="0"/>
    <n v="1"/>
    <x v="2"/>
  </r>
  <r>
    <s v="EMP1005"/>
    <s v="Exploring Infinities - Sales"/>
    <s v="SALES"/>
    <s v="Sales - India"/>
    <s v="Director 1"/>
    <s v="Bengaluru"/>
    <s v="WFO"/>
    <d v="2025-05-21T00:00:00"/>
    <m/>
    <s v="Active"/>
    <m/>
    <x v="2"/>
    <n v="405"/>
    <n v="0"/>
    <s v="05-2025"/>
    <s v=""/>
    <n v="0"/>
    <n v="0"/>
    <x v="2"/>
  </r>
  <r>
    <s v="EMP1020"/>
    <s v="Exploring Infinities - Sales"/>
    <s v="SALES"/>
    <s v="Sales - India"/>
    <s v="Director 1"/>
    <s v="Bengaluru"/>
    <s v="WFO"/>
    <d v="2025-04-22T00:00:00"/>
    <d v="2026-04-01T00:00:00"/>
    <s v="Relieved"/>
    <s v="Involuntary"/>
    <x v="9"/>
    <n v="344"/>
    <n v="1"/>
    <s v="04-2025"/>
    <s v="04-2026"/>
    <n v="0"/>
    <n v="1"/>
    <x v="1"/>
  </r>
  <r>
    <s v="EMP1080"/>
    <s v="Exploring Infinities - Sales"/>
    <s v="SALES"/>
    <s v="Sales - India"/>
    <s v="Director 1"/>
    <s v="Bengaluru"/>
    <s v="WFO"/>
    <d v="2026-04-22T00:00:00"/>
    <d v="2026-04-24T00:00:00"/>
    <s v="Relieved"/>
    <s v="Voluntary"/>
    <x v="10"/>
    <n v="2"/>
    <n v="1"/>
    <s v="04-2026"/>
    <s v="04-2026"/>
    <n v="1"/>
    <n v="0"/>
    <x v="0"/>
  </r>
  <r>
    <s v="EMP1010"/>
    <s v="Exploring Infinities - Sales"/>
    <s v="SALES"/>
    <s v="Sales - India"/>
    <s v="Director 1"/>
    <s v="Bengaluru"/>
    <s v="WFO"/>
    <d v="2025-02-22T00:00:00"/>
    <m/>
    <s v="Active"/>
    <m/>
    <x v="2"/>
    <n v="493"/>
    <n v="0"/>
    <s v="02-2025"/>
    <s v=""/>
    <n v="0"/>
    <n v="0"/>
    <x v="2"/>
  </r>
  <r>
    <s v="EMP1050"/>
    <s v="Exploring Infinities - Sales"/>
    <s v="SALES"/>
    <s v="Sales - India"/>
    <s v="Director 1"/>
    <s v="Bengaluru"/>
    <s v="WFO"/>
    <d v="2025-02-22T00:00:00"/>
    <d v="2026-04-15T00:00:00"/>
    <s v="Relieved"/>
    <s v="Involuntary"/>
    <x v="6"/>
    <n v="417"/>
    <n v="1"/>
    <s v="02-2025"/>
    <s v="04-2026"/>
    <n v="0"/>
    <n v="1"/>
    <x v="2"/>
  </r>
  <r>
    <s v="EMP1049"/>
    <s v="Exploring Infinities - Sales"/>
    <s v="SALES"/>
    <s v="Sales - India"/>
    <s v="Director 1"/>
    <s v="Bengaluru"/>
    <s v="WFO"/>
    <d v="2025-06-22T00:00:00"/>
    <m/>
    <s v="Active"/>
    <m/>
    <x v="2"/>
    <n v="373"/>
    <n v="0"/>
    <s v="06-2025"/>
    <s v=""/>
    <n v="0"/>
    <n v="0"/>
    <x v="2"/>
  </r>
  <r>
    <s v="EMP1037"/>
    <s v="Exploring Infinities - Sales"/>
    <s v="SALES"/>
    <s v="Sales - India"/>
    <s v="Director 1"/>
    <s v="Bengaluru"/>
    <s v="WFO"/>
    <d v="2026-03-22T00:00:00"/>
    <m/>
    <s v="Active"/>
    <m/>
    <x v="2"/>
    <n v="100"/>
    <n v="0"/>
    <s v="03-2026"/>
    <s v=""/>
    <n v="0"/>
    <n v="0"/>
    <x v="3"/>
  </r>
  <r>
    <s v="EMP1105"/>
    <s v="Exploring Infinities - Sales"/>
    <s v="SALES"/>
    <s v="Sales - India"/>
    <s v="Director 1"/>
    <s v="Bengaluru"/>
    <s v="WFO"/>
    <d v="2026-05-22T00:00:00"/>
    <d v="2026-05-22T00:00:00"/>
    <s v="Relieved"/>
    <s v="Voluntary"/>
    <x v="0"/>
    <n v="0"/>
    <n v="1"/>
    <s v="05-2026"/>
    <s v="05-2026"/>
    <n v="1"/>
    <n v="0"/>
    <x v="0"/>
  </r>
  <r>
    <s v="EMP1124"/>
    <s v="Exploring Infinities - Sales"/>
    <s v="SALES"/>
    <s v="Sales - India"/>
    <s v="Director 1"/>
    <s v="Bengaluru"/>
    <s v="WFO"/>
    <d v="2026-05-22T00:00:00"/>
    <d v="2026-05-22T00:00:00"/>
    <s v="Relieved"/>
    <s v="Voluntary"/>
    <x v="3"/>
    <n v="0"/>
    <n v="1"/>
    <s v="05-2026"/>
    <s v="05-2026"/>
    <n v="1"/>
    <n v="0"/>
    <x v="0"/>
  </r>
  <r>
    <s v="EMP1032"/>
    <s v="Exploring Infinities - Sales"/>
    <s v="SALES"/>
    <s v="Sales - India"/>
    <s v="Director 1"/>
    <s v="Bengaluru"/>
    <s v="WFO"/>
    <d v="2025-04-23T00:00:00"/>
    <m/>
    <s v="Active"/>
    <m/>
    <x v="2"/>
    <n v="433"/>
    <n v="0"/>
    <s v="04-2025"/>
    <s v=""/>
    <n v="0"/>
    <n v="0"/>
    <x v="2"/>
  </r>
  <r>
    <s v="EMP1077"/>
    <s v="Exploring Infinities - Sales"/>
    <s v="SALES"/>
    <s v="Sales - India"/>
    <s v="Director 1"/>
    <s v="Bengaluru"/>
    <s v="WFO"/>
    <d v="2026-04-23T00:00:00"/>
    <d v="2026-04-23T00:00:00"/>
    <s v="Relieved"/>
    <s v="Voluntary"/>
    <x v="0"/>
    <n v="0"/>
    <n v="1"/>
    <s v="04-2026"/>
    <s v="04-2026"/>
    <n v="1"/>
    <n v="0"/>
    <x v="0"/>
  </r>
  <r>
    <s v="EMP1060"/>
    <s v="Exploring Infinities - Sales"/>
    <s v="SALES"/>
    <s v="Sales - India"/>
    <s v="Director 1"/>
    <s v="Bengaluru"/>
    <s v="WFO"/>
    <d v="2025-01-23T00:00:00"/>
    <d v="2026-05-27T00:00:00"/>
    <s v="Relieved"/>
    <s v="Involuntary"/>
    <x v="7"/>
    <n v="489"/>
    <n v="1"/>
    <s v="01-2025"/>
    <s v="05-2026"/>
    <n v="0"/>
    <n v="1"/>
    <x v="2"/>
  </r>
  <r>
    <s v="EMP1135"/>
    <s v="Exploring Infinities - Sales"/>
    <s v="SALES"/>
    <s v="Sales - India"/>
    <s v="Director 1"/>
    <s v="Bengaluru"/>
    <s v="WFO"/>
    <d v="2026-06-23T00:00:00"/>
    <m/>
    <s v="Active"/>
    <m/>
    <x v="2"/>
    <n v="7"/>
    <n v="0"/>
    <s v="06-2026"/>
    <s v=""/>
    <n v="0"/>
    <n v="0"/>
    <x v="0"/>
  </r>
  <r>
    <s v="EMP1142"/>
    <s v="Exploring Infinities - Sales"/>
    <s v="SALES"/>
    <s v="Sales - India"/>
    <s v="Director 1"/>
    <s v="Bengaluru"/>
    <s v="WFO"/>
    <d v="2026-06-23T00:00:00"/>
    <d v="2026-06-23T00:00:00"/>
    <s v="Relieved"/>
    <s v="Voluntary"/>
    <x v="5"/>
    <n v="0"/>
    <n v="1"/>
    <s v="06-2026"/>
    <s v="06-2026"/>
    <n v="1"/>
    <n v="0"/>
    <x v="0"/>
  </r>
  <r>
    <s v="EMP1041"/>
    <s v="Exploring Infinities - Sales"/>
    <s v="SALES"/>
    <s v="Sales - India"/>
    <s v="Director 1"/>
    <s v="Bengaluru"/>
    <s v="WFO"/>
    <d v="2025-03-23T00:00:00"/>
    <d v="2026-06-20T00:00:00"/>
    <s v="Relieved"/>
    <s v="Voluntary"/>
    <x v="3"/>
    <n v="454"/>
    <n v="1"/>
    <s v="03-2025"/>
    <s v="06-2026"/>
    <n v="1"/>
    <n v="0"/>
    <x v="2"/>
  </r>
  <r>
    <s v="EMP1035"/>
    <s v="Exploring Infinities - Sales"/>
    <s v="SALES"/>
    <s v="Sales - India"/>
    <s v="Director 1"/>
    <s v="Bengaluru"/>
    <s v="WFO"/>
    <d v="2025-05-23T00:00:00"/>
    <d v="2026-05-20T00:00:00"/>
    <s v="Relieved"/>
    <s v="Involuntary"/>
    <x v="1"/>
    <n v="362"/>
    <n v="1"/>
    <s v="05-2025"/>
    <s v="05-2026"/>
    <n v="0"/>
    <n v="1"/>
    <x v="1"/>
  </r>
  <r>
    <s v="EMP1045"/>
    <s v="Exploring Infinities - Sales"/>
    <s v="SALES"/>
    <s v="Sales - India"/>
    <s v="Director 1"/>
    <s v="Bengaluru"/>
    <s v="WFO"/>
    <d v="2025-05-23T00:00:00"/>
    <m/>
    <s v="Active"/>
    <m/>
    <x v="2"/>
    <n v="403"/>
    <n v="0"/>
    <s v="05-2025"/>
    <s v=""/>
    <n v="0"/>
    <n v="0"/>
    <x v="2"/>
  </r>
  <r>
    <s v="EMP1062"/>
    <s v="Exploring Infinities - Sales"/>
    <s v="SALES"/>
    <s v="Sales - India"/>
    <s v="Director 1"/>
    <s v="Bengaluru"/>
    <s v="WFO"/>
    <d v="2025-08-24T00:00:00"/>
    <d v="2026-05-17T00:00:00"/>
    <s v="Relieved"/>
    <s v="Involuntary"/>
    <x v="6"/>
    <n v="266"/>
    <n v="1"/>
    <s v="08-2025"/>
    <s v="05-2026"/>
    <n v="0"/>
    <n v="1"/>
    <x v="1"/>
  </r>
  <r>
    <s v="EMP1042"/>
    <s v="Exploring Infinities - Sales"/>
    <s v="SALES"/>
    <s v="Sales - India"/>
    <s v="Director 1"/>
    <s v="Bengaluru"/>
    <s v="WFO"/>
    <d v="2025-12-24T00:00:00"/>
    <m/>
    <s v="Active"/>
    <m/>
    <x v="2"/>
    <n v="188"/>
    <n v="0"/>
    <s v="12-2025"/>
    <s v=""/>
    <n v="0"/>
    <n v="0"/>
    <x v="1"/>
  </r>
  <r>
    <s v="EMP1039"/>
    <s v="Exploring Infinities - Sales"/>
    <s v="SALES"/>
    <s v="Sales - India"/>
    <s v="Director 1"/>
    <s v="Bengaluru"/>
    <s v="WFO"/>
    <d v="2026-01-24T00:00:00"/>
    <m/>
    <s v="Active"/>
    <m/>
    <x v="2"/>
    <n v="157"/>
    <n v="0"/>
    <s v="01-2026"/>
    <s v=""/>
    <n v="0"/>
    <n v="0"/>
    <x v="3"/>
  </r>
  <r>
    <s v="EMP1044"/>
    <s v="Exploring Infinities - Sales"/>
    <s v="SALES"/>
    <s v="Sales - India"/>
    <s v="Director 1"/>
    <s v="Bengaluru"/>
    <s v="WFO"/>
    <d v="2025-06-24T00:00:00"/>
    <m/>
    <s v="Active"/>
    <m/>
    <x v="2"/>
    <n v="371"/>
    <n v="0"/>
    <s v="06-2025"/>
    <s v=""/>
    <n v="0"/>
    <n v="0"/>
    <x v="2"/>
  </r>
  <r>
    <s v="EMP1132"/>
    <s v="Exploring Infinities - Sales"/>
    <s v="SALES"/>
    <s v="Sales - India"/>
    <s v="Director 1"/>
    <s v="Bengaluru"/>
    <s v="WFO"/>
    <d v="2026-06-24T00:00:00"/>
    <m/>
    <s v="Active"/>
    <m/>
    <x v="2"/>
    <n v="6"/>
    <n v="0"/>
    <s v="06-2026"/>
    <s v=""/>
    <n v="0"/>
    <n v="0"/>
    <x v="0"/>
  </r>
  <r>
    <s v="EMP1110"/>
    <s v="Exploring Infinities - Sales"/>
    <s v="SALES"/>
    <s v="Sales - India"/>
    <s v="Director 1"/>
    <s v="Bengaluru"/>
    <s v="WFO"/>
    <d v="2026-05-24T00:00:00"/>
    <d v="2026-05-24T00:00:00"/>
    <s v="Relieved"/>
    <s v="Voluntary"/>
    <x v="10"/>
    <n v="0"/>
    <n v="1"/>
    <s v="05-2026"/>
    <s v="05-2026"/>
    <n v="1"/>
    <n v="0"/>
    <x v="0"/>
  </r>
  <r>
    <s v="EMP1001"/>
    <s v="Exploring Infinities - Sales"/>
    <s v="SALES"/>
    <s v="Sales - India"/>
    <s v="Director 1"/>
    <s v="Bengaluru"/>
    <s v="WFO"/>
    <d v="2025-11-24T00:00:00"/>
    <d v="2026-06-22T00:00:00"/>
    <s v="Relieved"/>
    <s v="Involuntary"/>
    <x v="7"/>
    <n v="210"/>
    <n v="1"/>
    <s v="11-2025"/>
    <s v="06-2026"/>
    <n v="0"/>
    <n v="1"/>
    <x v="1"/>
  </r>
  <r>
    <s v="EMP1007"/>
    <s v="Exploring Infinities - Sales"/>
    <s v="SALES"/>
    <s v="Sales - India"/>
    <s v="Director 1"/>
    <s v="Bengaluru"/>
    <s v="WFO"/>
    <d v="2025-04-25T00:00:00"/>
    <d v="2026-04-08T00:00:00"/>
    <s v="Relieved"/>
    <s v="Involuntary"/>
    <x v="9"/>
    <n v="348"/>
    <n v="1"/>
    <s v="04-2025"/>
    <s v="04-2026"/>
    <n v="0"/>
    <n v="1"/>
    <x v="1"/>
  </r>
  <r>
    <s v="EMP1082"/>
    <s v="Exploring Infinities - Sales"/>
    <s v="SALES"/>
    <s v="Sales - India"/>
    <s v="Director 1"/>
    <s v="Bengaluru"/>
    <s v="WFO"/>
    <d v="2026-04-25T00:00:00"/>
    <m/>
    <s v="Active"/>
    <m/>
    <x v="2"/>
    <n v="66"/>
    <n v="0"/>
    <s v="04-2026"/>
    <s v=""/>
    <n v="0"/>
    <n v="0"/>
    <x v="0"/>
  </r>
  <r>
    <s v="EMP1029"/>
    <s v="Exploring Infinities - Sales"/>
    <s v="SALES"/>
    <s v="Sales - India"/>
    <s v="Director 1"/>
    <s v="Bengaluru"/>
    <s v="WFO"/>
    <d v="2025-12-26T00:00:00"/>
    <m/>
    <s v="Active"/>
    <m/>
    <x v="2"/>
    <n v="186"/>
    <n v="0"/>
    <s v="12-2025"/>
    <s v=""/>
    <n v="0"/>
    <n v="0"/>
    <x v="1"/>
  </r>
  <r>
    <s v="EMP1048"/>
    <s v="Exploring Infinities - Sales"/>
    <s v="SALES"/>
    <s v="Sales - India"/>
    <s v="Director 1"/>
    <s v="Bengaluru"/>
    <s v="WFO"/>
    <d v="2026-01-26T00:00:00"/>
    <d v="2026-05-02T00:00:00"/>
    <s v="Relieved"/>
    <s v="Involuntary"/>
    <x v="9"/>
    <n v="96"/>
    <n v="1"/>
    <s v="01-2026"/>
    <s v="05-2026"/>
    <n v="0"/>
    <n v="1"/>
    <x v="3"/>
  </r>
  <r>
    <s v="EMP1056"/>
    <s v="Exploring Infinities - Sales"/>
    <s v="SALES"/>
    <s v="Sales - India"/>
    <s v="Director 1"/>
    <s v="Bengaluru"/>
    <s v="WFO"/>
    <d v="2025-06-26T00:00:00"/>
    <m/>
    <s v="Active"/>
    <m/>
    <x v="2"/>
    <n v="369"/>
    <n v="0"/>
    <s v="06-2025"/>
    <s v=""/>
    <n v="0"/>
    <n v="0"/>
    <x v="2"/>
  </r>
  <r>
    <s v="EMP1117"/>
    <s v="Exploring Infinities - Sales"/>
    <s v="SALES"/>
    <s v="Sales - India"/>
    <s v="Director 1"/>
    <s v="Bengaluru"/>
    <s v="WFO"/>
    <d v="2026-05-26T00:00:00"/>
    <m/>
    <s v="Active"/>
    <m/>
    <x v="2"/>
    <n v="35"/>
    <n v="0"/>
    <s v="05-2026"/>
    <s v=""/>
    <n v="0"/>
    <n v="0"/>
    <x v="0"/>
  </r>
  <r>
    <s v="EMP1119"/>
    <s v="Exploring Infinities - Sales"/>
    <s v="SALES"/>
    <s v="Sales - India"/>
    <s v="Director 1"/>
    <s v="Bengaluru"/>
    <s v="WFO"/>
    <d v="2026-05-26T00:00:00"/>
    <d v="2026-05-26T00:00:00"/>
    <s v="Relieved"/>
    <s v="Voluntary"/>
    <x v="4"/>
    <n v="0"/>
    <n v="1"/>
    <s v="05-2026"/>
    <s v="05-2026"/>
    <n v="1"/>
    <n v="0"/>
    <x v="0"/>
  </r>
  <r>
    <s v="EMP1093"/>
    <s v="Exploring Infinities - Sales"/>
    <s v="SALES"/>
    <s v="Sales - India"/>
    <s v="Director 1"/>
    <s v="Bengaluru"/>
    <s v="WFO"/>
    <d v="2026-04-27T00:00:00"/>
    <d v="2026-04-27T00:00:00"/>
    <s v="Relieved"/>
    <s v="Voluntary"/>
    <x v="4"/>
    <n v="0"/>
    <n v="1"/>
    <s v="04-2026"/>
    <s v="04-2026"/>
    <n v="1"/>
    <n v="0"/>
    <x v="0"/>
  </r>
  <r>
    <s v="EMP1002"/>
    <s v="Exploring Infinities - Sales"/>
    <s v="SALES"/>
    <s v="Sales - India"/>
    <s v="Director 1"/>
    <s v="Bengaluru"/>
    <s v="WFO"/>
    <d v="2025-02-27T00:00:00"/>
    <d v="2026-04-13T00:00:00"/>
    <s v="Relieved"/>
    <s v="Voluntary"/>
    <x v="3"/>
    <n v="410"/>
    <n v="1"/>
    <s v="02-2025"/>
    <s v="04-2026"/>
    <n v="1"/>
    <n v="0"/>
    <x v="2"/>
  </r>
  <r>
    <s v="EMP1147"/>
    <s v="Exploring Infinities - Sales"/>
    <s v="SALES"/>
    <s v="Sales - India"/>
    <s v="Director 1"/>
    <s v="Bengaluru"/>
    <s v="WFO"/>
    <d v="2026-06-27T00:00:00"/>
    <m/>
    <s v="Active"/>
    <m/>
    <x v="2"/>
    <n v="3"/>
    <n v="0"/>
    <s v="06-2026"/>
    <s v=""/>
    <n v="0"/>
    <n v="0"/>
    <x v="0"/>
  </r>
  <r>
    <s v="EMP1085"/>
    <s v="Exploring Infinities - Sales"/>
    <s v="SALES"/>
    <s v="Sales - India"/>
    <s v="Director 1"/>
    <s v="Bengaluru"/>
    <s v="WFO"/>
    <d v="2026-04-28T00:00:00"/>
    <d v="2026-04-28T00:00:00"/>
    <s v="Relieved"/>
    <s v="Voluntary"/>
    <x v="5"/>
    <n v="0"/>
    <n v="1"/>
    <s v="04-2026"/>
    <s v="04-2026"/>
    <n v="1"/>
    <n v="0"/>
    <x v="0"/>
  </r>
  <r>
    <s v="EMP1087"/>
    <s v="Exploring Infinities - Sales"/>
    <s v="SALES"/>
    <s v="Sales - India"/>
    <s v="Director 1"/>
    <s v="Bengaluru"/>
    <s v="WFO"/>
    <d v="2026-04-28T00:00:00"/>
    <d v="2026-04-28T00:00:00"/>
    <s v="Relieved"/>
    <s v="Voluntary"/>
    <x v="5"/>
    <n v="0"/>
    <n v="1"/>
    <s v="04-2026"/>
    <s v="04-2026"/>
    <n v="1"/>
    <n v="0"/>
    <x v="0"/>
  </r>
  <r>
    <s v="EMP1099"/>
    <s v="Exploring Infinities - Sales"/>
    <s v="SALES"/>
    <s v="Sales - India"/>
    <s v="Director 1"/>
    <s v="Bengaluru"/>
    <s v="WFO"/>
    <d v="2026-05-28T00:00:00"/>
    <m/>
    <s v="Active"/>
    <m/>
    <x v="2"/>
    <n v="33"/>
    <n v="0"/>
    <s v="05-2026"/>
    <s v=""/>
    <n v="0"/>
    <n v="0"/>
    <x v="0"/>
  </r>
  <r>
    <s v="EMP1141"/>
    <s v="Exploring Infinities - Sales"/>
    <s v="SALES"/>
    <s v="Sales - India"/>
    <s v="Director 1"/>
    <s v="Bengaluru"/>
    <s v="WFO"/>
    <d v="2026-06-29T00:00:00"/>
    <d v="2026-06-29T00:00:00"/>
    <s v="Relieved"/>
    <s v="Voluntary"/>
    <x v="4"/>
    <n v="0"/>
    <n v="1"/>
    <s v="06-2026"/>
    <s v="06-2026"/>
    <n v="1"/>
    <n v="0"/>
    <x v="0"/>
  </r>
  <r>
    <s v="EMP1143"/>
    <s v="Exploring Infinities - Sales"/>
    <s v="SALES"/>
    <s v="Sales - India"/>
    <s v="Director 1"/>
    <s v="Bengaluru"/>
    <s v="WFO"/>
    <d v="2026-06-29T00:00:00"/>
    <m/>
    <s v="Active"/>
    <m/>
    <x v="2"/>
    <n v="1"/>
    <n v="0"/>
    <s v="06-2026"/>
    <s v=""/>
    <n v="0"/>
    <n v="0"/>
    <x v="0"/>
  </r>
  <r>
    <s v="EMP1112"/>
    <s v="Exploring Infinities - Sales"/>
    <s v="SALES"/>
    <s v="Sales - India"/>
    <s v="Director 1"/>
    <s v="Bengaluru"/>
    <s v="WFO"/>
    <d v="2026-05-29T00:00:00"/>
    <m/>
    <s v="Active"/>
    <m/>
    <x v="2"/>
    <n v="32"/>
    <n v="0"/>
    <s v="05-2026"/>
    <s v=""/>
    <n v="0"/>
    <n v="0"/>
    <x v="0"/>
  </r>
  <r>
    <s v="EMP1028"/>
    <s v="Exploring Infinities - Sales"/>
    <s v="SALES"/>
    <s v="Sales - India"/>
    <s v="Director 1"/>
    <s v="Bengaluru"/>
    <s v="WFO"/>
    <d v="2025-11-29T00:00:00"/>
    <d v="2026-06-03T00:00:00"/>
    <s v="Relieved"/>
    <s v="Involuntary"/>
    <x v="1"/>
    <n v="186"/>
    <n v="1"/>
    <s v="11-2025"/>
    <s v="06-2026"/>
    <n v="0"/>
    <n v="1"/>
    <x v="1"/>
  </r>
  <r>
    <s v="EMP1034"/>
    <s v="Exploring Infinities - Sales"/>
    <s v="SALES"/>
    <s v="Sales - India"/>
    <s v="Director 1"/>
    <s v="Bengaluru"/>
    <s v="WFO"/>
    <d v="2025-10-29T00:00:00"/>
    <d v="2026-05-11T00:00:00"/>
    <s v="Relieved"/>
    <s v="Involuntary"/>
    <x v="1"/>
    <n v="194"/>
    <n v="1"/>
    <s v="10-2025"/>
    <s v="05-2026"/>
    <n v="0"/>
    <n v="1"/>
    <x v="1"/>
  </r>
  <r>
    <s v="EMP1021"/>
    <s v="Exploring Infinities - Sales"/>
    <s v="SALES"/>
    <s v="Sales - India"/>
    <s v="Director 1"/>
    <s v="Bengaluru"/>
    <s v="WFO"/>
    <d v="2025-04-30T00:00:00"/>
    <d v="2026-05-29T00:00:00"/>
    <s v="Relieved"/>
    <s v="Involuntary"/>
    <x v="9"/>
    <n v="394"/>
    <n v="1"/>
    <s v="04-2025"/>
    <s v="05-2026"/>
    <n v="0"/>
    <n v="1"/>
    <x v="2"/>
  </r>
  <r>
    <s v="EMP1072"/>
    <s v="Exploring Infinities - Sales"/>
    <s v="SALES"/>
    <s v="Sales - India"/>
    <s v="Director 1"/>
    <s v="Bengaluru"/>
    <s v="WFO"/>
    <d v="2026-03-30T00:00:00"/>
    <m/>
    <s v="Active"/>
    <m/>
    <x v="2"/>
    <n v="92"/>
    <n v="0"/>
    <s v="03-2026"/>
    <s v=""/>
    <n v="0"/>
    <n v="0"/>
    <x v="3"/>
  </r>
  <r>
    <s v="EMP1111"/>
    <s v="Exploring Infinities - Sales"/>
    <s v="SALES"/>
    <s v="Sales - India"/>
    <s v="Director 1"/>
    <s v="Bengaluru"/>
    <s v="WFO"/>
    <d v="2026-05-30T00:00:00"/>
    <m/>
    <s v="Active"/>
    <m/>
    <x v="2"/>
    <n v="31"/>
    <n v="0"/>
    <s v="05-2026"/>
    <s v=""/>
    <n v="0"/>
    <n v="0"/>
    <x v="0"/>
  </r>
  <r>
    <s v="EMP1015"/>
    <s v="Exploring Infinities - Sales"/>
    <s v="SALES"/>
    <s v="Sales - India"/>
    <s v="Director 1"/>
    <s v="Bengaluru"/>
    <s v="WFO"/>
    <d v="2025-10-30T00:00:00"/>
    <m/>
    <s v="Active"/>
    <m/>
    <x v="2"/>
    <n v="243"/>
    <n v="0"/>
    <s v="10-2025"/>
    <s v=""/>
    <n v="0"/>
    <n v="0"/>
    <x v="1"/>
  </r>
  <r>
    <s v="EMP1068"/>
    <s v="Exploring Infinities - Sales"/>
    <s v="SALES"/>
    <s v="Sales - India"/>
    <s v="Director 1"/>
    <s v="Bengaluru"/>
    <s v="WFO"/>
    <d v="2025-05-31T00:00:00"/>
    <d v="2026-05-31T00:00:00"/>
    <s v="Relieved"/>
    <s v="Involuntary"/>
    <x v="1"/>
    <n v="365"/>
    <n v="1"/>
    <s v="05-2025"/>
    <s v="05-2026"/>
    <n v="0"/>
    <n v="1"/>
    <x v="2"/>
  </r>
  <r>
    <s v="EMP1720"/>
    <s v="Exploring Infinities - Sales"/>
    <s v="SALES"/>
    <s v="Sales - ROW - ANZ"/>
    <s v="Director 3"/>
    <s v="Remote - Australia/NZ"/>
    <s v="WFH"/>
    <d v="2025-11-01T00:00:00"/>
    <m/>
    <s v="Active"/>
    <m/>
    <x v="2"/>
    <n v="241"/>
    <n v="0"/>
    <s v="11-2025"/>
    <s v=""/>
    <n v="0"/>
    <n v="0"/>
    <x v="1"/>
  </r>
  <r>
    <s v="EMP1764"/>
    <s v="Exploring Infinities - Sales"/>
    <s v="SALES"/>
    <s v="Sales - ROW - ANZ"/>
    <s v="Director 3"/>
    <s v="Remote - Australia/NZ"/>
    <s v="WFH"/>
    <d v="2026-04-02T00:00:00"/>
    <d v="2026-04-07T00:00:00"/>
    <s v="Relieved"/>
    <s v="Voluntary"/>
    <x v="5"/>
    <n v="5"/>
    <n v="1"/>
    <s v="04-2026"/>
    <s v="04-2026"/>
    <n v="1"/>
    <n v="0"/>
    <x v="0"/>
  </r>
  <r>
    <s v="EMP1738"/>
    <s v="Exploring Infinities - Sales"/>
    <s v="SALES"/>
    <s v="Sales - ROW - ANZ"/>
    <s v="Director 3"/>
    <s v="Remote - Australia/NZ"/>
    <s v="WFH"/>
    <d v="2026-02-02T00:00:00"/>
    <m/>
    <s v="Active"/>
    <m/>
    <x v="2"/>
    <n v="148"/>
    <n v="0"/>
    <s v="02-2026"/>
    <s v=""/>
    <n v="0"/>
    <n v="0"/>
    <x v="3"/>
  </r>
  <r>
    <s v="EMP1723"/>
    <s v="Exploring Infinities - Sales"/>
    <s v="SALES"/>
    <s v="Sales - ROW - ANZ"/>
    <s v="Director 3"/>
    <s v="Remote - Australia/NZ"/>
    <s v="WFH"/>
    <d v="2025-11-03T00:00:00"/>
    <m/>
    <s v="Active"/>
    <m/>
    <x v="2"/>
    <n v="239"/>
    <n v="0"/>
    <s v="11-2025"/>
    <s v=""/>
    <n v="0"/>
    <n v="0"/>
    <x v="1"/>
  </r>
  <r>
    <s v="EMP1718"/>
    <s v="Exploring Infinities - Sales"/>
    <s v="SALES"/>
    <s v="Sales - ROW - ANZ"/>
    <s v="Director 3"/>
    <s v="Remote - Australia/NZ"/>
    <s v="WFH"/>
    <d v="2025-02-04T00:00:00"/>
    <d v="2026-04-15T00:00:00"/>
    <s v="Relieved"/>
    <s v="Involuntary"/>
    <x v="9"/>
    <n v="435"/>
    <n v="1"/>
    <s v="02-2025"/>
    <s v="04-2026"/>
    <n v="0"/>
    <n v="1"/>
    <x v="2"/>
  </r>
  <r>
    <s v="EMP1781"/>
    <s v="Exploring Infinities - Sales"/>
    <s v="SALES"/>
    <s v="Sales - ROW - ANZ"/>
    <s v="Director 3"/>
    <s v="Remote - Australia/NZ"/>
    <s v="WFH"/>
    <d v="2026-06-04T00:00:00"/>
    <m/>
    <s v="Active"/>
    <m/>
    <x v="2"/>
    <n v="26"/>
    <n v="0"/>
    <s v="06-2026"/>
    <s v=""/>
    <n v="0"/>
    <n v="0"/>
    <x v="0"/>
  </r>
  <r>
    <s v="EMP1783"/>
    <s v="Exploring Infinities - Sales"/>
    <s v="SALES"/>
    <s v="Sales - ROW - ANZ"/>
    <s v="Director 3"/>
    <s v="Remote - Australia/NZ"/>
    <s v="WFH"/>
    <d v="2026-06-04T00:00:00"/>
    <d v="2026-06-30T00:00:00"/>
    <s v="Relieved"/>
    <s v="Voluntary"/>
    <x v="8"/>
    <n v="26"/>
    <n v="1"/>
    <s v="06-2026"/>
    <s v="06-2026"/>
    <n v="1"/>
    <n v="0"/>
    <x v="0"/>
  </r>
  <r>
    <s v="EMP1716"/>
    <s v="Exploring Infinities - Sales"/>
    <s v="SALES"/>
    <s v="Sales - ROW - ANZ"/>
    <s v="Director 3"/>
    <s v="Remote - Australia/NZ"/>
    <s v="WFH"/>
    <d v="2025-05-04T00:00:00"/>
    <d v="2026-04-12T00:00:00"/>
    <s v="Relieved"/>
    <s v="Involuntary"/>
    <x v="6"/>
    <n v="343"/>
    <n v="1"/>
    <s v="05-2025"/>
    <s v="04-2026"/>
    <n v="0"/>
    <n v="1"/>
    <x v="1"/>
  </r>
  <r>
    <s v="EMP1734"/>
    <s v="Exploring Infinities - Sales"/>
    <s v="SALES"/>
    <s v="Sales - ROW - ANZ"/>
    <s v="Director 3"/>
    <s v="Remote - Australia/NZ"/>
    <s v="WFH"/>
    <d v="2025-10-04T00:00:00"/>
    <d v="2026-04-18T00:00:00"/>
    <s v="Relieved"/>
    <s v="Involuntary"/>
    <x v="7"/>
    <n v="196"/>
    <n v="1"/>
    <s v="10-2025"/>
    <s v="04-2026"/>
    <n v="0"/>
    <n v="1"/>
    <x v="1"/>
  </r>
  <r>
    <s v="EMP1757"/>
    <s v="Exploring Infinities - Sales"/>
    <s v="SALES"/>
    <s v="Sales - ROW - ANZ"/>
    <s v="Director 3"/>
    <s v="Remote - Australia/NZ"/>
    <s v="WFH"/>
    <d v="2026-04-05T00:00:00"/>
    <m/>
    <s v="Active"/>
    <m/>
    <x v="2"/>
    <n v="86"/>
    <n v="0"/>
    <s v="04-2026"/>
    <s v=""/>
    <n v="0"/>
    <n v="0"/>
    <x v="0"/>
  </r>
  <r>
    <s v="EMP1785"/>
    <s v="Exploring Infinities - Sales"/>
    <s v="SALES"/>
    <s v="Sales - ROW - ANZ"/>
    <s v="Director 3"/>
    <s v="Remote - Australia/NZ"/>
    <s v="WFH"/>
    <d v="2026-06-05T00:00:00"/>
    <d v="2026-06-06T00:00:00"/>
    <s v="Relieved"/>
    <s v="Involuntary"/>
    <x v="7"/>
    <n v="1"/>
    <n v="1"/>
    <s v="06-2026"/>
    <s v="06-2026"/>
    <n v="0"/>
    <n v="1"/>
    <x v="0"/>
  </r>
  <r>
    <s v="EMP1770"/>
    <s v="Exploring Infinities - Sales"/>
    <s v="SALES"/>
    <s v="Sales - ROW - ANZ"/>
    <s v="Director 3"/>
    <s v="Remote - Australia/NZ"/>
    <s v="WFH"/>
    <d v="2026-04-06T00:00:00"/>
    <d v="2026-05-18T00:00:00"/>
    <s v="Relieved"/>
    <s v="Involuntary"/>
    <x v="7"/>
    <n v="42"/>
    <n v="1"/>
    <s v="04-2026"/>
    <s v="05-2026"/>
    <n v="0"/>
    <n v="1"/>
    <x v="0"/>
  </r>
  <r>
    <s v="EMP1728"/>
    <s v="Exploring Infinities - Sales"/>
    <s v="SALES"/>
    <s v="Sales - ROW - ANZ"/>
    <s v="Director 3"/>
    <s v="Remote - Australia/NZ"/>
    <s v="WFH"/>
    <d v="2025-05-06T00:00:00"/>
    <m/>
    <s v="Active"/>
    <m/>
    <x v="2"/>
    <n v="420"/>
    <n v="0"/>
    <s v="05-2025"/>
    <s v=""/>
    <n v="0"/>
    <n v="0"/>
    <x v="2"/>
  </r>
  <r>
    <s v="EMP1787"/>
    <s v="Exploring Infinities - Sales"/>
    <s v="SALES"/>
    <s v="Sales - ROW - ANZ"/>
    <s v="Director 3"/>
    <s v="Remote - Australia/NZ"/>
    <s v="WFH"/>
    <d v="2026-06-07T00:00:00"/>
    <d v="2026-06-22T00:00:00"/>
    <s v="Relieved"/>
    <s v="Voluntary"/>
    <x v="0"/>
    <n v="15"/>
    <n v="1"/>
    <s v="06-2026"/>
    <s v="06-2026"/>
    <n v="1"/>
    <n v="0"/>
    <x v="0"/>
  </r>
  <r>
    <s v="EMP1779"/>
    <s v="Exploring Infinities - Sales"/>
    <s v="SALES"/>
    <s v="Sales - ROW - ANZ"/>
    <s v="Director 3"/>
    <s v="Remote - Australia/NZ"/>
    <s v="WFH"/>
    <d v="2026-05-07T00:00:00"/>
    <m/>
    <s v="Active"/>
    <m/>
    <x v="2"/>
    <n v="54"/>
    <n v="0"/>
    <s v="05-2026"/>
    <s v=""/>
    <n v="0"/>
    <n v="0"/>
    <x v="0"/>
  </r>
  <r>
    <s v="EMP1754"/>
    <s v="Exploring Infinities - Sales"/>
    <s v="SALES"/>
    <s v="Sales - ROW - ANZ"/>
    <s v="Director 3"/>
    <s v="Remote - Australia/NZ"/>
    <s v="WFH"/>
    <d v="2026-04-08T00:00:00"/>
    <m/>
    <s v="Active"/>
    <m/>
    <x v="2"/>
    <n v="83"/>
    <n v="0"/>
    <s v="04-2026"/>
    <s v=""/>
    <n v="0"/>
    <n v="0"/>
    <x v="0"/>
  </r>
  <r>
    <s v="EMP1760"/>
    <s v="Exploring Infinities - Sales"/>
    <s v="SALES"/>
    <s v="Sales - ROW - ANZ"/>
    <s v="Director 3"/>
    <s v="Remote - Australia/NZ"/>
    <s v="WFH"/>
    <d v="2026-04-08T00:00:00"/>
    <m/>
    <s v="Active"/>
    <m/>
    <x v="2"/>
    <n v="83"/>
    <n v="0"/>
    <s v="04-2026"/>
    <s v=""/>
    <n v="0"/>
    <n v="0"/>
    <x v="0"/>
  </r>
  <r>
    <s v="EMP1786"/>
    <s v="Exploring Infinities - Sales"/>
    <s v="SALES"/>
    <s v="Sales - ROW - ANZ"/>
    <s v="Director 3"/>
    <s v="Remote - Australia/NZ"/>
    <s v="WFH"/>
    <d v="2026-06-08T00:00:00"/>
    <d v="2026-06-29T00:00:00"/>
    <s v="Relieved"/>
    <s v="Voluntary"/>
    <x v="4"/>
    <n v="21"/>
    <n v="1"/>
    <s v="06-2026"/>
    <s v="06-2026"/>
    <n v="1"/>
    <n v="0"/>
    <x v="0"/>
  </r>
  <r>
    <s v="EMP1763"/>
    <s v="Exploring Infinities - Sales"/>
    <s v="SALES"/>
    <s v="Sales - ROW - ANZ"/>
    <s v="Director 3"/>
    <s v="Remote - Australia/NZ"/>
    <s v="WFH"/>
    <d v="2026-04-09T00:00:00"/>
    <m/>
    <s v="Active"/>
    <m/>
    <x v="2"/>
    <n v="82"/>
    <n v="0"/>
    <s v="04-2026"/>
    <s v=""/>
    <n v="0"/>
    <n v="0"/>
    <x v="0"/>
  </r>
  <r>
    <s v="EMP1755"/>
    <s v="Exploring Infinities - Sales"/>
    <s v="SALES"/>
    <s v="Sales - ROW - ANZ"/>
    <s v="Director 3"/>
    <s v="Remote - Australia/NZ"/>
    <s v="WFH"/>
    <d v="2026-04-10T00:00:00"/>
    <d v="2026-04-10T00:00:00"/>
    <s v="Relieved"/>
    <s v="Voluntary"/>
    <x v="8"/>
    <n v="0"/>
    <n v="1"/>
    <s v="04-2026"/>
    <s v="04-2026"/>
    <n v="1"/>
    <n v="0"/>
    <x v="0"/>
  </r>
  <r>
    <s v="EMP1762"/>
    <s v="Exploring Infinities - Sales"/>
    <s v="SALES"/>
    <s v="Sales - ROW - ANZ"/>
    <s v="Director 3"/>
    <s v="Remote - Australia/NZ"/>
    <s v="WFH"/>
    <d v="2026-04-10T00:00:00"/>
    <d v="2026-04-24T00:00:00"/>
    <s v="Relieved"/>
    <s v="Voluntary"/>
    <x v="8"/>
    <n v="14"/>
    <n v="1"/>
    <s v="04-2026"/>
    <s v="04-2026"/>
    <n v="1"/>
    <n v="0"/>
    <x v="0"/>
  </r>
  <r>
    <s v="EMP1745"/>
    <s v="Exploring Infinities - Sales"/>
    <s v="SALES"/>
    <s v="Sales - ROW - ANZ"/>
    <s v="Director 3"/>
    <s v="Remote - Australia/NZ"/>
    <s v="WFH"/>
    <d v="2026-01-10T00:00:00"/>
    <d v="2026-05-01T00:00:00"/>
    <s v="Relieved"/>
    <s v="Voluntary"/>
    <x v="8"/>
    <n v="111"/>
    <n v="1"/>
    <s v="01-2026"/>
    <s v="05-2026"/>
    <n v="1"/>
    <n v="0"/>
    <x v="3"/>
  </r>
  <r>
    <s v="EMP1753"/>
    <s v="Exploring Infinities - Sales"/>
    <s v="SALES"/>
    <s v="Sales - ROW - ANZ"/>
    <s v="Director 3"/>
    <s v="Remote - Australia/NZ"/>
    <s v="WFH"/>
    <d v="2026-04-11T00:00:00"/>
    <d v="2026-05-22T00:00:00"/>
    <s v="Relieved"/>
    <s v="Voluntary"/>
    <x v="10"/>
    <n v="41"/>
    <n v="1"/>
    <s v="04-2026"/>
    <s v="05-2026"/>
    <n v="1"/>
    <n v="0"/>
    <x v="0"/>
  </r>
  <r>
    <s v="EMP1724"/>
    <s v="Exploring Infinities - Sales"/>
    <s v="SALES"/>
    <s v="Sales - ROW - ANZ"/>
    <s v="Director 3"/>
    <s v="Remote - Australia/NZ"/>
    <s v="WFH"/>
    <d v="2025-12-11T00:00:00"/>
    <d v="2026-06-10T00:00:00"/>
    <s v="Relieved"/>
    <s v="Involuntary"/>
    <x v="1"/>
    <n v="181"/>
    <n v="1"/>
    <s v="12-2025"/>
    <s v="06-2026"/>
    <n v="0"/>
    <n v="1"/>
    <x v="1"/>
  </r>
  <r>
    <s v="EMP1777"/>
    <s v="Exploring Infinities - Sales"/>
    <s v="SALES"/>
    <s v="Sales - ROW - ANZ"/>
    <s v="Director 3"/>
    <s v="Remote - Australia/NZ"/>
    <s v="WFH"/>
    <d v="2026-05-11T00:00:00"/>
    <d v="2026-05-11T00:00:00"/>
    <s v="Relieved"/>
    <s v="Voluntary"/>
    <x v="4"/>
    <n v="0"/>
    <n v="1"/>
    <s v="05-2026"/>
    <s v="05-2026"/>
    <n v="1"/>
    <n v="0"/>
    <x v="0"/>
  </r>
  <r>
    <s v="EMP1780"/>
    <s v="Exploring Infinities - Sales"/>
    <s v="SALES"/>
    <s v="Sales - ROW - ANZ"/>
    <s v="Director 3"/>
    <s v="Remote - Australia/NZ"/>
    <s v="WFH"/>
    <d v="2026-05-12T00:00:00"/>
    <d v="2026-05-21T00:00:00"/>
    <s v="Relieved"/>
    <s v="Voluntary"/>
    <x v="3"/>
    <n v="9"/>
    <n v="1"/>
    <s v="05-2026"/>
    <s v="05-2026"/>
    <n v="1"/>
    <n v="0"/>
    <x v="0"/>
  </r>
  <r>
    <s v="EMP1732"/>
    <s v="Exploring Infinities - Sales"/>
    <s v="SALES"/>
    <s v="Sales - ROW - ANZ"/>
    <s v="Director 3"/>
    <s v="Remote - Australia/NZ"/>
    <s v="WFH"/>
    <d v="2025-08-13T00:00:00"/>
    <d v="2026-05-01T00:00:00"/>
    <s v="Relieved"/>
    <s v="Involuntary"/>
    <x v="6"/>
    <n v="261"/>
    <n v="1"/>
    <s v="08-2025"/>
    <s v="05-2026"/>
    <n v="0"/>
    <n v="1"/>
    <x v="1"/>
  </r>
  <r>
    <s v="EMP1747"/>
    <s v="Exploring Infinities - Sales"/>
    <s v="SALES"/>
    <s v="Sales - ROW - ANZ"/>
    <s v="Director 3"/>
    <s v="Remote - Australia/NZ"/>
    <s v="WFH"/>
    <d v="2025-06-13T00:00:00"/>
    <m/>
    <s v="Active"/>
    <m/>
    <x v="2"/>
    <n v="382"/>
    <n v="0"/>
    <s v="06-2025"/>
    <s v=""/>
    <n v="0"/>
    <n v="0"/>
    <x v="2"/>
  </r>
  <r>
    <s v="EMP1740"/>
    <s v="Exploring Infinities - Sales"/>
    <s v="SALES"/>
    <s v="Sales - ROW - ANZ"/>
    <s v="Director 3"/>
    <s v="Remote - Australia/NZ"/>
    <s v="WFH"/>
    <d v="2025-03-13T00:00:00"/>
    <d v="2026-06-19T00:00:00"/>
    <s v="Relieved"/>
    <s v="Involuntary"/>
    <x v="1"/>
    <n v="463"/>
    <n v="1"/>
    <s v="03-2025"/>
    <s v="06-2026"/>
    <n v="0"/>
    <n v="1"/>
    <x v="2"/>
  </r>
  <r>
    <s v="EMP1761"/>
    <s v="Exploring Infinities - Sales"/>
    <s v="SALES"/>
    <s v="Sales - ROW - ANZ"/>
    <s v="Director 3"/>
    <s v="Remote - Australia/NZ"/>
    <s v="WFH"/>
    <d v="2026-04-14T00:00:00"/>
    <d v="2026-04-23T00:00:00"/>
    <s v="Relieved"/>
    <s v="Involuntary"/>
    <x v="1"/>
    <n v="9"/>
    <n v="1"/>
    <s v="04-2026"/>
    <s v="04-2026"/>
    <n v="0"/>
    <n v="1"/>
    <x v="0"/>
  </r>
  <r>
    <s v="EMP1729"/>
    <s v="Exploring Infinities - Sales"/>
    <s v="SALES"/>
    <s v="Sales - ROW - ANZ"/>
    <s v="Director 3"/>
    <s v="Remote - Australia/NZ"/>
    <s v="WFH"/>
    <d v="2026-01-15T00:00:00"/>
    <m/>
    <s v="Active"/>
    <m/>
    <x v="2"/>
    <n v="166"/>
    <n v="0"/>
    <s v="01-2026"/>
    <s v=""/>
    <n v="0"/>
    <n v="0"/>
    <x v="3"/>
  </r>
  <r>
    <s v="EMP1741"/>
    <s v="Exploring Infinities - Sales"/>
    <s v="SALES"/>
    <s v="Sales - ROW - ANZ"/>
    <s v="Director 3"/>
    <s v="Remote - Australia/NZ"/>
    <s v="WFH"/>
    <d v="2025-09-15T00:00:00"/>
    <d v="2026-04-13T00:00:00"/>
    <s v="Relieved"/>
    <s v="Involuntary"/>
    <x v="1"/>
    <n v="210"/>
    <n v="1"/>
    <s v="09-2025"/>
    <s v="04-2026"/>
    <n v="0"/>
    <n v="1"/>
    <x v="1"/>
  </r>
  <r>
    <s v="EMP1717"/>
    <s v="Exploring Infinities - Sales"/>
    <s v="SALES"/>
    <s v="Sales - ROW - ANZ"/>
    <s v="Director 3"/>
    <s v="Remote - Australia/NZ"/>
    <s v="WFH"/>
    <d v="2025-04-16T00:00:00"/>
    <d v="2026-05-26T00:00:00"/>
    <s v="Relieved"/>
    <s v="Involuntary"/>
    <x v="1"/>
    <n v="405"/>
    <n v="1"/>
    <s v="04-2025"/>
    <s v="05-2026"/>
    <n v="0"/>
    <n v="1"/>
    <x v="2"/>
  </r>
  <r>
    <s v="EMP1774"/>
    <s v="Exploring Infinities - Sales"/>
    <s v="SALES"/>
    <s v="Sales - ROW - ANZ"/>
    <s v="Director 3"/>
    <s v="Remote - Australia/NZ"/>
    <s v="WFH"/>
    <d v="2026-05-16T00:00:00"/>
    <d v="2026-05-16T00:00:00"/>
    <s v="Relieved"/>
    <s v="Voluntary"/>
    <x v="0"/>
    <n v="0"/>
    <n v="1"/>
    <s v="05-2026"/>
    <s v="05-2026"/>
    <n v="1"/>
    <n v="0"/>
    <x v="0"/>
  </r>
  <r>
    <s v="EMP1759"/>
    <s v="Exploring Infinities - Sales"/>
    <s v="SALES"/>
    <s v="Sales - ROW - ANZ"/>
    <s v="Director 3"/>
    <s v="Remote - Australia/NZ"/>
    <s v="WFH"/>
    <d v="2026-04-17T00:00:00"/>
    <m/>
    <s v="Active"/>
    <m/>
    <x v="2"/>
    <n v="74"/>
    <n v="0"/>
    <s v="04-2026"/>
    <s v=""/>
    <n v="0"/>
    <n v="0"/>
    <x v="0"/>
  </r>
  <r>
    <s v="EMP1722"/>
    <s v="Exploring Infinities - Sales"/>
    <s v="SALES"/>
    <s v="Sales - ROW - ANZ"/>
    <s v="Director 3"/>
    <s v="Remote - Australia/NZ"/>
    <s v="WFH"/>
    <d v="2025-08-17T00:00:00"/>
    <d v="2026-05-18T00:00:00"/>
    <s v="Relieved"/>
    <s v="Voluntary"/>
    <x v="4"/>
    <n v="274"/>
    <n v="1"/>
    <s v="08-2025"/>
    <s v="05-2026"/>
    <n v="1"/>
    <n v="0"/>
    <x v="1"/>
  </r>
  <r>
    <s v="EMP1784"/>
    <s v="Exploring Infinities - Sales"/>
    <s v="SALES"/>
    <s v="Sales - ROW - ANZ"/>
    <s v="Director 3"/>
    <s v="Remote - Australia/NZ"/>
    <s v="WFH"/>
    <d v="2026-06-17T00:00:00"/>
    <m/>
    <s v="Active"/>
    <m/>
    <x v="2"/>
    <n v="13"/>
    <n v="0"/>
    <s v="06-2026"/>
    <s v=""/>
    <n v="0"/>
    <n v="0"/>
    <x v="0"/>
  </r>
  <r>
    <s v="EMP1765"/>
    <s v="Exploring Infinities - Sales"/>
    <s v="SALES"/>
    <s v="Sales - ROW - ANZ"/>
    <s v="Director 3"/>
    <s v="Remote - Australia/NZ"/>
    <s v="WFH"/>
    <d v="2026-04-18T00:00:00"/>
    <d v="2026-06-30T00:00:00"/>
    <s v="Relieved"/>
    <s v="Involuntary"/>
    <x v="9"/>
    <n v="73"/>
    <n v="1"/>
    <s v="04-2026"/>
    <s v="06-2026"/>
    <n v="0"/>
    <n v="1"/>
    <x v="0"/>
  </r>
  <r>
    <s v="EMP1721"/>
    <s v="Exploring Infinities - Sales"/>
    <s v="SALES"/>
    <s v="Sales - ROW - ANZ"/>
    <s v="Director 3"/>
    <s v="Remote - Australia/NZ"/>
    <s v="WFH"/>
    <d v="2025-01-18T00:00:00"/>
    <d v="2026-04-18T00:00:00"/>
    <s v="Relieved"/>
    <s v="Involuntary"/>
    <x v="7"/>
    <n v="455"/>
    <n v="1"/>
    <s v="01-2025"/>
    <s v="04-2026"/>
    <n v="0"/>
    <n v="1"/>
    <x v="2"/>
  </r>
  <r>
    <s v="EMP1766"/>
    <s v="Exploring Infinities - Sales"/>
    <s v="SALES"/>
    <s v="Sales - ROW - ANZ"/>
    <s v="Director 3"/>
    <s v="Remote - Australia/NZ"/>
    <s v="WFH"/>
    <d v="2026-04-19T00:00:00"/>
    <d v="2026-04-28T00:00:00"/>
    <s v="Relieved"/>
    <s v="Voluntary"/>
    <x v="0"/>
    <n v="9"/>
    <n v="1"/>
    <s v="04-2026"/>
    <s v="04-2026"/>
    <n v="1"/>
    <n v="0"/>
    <x v="0"/>
  </r>
  <r>
    <s v="EMP1737"/>
    <s v="Exploring Infinities - Sales"/>
    <s v="SALES"/>
    <s v="Sales - ROW - ANZ"/>
    <s v="Director 3"/>
    <s v="Remote - Australia/NZ"/>
    <s v="WFH"/>
    <d v="2026-03-19T00:00:00"/>
    <d v="2026-04-13T00:00:00"/>
    <s v="Relieved"/>
    <s v="Involuntary"/>
    <x v="6"/>
    <n v="25"/>
    <n v="1"/>
    <s v="03-2026"/>
    <s v="04-2026"/>
    <n v="0"/>
    <n v="1"/>
    <x v="0"/>
  </r>
  <r>
    <s v="EMP1749"/>
    <s v="Exploring Infinities - Sales"/>
    <s v="SALES"/>
    <s v="Sales - ROW - ANZ"/>
    <s v="Director 3"/>
    <s v="Remote - Australia/NZ"/>
    <s v="WFH"/>
    <d v="2026-04-20T00:00:00"/>
    <m/>
    <s v="Active"/>
    <m/>
    <x v="2"/>
    <n v="71"/>
    <n v="0"/>
    <s v="04-2026"/>
    <s v=""/>
    <n v="0"/>
    <n v="0"/>
    <x v="0"/>
  </r>
  <r>
    <s v="EMP1788"/>
    <s v="Exploring Infinities - Sales"/>
    <s v="SALES"/>
    <s v="Sales - ROW - ANZ"/>
    <s v="Director 3"/>
    <s v="Remote - Australia/NZ"/>
    <s v="WFH"/>
    <d v="2026-06-20T00:00:00"/>
    <d v="2026-06-20T00:00:00"/>
    <s v="Relieved"/>
    <s v="Involuntary"/>
    <x v="1"/>
    <n v="0"/>
    <n v="1"/>
    <s v="06-2026"/>
    <s v="06-2026"/>
    <n v="0"/>
    <n v="1"/>
    <x v="0"/>
  </r>
  <r>
    <s v="EMP1771"/>
    <s v="Exploring Infinities - Sales"/>
    <s v="SALES"/>
    <s v="Sales - ROW - ANZ"/>
    <s v="Director 3"/>
    <s v="Remote - Australia/NZ"/>
    <s v="WFH"/>
    <d v="2026-04-21T00:00:00"/>
    <m/>
    <s v="Active"/>
    <m/>
    <x v="2"/>
    <n v="70"/>
    <n v="0"/>
    <s v="04-2026"/>
    <s v=""/>
    <n v="0"/>
    <n v="0"/>
    <x v="0"/>
  </r>
  <r>
    <s v="EMP1719"/>
    <s v="Exploring Infinities - Sales"/>
    <s v="SALES"/>
    <s v="Sales - ROW - ANZ"/>
    <s v="Director 3"/>
    <s v="Remote - Australia/NZ"/>
    <s v="WFH"/>
    <d v="2025-02-21T00:00:00"/>
    <m/>
    <s v="Active"/>
    <m/>
    <x v="2"/>
    <n v="494"/>
    <n v="0"/>
    <s v="02-2025"/>
    <s v=""/>
    <n v="0"/>
    <n v="0"/>
    <x v="2"/>
  </r>
  <r>
    <s v="EMP1735"/>
    <s v="Exploring Infinities - Sales"/>
    <s v="SALES"/>
    <s v="Sales - ROW - ANZ"/>
    <s v="Director 3"/>
    <s v="Remote - Australia/NZ"/>
    <s v="WFH"/>
    <d v="2025-04-22T00:00:00"/>
    <d v="2026-06-19T00:00:00"/>
    <s v="Relieved"/>
    <s v="Involuntary"/>
    <x v="6"/>
    <n v="423"/>
    <n v="1"/>
    <s v="04-2025"/>
    <s v="06-2026"/>
    <n v="0"/>
    <n v="1"/>
    <x v="2"/>
  </r>
  <r>
    <s v="EMP1751"/>
    <s v="Exploring Infinities - Sales"/>
    <s v="SALES"/>
    <s v="Sales - ROW - ANZ"/>
    <s v="Director 3"/>
    <s v="Remote - Australia/NZ"/>
    <s v="WFH"/>
    <d v="2026-04-22T00:00:00"/>
    <m/>
    <s v="Active"/>
    <m/>
    <x v="2"/>
    <n v="69"/>
    <n v="0"/>
    <s v="04-2026"/>
    <s v=""/>
    <n v="0"/>
    <n v="0"/>
    <x v="0"/>
  </r>
  <r>
    <s v="EMP1758"/>
    <s v="Exploring Infinities - Sales"/>
    <s v="SALES"/>
    <s v="Sales - ROW - ANZ"/>
    <s v="Director 3"/>
    <s v="Remote - Australia/NZ"/>
    <s v="WFH"/>
    <d v="2026-04-22T00:00:00"/>
    <m/>
    <s v="Active"/>
    <m/>
    <x v="2"/>
    <n v="69"/>
    <n v="0"/>
    <s v="04-2026"/>
    <s v=""/>
    <n v="0"/>
    <n v="0"/>
    <x v="0"/>
  </r>
  <r>
    <s v="EMP1744"/>
    <s v="Exploring Infinities - Sales"/>
    <s v="SALES"/>
    <s v="Sales - ROW - ANZ"/>
    <s v="Director 3"/>
    <s v="Remote - Australia/NZ"/>
    <s v="WFH"/>
    <d v="2026-02-22T00:00:00"/>
    <m/>
    <s v="Active"/>
    <m/>
    <x v="2"/>
    <n v="128"/>
    <n v="0"/>
    <s v="02-2026"/>
    <s v=""/>
    <n v="0"/>
    <n v="0"/>
    <x v="3"/>
  </r>
  <r>
    <s v="EMP1736"/>
    <s v="Exploring Infinities - Sales"/>
    <s v="SALES"/>
    <s v="Sales - ROW - ANZ"/>
    <s v="Director 3"/>
    <s v="Remote - Australia/NZ"/>
    <s v="WFH"/>
    <d v="2026-01-22T00:00:00"/>
    <m/>
    <s v="Active"/>
    <m/>
    <x v="2"/>
    <n v="159"/>
    <n v="0"/>
    <s v="01-2026"/>
    <s v=""/>
    <n v="0"/>
    <n v="0"/>
    <x v="3"/>
  </r>
  <r>
    <s v="EMP1746"/>
    <s v="Exploring Infinities - Sales"/>
    <s v="SALES"/>
    <s v="Sales - ROW - ANZ"/>
    <s v="Director 3"/>
    <s v="Remote - Australia/NZ"/>
    <s v="WFH"/>
    <d v="2025-10-22T00:00:00"/>
    <m/>
    <s v="Active"/>
    <m/>
    <x v="2"/>
    <n v="251"/>
    <n v="0"/>
    <s v="10-2025"/>
    <s v=""/>
    <n v="0"/>
    <n v="0"/>
    <x v="1"/>
  </r>
  <r>
    <s v="EMP1730"/>
    <s v="Exploring Infinities - Sales"/>
    <s v="SALES"/>
    <s v="Sales - ROW - ANZ"/>
    <s v="Director 3"/>
    <s v="Remote - Australia/NZ"/>
    <s v="WFH"/>
    <d v="2025-01-23T00:00:00"/>
    <m/>
    <s v="Active"/>
    <m/>
    <x v="2"/>
    <n v="523"/>
    <n v="0"/>
    <s v="01-2025"/>
    <s v=""/>
    <n v="0"/>
    <n v="0"/>
    <x v="2"/>
  </r>
  <r>
    <s v="EMP1726"/>
    <s v="Exploring Infinities - Sales"/>
    <s v="SALES"/>
    <s v="Sales - ROW - ANZ"/>
    <s v="Director 3"/>
    <s v="Remote - Australia/NZ"/>
    <s v="WFH"/>
    <d v="2026-03-23T00:00:00"/>
    <d v="2026-05-14T00:00:00"/>
    <s v="Relieved"/>
    <s v="Voluntary"/>
    <x v="8"/>
    <n v="52"/>
    <n v="1"/>
    <s v="03-2026"/>
    <s v="05-2026"/>
    <n v="1"/>
    <n v="0"/>
    <x v="0"/>
  </r>
  <r>
    <s v="EMP1748"/>
    <s v="Exploring Infinities - Sales"/>
    <s v="SALES"/>
    <s v="Sales - ROW - ANZ"/>
    <s v="Director 3"/>
    <s v="Remote - Australia/NZ"/>
    <s v="WFH"/>
    <d v="2025-10-23T00:00:00"/>
    <d v="2026-04-25T00:00:00"/>
    <s v="Relieved"/>
    <s v="Involuntary"/>
    <x v="7"/>
    <n v="184"/>
    <n v="1"/>
    <s v="10-2025"/>
    <s v="04-2026"/>
    <n v="0"/>
    <n v="1"/>
    <x v="1"/>
  </r>
  <r>
    <s v="EMP1768"/>
    <s v="Exploring Infinities - Sales"/>
    <s v="SALES"/>
    <s v="Sales - ROW - ANZ"/>
    <s v="Director 3"/>
    <s v="Remote - Australia/NZ"/>
    <s v="WFH"/>
    <d v="2026-04-24T00:00:00"/>
    <d v="2026-06-25T00:00:00"/>
    <s v="Relieved"/>
    <s v="Involuntary"/>
    <x v="6"/>
    <n v="62"/>
    <n v="1"/>
    <s v="04-2026"/>
    <s v="06-2026"/>
    <n v="0"/>
    <n v="1"/>
    <x v="0"/>
  </r>
  <r>
    <s v="EMP1773"/>
    <s v="Exploring Infinities - Sales"/>
    <s v="SALES"/>
    <s v="Sales - ROW - ANZ"/>
    <s v="Director 3"/>
    <s v="Remote - Australia/NZ"/>
    <s v="WFH"/>
    <d v="2026-05-24T00:00:00"/>
    <d v="2026-05-24T00:00:00"/>
    <s v="Relieved"/>
    <s v="Voluntary"/>
    <x v="3"/>
    <n v="0"/>
    <n v="1"/>
    <s v="05-2026"/>
    <s v="05-2026"/>
    <n v="1"/>
    <n v="0"/>
    <x v="0"/>
  </r>
  <r>
    <s v="EMP1750"/>
    <s v="Exploring Infinities - Sales"/>
    <s v="SALES"/>
    <s v="Sales - ROW - ANZ"/>
    <s v="Director 3"/>
    <s v="Remote - Australia/NZ"/>
    <s v="WFH"/>
    <d v="2026-04-25T00:00:00"/>
    <m/>
    <s v="Active"/>
    <m/>
    <x v="2"/>
    <n v="66"/>
    <n v="0"/>
    <s v="04-2026"/>
    <s v=""/>
    <n v="0"/>
    <n v="0"/>
    <x v="0"/>
  </r>
  <r>
    <s v="EMP1727"/>
    <s v="Exploring Infinities - Sales"/>
    <s v="SALES"/>
    <s v="Sales - ROW - ANZ"/>
    <s v="Director 3"/>
    <s v="Remote - Australia/NZ"/>
    <s v="WFH"/>
    <d v="2025-01-25T00:00:00"/>
    <d v="2026-06-19T00:00:00"/>
    <s v="Relieved"/>
    <s v="Involuntary"/>
    <x v="1"/>
    <n v="510"/>
    <n v="1"/>
    <s v="01-2025"/>
    <s v="06-2026"/>
    <n v="0"/>
    <n v="1"/>
    <x v="2"/>
  </r>
  <r>
    <s v="EMP1731"/>
    <s v="Exploring Infinities - Sales"/>
    <s v="SALES"/>
    <s v="Sales - ROW - ANZ"/>
    <s v="Director 3"/>
    <s v="Remote - Australia/NZ"/>
    <s v="WFH"/>
    <d v="2025-07-25T00:00:00"/>
    <m/>
    <s v="Active"/>
    <m/>
    <x v="2"/>
    <n v="340"/>
    <n v="0"/>
    <s v="07-2025"/>
    <s v=""/>
    <n v="0"/>
    <n v="0"/>
    <x v="1"/>
  </r>
  <r>
    <s v="EMP1775"/>
    <s v="Exploring Infinities - Sales"/>
    <s v="SALES"/>
    <s v="Sales - ROW - ANZ"/>
    <s v="Director 3"/>
    <s v="Remote - Australia/NZ"/>
    <s v="WFH"/>
    <d v="2026-05-25T00:00:00"/>
    <d v="2026-05-30T00:00:00"/>
    <s v="Relieved"/>
    <s v="Voluntary"/>
    <x v="10"/>
    <n v="5"/>
    <n v="1"/>
    <s v="05-2026"/>
    <s v="05-2026"/>
    <n v="1"/>
    <n v="0"/>
    <x v="0"/>
  </r>
  <r>
    <s v="EMP1772"/>
    <s v="Exploring Infinities - Sales"/>
    <s v="SALES"/>
    <s v="Sales - ROW - ANZ"/>
    <s v="Director 3"/>
    <s v="Remote - Australia/NZ"/>
    <s v="WFH"/>
    <d v="2026-05-26T00:00:00"/>
    <d v="2026-05-26T00:00:00"/>
    <s v="Relieved"/>
    <s v="Voluntary"/>
    <x v="8"/>
    <n v="0"/>
    <n v="1"/>
    <s v="05-2026"/>
    <s v="05-2026"/>
    <n v="1"/>
    <n v="0"/>
    <x v="0"/>
  </r>
  <r>
    <s v="EMP1752"/>
    <s v="Exploring Infinities - Sales"/>
    <s v="SALES"/>
    <s v="Sales - ROW - ANZ"/>
    <s v="Director 3"/>
    <s v="Remote - Australia/NZ"/>
    <s v="WFH"/>
    <d v="2026-04-27T00:00:00"/>
    <m/>
    <s v="Active"/>
    <m/>
    <x v="2"/>
    <n v="64"/>
    <n v="0"/>
    <s v="04-2026"/>
    <s v=""/>
    <n v="0"/>
    <n v="0"/>
    <x v="0"/>
  </r>
  <r>
    <s v="EMP1725"/>
    <s v="Exploring Infinities - Sales"/>
    <s v="SALES"/>
    <s v="Sales - ROW - ANZ"/>
    <s v="Director 3"/>
    <s v="Remote - Australia/NZ"/>
    <s v="WFH"/>
    <d v="2025-12-27T00:00:00"/>
    <d v="2026-05-01T00:00:00"/>
    <s v="Relieved"/>
    <s v="Involuntary"/>
    <x v="7"/>
    <n v="125"/>
    <n v="1"/>
    <s v="12-2025"/>
    <s v="05-2026"/>
    <n v="0"/>
    <n v="1"/>
    <x v="3"/>
  </r>
  <r>
    <s v="EMP1776"/>
    <s v="Exploring Infinities - Sales"/>
    <s v="SALES"/>
    <s v="Sales - ROW - ANZ"/>
    <s v="Director 3"/>
    <s v="Remote - Australia/NZ"/>
    <s v="WFH"/>
    <d v="2026-05-27T00:00:00"/>
    <d v="2026-05-30T00:00:00"/>
    <s v="Relieved"/>
    <s v="Voluntary"/>
    <x v="4"/>
    <n v="3"/>
    <n v="1"/>
    <s v="05-2026"/>
    <s v="05-2026"/>
    <n v="1"/>
    <n v="0"/>
    <x v="0"/>
  </r>
  <r>
    <s v="EMP1756"/>
    <s v="Exploring Infinities - Sales"/>
    <s v="SALES"/>
    <s v="Sales - ROW - ANZ"/>
    <s v="Director 3"/>
    <s v="Remote - Australia/NZ"/>
    <s v="WFH"/>
    <d v="2026-04-29T00:00:00"/>
    <m/>
    <s v="Active"/>
    <m/>
    <x v="2"/>
    <n v="62"/>
    <n v="0"/>
    <s v="04-2026"/>
    <s v=""/>
    <n v="0"/>
    <n v="0"/>
    <x v="0"/>
  </r>
  <r>
    <s v="EMP1767"/>
    <s v="Exploring Infinities - Sales"/>
    <s v="SALES"/>
    <s v="Sales - ROW - ANZ"/>
    <s v="Director 3"/>
    <s v="Remote - Australia/NZ"/>
    <s v="WFH"/>
    <d v="2026-04-29T00:00:00"/>
    <d v="2026-04-29T00:00:00"/>
    <s v="Relieved"/>
    <s v="Voluntary"/>
    <x v="10"/>
    <n v="0"/>
    <n v="1"/>
    <s v="04-2026"/>
    <s v="04-2026"/>
    <n v="1"/>
    <n v="0"/>
    <x v="0"/>
  </r>
  <r>
    <s v="EMP1739"/>
    <s v="Exploring Infinities - Sales"/>
    <s v="SALES"/>
    <s v="Sales - ROW - ANZ"/>
    <s v="Director 3"/>
    <s v="Remote - Australia/NZ"/>
    <s v="WFH"/>
    <d v="2025-01-29T00:00:00"/>
    <d v="2026-04-10T00:00:00"/>
    <s v="Relieved"/>
    <s v="Involuntary"/>
    <x v="7"/>
    <n v="436"/>
    <n v="1"/>
    <s v="01-2025"/>
    <s v="04-2026"/>
    <n v="0"/>
    <n v="1"/>
    <x v="2"/>
  </r>
  <r>
    <s v="EMP1742"/>
    <s v="Exploring Infinities - Sales"/>
    <s v="SALES"/>
    <s v="Sales - ROW - ANZ"/>
    <s v="Director 3"/>
    <s v="Remote - Australia/NZ"/>
    <s v="WFH"/>
    <d v="2025-05-29T00:00:00"/>
    <m/>
    <s v="Active"/>
    <m/>
    <x v="2"/>
    <n v="397"/>
    <n v="0"/>
    <s v="05-2025"/>
    <s v=""/>
    <n v="0"/>
    <n v="0"/>
    <x v="2"/>
  </r>
  <r>
    <s v="EMP1733"/>
    <s v="Exploring Infinities - Sales"/>
    <s v="SALES"/>
    <s v="Sales - ROW - ANZ"/>
    <s v="Director 3"/>
    <s v="Remote - Australia/NZ"/>
    <s v="WFH"/>
    <d v="2025-04-30T00:00:00"/>
    <m/>
    <s v="Active"/>
    <m/>
    <x v="2"/>
    <n v="426"/>
    <n v="0"/>
    <s v="04-2025"/>
    <s v=""/>
    <n v="0"/>
    <n v="0"/>
    <x v="2"/>
  </r>
  <r>
    <s v="EMP1743"/>
    <s v="Exploring Infinities - Sales"/>
    <s v="SALES"/>
    <s v="Sales - ROW - ANZ"/>
    <s v="Director 3"/>
    <s v="Remote - Australia/NZ"/>
    <s v="WFH"/>
    <d v="2025-04-30T00:00:00"/>
    <m/>
    <s v="Active"/>
    <m/>
    <x v="2"/>
    <n v="426"/>
    <n v="0"/>
    <s v="04-2025"/>
    <s v=""/>
    <n v="0"/>
    <n v="0"/>
    <x v="2"/>
  </r>
  <r>
    <s v="EMP1769"/>
    <s v="Exploring Infinities - Sales"/>
    <s v="SALES"/>
    <s v="Sales - ROW - ANZ"/>
    <s v="Director 3"/>
    <s v="Remote - Australia/NZ"/>
    <s v="WFH"/>
    <d v="2026-04-30T00:00:00"/>
    <d v="2026-04-30T00:00:00"/>
    <s v="Relieved"/>
    <s v="Involuntary"/>
    <x v="1"/>
    <n v="0"/>
    <n v="1"/>
    <s v="04-2026"/>
    <s v="04-2026"/>
    <n v="0"/>
    <n v="1"/>
    <x v="0"/>
  </r>
  <r>
    <s v="EMP1782"/>
    <s v="Exploring Infinities - Sales"/>
    <s v="SALES"/>
    <s v="Sales - ROW - ANZ"/>
    <s v="Director 3"/>
    <s v="Remote - Australia/NZ"/>
    <s v="WFH"/>
    <d v="2026-06-30T00:00:00"/>
    <d v="2026-06-30T00:00:00"/>
    <s v="Relieved"/>
    <s v="Involuntary"/>
    <x v="9"/>
    <n v="0"/>
    <n v="1"/>
    <s v="06-2026"/>
    <s v="06-2026"/>
    <n v="0"/>
    <n v="1"/>
    <x v="0"/>
  </r>
  <r>
    <s v="EMP1778"/>
    <s v="Exploring Infinities - Sales"/>
    <s v="SALES"/>
    <s v="Sales - ROW - ANZ"/>
    <s v="Director 3"/>
    <s v="Remote - Australia/NZ"/>
    <s v="WFH"/>
    <d v="2026-05-30T00:00:00"/>
    <d v="2026-05-30T00:00:00"/>
    <s v="Relieved"/>
    <s v="Voluntary"/>
    <x v="4"/>
    <n v="0"/>
    <n v="1"/>
    <s v="05-2026"/>
    <s v="05-2026"/>
    <n v="1"/>
    <n v="0"/>
    <x v="0"/>
  </r>
  <r>
    <s v="EMP1855"/>
    <s v="Exploring Infinities - Sales"/>
    <s v="SALES"/>
    <s v="Sales - ROW - GCC"/>
    <s v="Director 3"/>
    <s v="Remote - GCC"/>
    <s v="WFH"/>
    <d v="2026-04-01T00:00:00"/>
    <d v="2026-04-13T00:00:00"/>
    <s v="Relieved"/>
    <s v="Voluntary"/>
    <x v="0"/>
    <n v="12"/>
    <n v="1"/>
    <s v="04-2026"/>
    <s v="04-2026"/>
    <n v="1"/>
    <n v="0"/>
    <x v="0"/>
  </r>
  <r>
    <s v="EMP1815"/>
    <s v="Exploring Infinities - Sales"/>
    <s v="SALES"/>
    <s v="Sales - ROW - GCC"/>
    <s v="Director 3"/>
    <s v="Remote - GCC"/>
    <s v="WFH"/>
    <d v="2026-02-01T00:00:00"/>
    <d v="2026-06-18T00:00:00"/>
    <s v="Relieved"/>
    <s v="Involuntary"/>
    <x v="9"/>
    <n v="137"/>
    <n v="1"/>
    <s v="02-2026"/>
    <s v="06-2026"/>
    <n v="0"/>
    <n v="1"/>
    <x v="3"/>
  </r>
  <r>
    <s v="EMP1881"/>
    <s v="Exploring Infinities - Sales"/>
    <s v="SALES"/>
    <s v="Sales - ROW - GCC"/>
    <s v="Director 3"/>
    <s v="Remote - GCC"/>
    <s v="WFH"/>
    <d v="2026-06-01T00:00:00"/>
    <d v="2026-06-23T00:00:00"/>
    <s v="Relieved"/>
    <s v="Voluntary"/>
    <x v="10"/>
    <n v="22"/>
    <n v="1"/>
    <s v="06-2026"/>
    <s v="06-2026"/>
    <n v="1"/>
    <n v="0"/>
    <x v="0"/>
  </r>
  <r>
    <s v="EMP1890"/>
    <s v="Exploring Infinities - Sales"/>
    <s v="SALES"/>
    <s v="Sales - ROW - GCC"/>
    <s v="Director 3"/>
    <s v="Remote - GCC"/>
    <s v="WFH"/>
    <d v="2026-06-01T00:00:00"/>
    <m/>
    <s v="Active"/>
    <m/>
    <x v="2"/>
    <n v="29"/>
    <n v="0"/>
    <s v="06-2026"/>
    <s v=""/>
    <n v="0"/>
    <n v="0"/>
    <x v="0"/>
  </r>
  <r>
    <s v="EMP1813"/>
    <s v="Exploring Infinities - Sales"/>
    <s v="SALES"/>
    <s v="Sales - ROW - GCC"/>
    <s v="Director 3"/>
    <s v="Remote - GCC"/>
    <s v="WFH"/>
    <d v="2025-11-01T00:00:00"/>
    <m/>
    <s v="Active"/>
    <m/>
    <x v="2"/>
    <n v="241"/>
    <n v="0"/>
    <s v="11-2025"/>
    <s v=""/>
    <n v="0"/>
    <n v="0"/>
    <x v="1"/>
  </r>
  <r>
    <s v="EMP1824"/>
    <s v="Exploring Infinities - Sales"/>
    <s v="SALES"/>
    <s v="Sales - ROW - GCC"/>
    <s v="Director 3"/>
    <s v="Remote - GCC"/>
    <s v="WFH"/>
    <d v="2025-07-02T00:00:00"/>
    <d v="2026-06-12T00:00:00"/>
    <s v="Relieved"/>
    <s v="Involuntary"/>
    <x v="9"/>
    <n v="345"/>
    <n v="1"/>
    <s v="07-2025"/>
    <s v="06-2026"/>
    <n v="0"/>
    <n v="1"/>
    <x v="1"/>
  </r>
  <r>
    <s v="EMP1833"/>
    <s v="Exploring Infinities - Sales"/>
    <s v="SALES"/>
    <s v="Sales - ROW - GCC"/>
    <s v="Director 3"/>
    <s v="Remote - GCC"/>
    <s v="WFH"/>
    <d v="2026-04-03T00:00:00"/>
    <d v="2026-04-10T00:00:00"/>
    <s v="Relieved"/>
    <s v="Voluntary"/>
    <x v="0"/>
    <n v="7"/>
    <n v="1"/>
    <s v="04-2026"/>
    <s v="04-2026"/>
    <n v="1"/>
    <n v="0"/>
    <x v="0"/>
  </r>
  <r>
    <s v="EMP1840"/>
    <s v="Exploring Infinities - Sales"/>
    <s v="SALES"/>
    <s v="Sales - ROW - GCC"/>
    <s v="Director 3"/>
    <s v="Remote - GCC"/>
    <s v="WFH"/>
    <d v="2026-04-03T00:00:00"/>
    <d v="2026-04-20T00:00:00"/>
    <s v="Relieved"/>
    <s v="Voluntary"/>
    <x v="5"/>
    <n v="17"/>
    <n v="1"/>
    <s v="04-2026"/>
    <s v="04-2026"/>
    <n v="1"/>
    <n v="0"/>
    <x v="0"/>
  </r>
  <r>
    <s v="EMP1841"/>
    <s v="Exploring Infinities - Sales"/>
    <s v="SALES"/>
    <s v="Sales - ROW - GCC"/>
    <s v="Director 3"/>
    <s v="Remote - GCC"/>
    <s v="WFH"/>
    <d v="2026-04-03T00:00:00"/>
    <d v="2026-06-04T00:00:00"/>
    <s v="Relieved"/>
    <s v="Involuntary"/>
    <x v="7"/>
    <n v="62"/>
    <n v="1"/>
    <s v="04-2026"/>
    <s v="06-2026"/>
    <n v="0"/>
    <n v="1"/>
    <x v="0"/>
  </r>
  <r>
    <s v="EMP1854"/>
    <s v="Exploring Infinities - Sales"/>
    <s v="SALES"/>
    <s v="Sales - ROW - GCC"/>
    <s v="Director 3"/>
    <s v="Remote - GCC"/>
    <s v="WFH"/>
    <d v="2026-04-03T00:00:00"/>
    <d v="2026-05-08T00:00:00"/>
    <s v="Relieved"/>
    <s v="Involuntary"/>
    <x v="6"/>
    <n v="35"/>
    <n v="1"/>
    <s v="04-2026"/>
    <s v="05-2026"/>
    <n v="0"/>
    <n v="1"/>
    <x v="0"/>
  </r>
  <r>
    <s v="EMP1859"/>
    <s v="Exploring Infinities - Sales"/>
    <s v="SALES"/>
    <s v="Sales - ROW - GCC"/>
    <s v="Director 3"/>
    <s v="Remote - GCC"/>
    <s v="WFH"/>
    <d v="2026-05-03T00:00:00"/>
    <m/>
    <s v="Active"/>
    <m/>
    <x v="2"/>
    <n v="58"/>
    <n v="0"/>
    <s v="05-2026"/>
    <s v=""/>
    <n v="0"/>
    <n v="0"/>
    <x v="0"/>
  </r>
  <r>
    <s v="EMP1853"/>
    <s v="Exploring Infinities - Sales"/>
    <s v="SALES"/>
    <s v="Sales - ROW - GCC"/>
    <s v="Director 3"/>
    <s v="Remote - GCC"/>
    <s v="WFH"/>
    <d v="2026-04-04T00:00:00"/>
    <m/>
    <s v="Active"/>
    <m/>
    <x v="2"/>
    <n v="87"/>
    <n v="0"/>
    <s v="04-2026"/>
    <s v=""/>
    <n v="0"/>
    <n v="0"/>
    <x v="0"/>
  </r>
  <r>
    <s v="EMP1790"/>
    <s v="Exploring Infinities - Sales"/>
    <s v="SALES"/>
    <s v="Sales - ROW - GCC"/>
    <s v="Director 3"/>
    <s v="Remote - GCC"/>
    <s v="WFH"/>
    <d v="2025-10-04T00:00:00"/>
    <d v="2026-05-11T00:00:00"/>
    <s v="Relieved"/>
    <s v="Involuntary"/>
    <x v="6"/>
    <n v="219"/>
    <n v="1"/>
    <s v="10-2025"/>
    <s v="05-2026"/>
    <n v="0"/>
    <n v="1"/>
    <x v="1"/>
  </r>
  <r>
    <s v="EMP1843"/>
    <s v="Exploring Infinities - Sales"/>
    <s v="SALES"/>
    <s v="Sales - ROW - GCC"/>
    <s v="Director 3"/>
    <s v="Remote - GCC"/>
    <s v="WFH"/>
    <d v="2026-04-05T00:00:00"/>
    <d v="2026-04-27T00:00:00"/>
    <s v="Relieved"/>
    <s v="Voluntary"/>
    <x v="3"/>
    <n v="22"/>
    <n v="1"/>
    <s v="04-2026"/>
    <s v="04-2026"/>
    <n v="1"/>
    <n v="0"/>
    <x v="0"/>
  </r>
  <r>
    <s v="EMP1848"/>
    <s v="Exploring Infinities - Sales"/>
    <s v="SALES"/>
    <s v="Sales - ROW - GCC"/>
    <s v="Director 3"/>
    <s v="Remote - GCC"/>
    <s v="WFH"/>
    <d v="2026-04-05T00:00:00"/>
    <m/>
    <s v="Active"/>
    <m/>
    <x v="2"/>
    <n v="86"/>
    <n v="0"/>
    <s v="04-2026"/>
    <s v=""/>
    <n v="0"/>
    <n v="0"/>
    <x v="0"/>
  </r>
  <r>
    <s v="EMP1867"/>
    <s v="Exploring Infinities - Sales"/>
    <s v="SALES"/>
    <s v="Sales - ROW - GCC"/>
    <s v="Director 3"/>
    <s v="Remote - GCC"/>
    <s v="WFH"/>
    <d v="2026-05-05T00:00:00"/>
    <m/>
    <s v="Active"/>
    <m/>
    <x v="2"/>
    <n v="56"/>
    <n v="0"/>
    <s v="05-2026"/>
    <s v=""/>
    <n v="0"/>
    <n v="0"/>
    <x v="0"/>
  </r>
  <r>
    <s v="EMP1873"/>
    <s v="Exploring Infinities - Sales"/>
    <s v="SALES"/>
    <s v="Sales - ROW - GCC"/>
    <s v="Director 3"/>
    <s v="Remote - GCC"/>
    <s v="WFH"/>
    <d v="2026-05-05T00:00:00"/>
    <d v="2026-05-05T00:00:00"/>
    <s v="Relieved"/>
    <s v="Voluntary"/>
    <x v="0"/>
    <n v="0"/>
    <n v="1"/>
    <s v="05-2026"/>
    <s v="05-2026"/>
    <n v="1"/>
    <n v="0"/>
    <x v="0"/>
  </r>
  <r>
    <s v="EMP1828"/>
    <s v="Exploring Infinities - Sales"/>
    <s v="SALES"/>
    <s v="Sales - ROW - GCC"/>
    <s v="Director 3"/>
    <s v="Remote - GCC"/>
    <s v="WFH"/>
    <d v="2025-04-06T00:00:00"/>
    <m/>
    <s v="Active"/>
    <m/>
    <x v="2"/>
    <n v="450"/>
    <n v="0"/>
    <s v="04-2025"/>
    <s v=""/>
    <n v="0"/>
    <n v="0"/>
    <x v="2"/>
  </r>
  <r>
    <s v="EMP1820"/>
    <s v="Exploring Infinities - Sales"/>
    <s v="SALES"/>
    <s v="Sales - ROW - GCC"/>
    <s v="Director 3"/>
    <s v="Remote - GCC"/>
    <s v="WFH"/>
    <d v="2026-02-06T00:00:00"/>
    <d v="2026-04-09T00:00:00"/>
    <s v="Relieved"/>
    <s v="Involuntary"/>
    <x v="6"/>
    <n v="62"/>
    <n v="1"/>
    <s v="02-2026"/>
    <s v="04-2026"/>
    <n v="0"/>
    <n v="1"/>
    <x v="0"/>
  </r>
  <r>
    <s v="EMP1798"/>
    <s v="Exploring Infinities - Sales"/>
    <s v="SALES"/>
    <s v="Sales - ROW - GCC"/>
    <s v="Director 3"/>
    <s v="Remote - GCC"/>
    <s v="WFH"/>
    <d v="2026-01-06T00:00:00"/>
    <m/>
    <s v="Active"/>
    <m/>
    <x v="2"/>
    <n v="175"/>
    <n v="0"/>
    <s v="01-2026"/>
    <s v=""/>
    <n v="0"/>
    <n v="0"/>
    <x v="3"/>
  </r>
  <r>
    <s v="EMP1876"/>
    <s v="Exploring Infinities - Sales"/>
    <s v="SALES"/>
    <s v="Sales - ROW - GCC"/>
    <s v="Director 3"/>
    <s v="Remote - GCC"/>
    <s v="WFH"/>
    <d v="2026-06-06T00:00:00"/>
    <m/>
    <s v="Active"/>
    <m/>
    <x v="2"/>
    <n v="24"/>
    <n v="0"/>
    <s v="06-2026"/>
    <s v=""/>
    <n v="0"/>
    <n v="0"/>
    <x v="0"/>
  </r>
  <r>
    <s v="EMP1807"/>
    <s v="Exploring Infinities - Sales"/>
    <s v="SALES"/>
    <s v="Sales - ROW - GCC"/>
    <s v="Director 3"/>
    <s v="Remote - GCC"/>
    <s v="WFH"/>
    <d v="2026-03-06T00:00:00"/>
    <d v="2026-06-25T00:00:00"/>
    <s v="Relieved"/>
    <s v="Involuntary"/>
    <x v="7"/>
    <n v="111"/>
    <n v="1"/>
    <s v="03-2026"/>
    <s v="06-2026"/>
    <n v="0"/>
    <n v="1"/>
    <x v="3"/>
  </r>
  <r>
    <s v="EMP1810"/>
    <s v="Exploring Infinities - Sales"/>
    <s v="SALES"/>
    <s v="Sales - ROW - GCC"/>
    <s v="Director 3"/>
    <s v="Remote - GCC"/>
    <s v="WFH"/>
    <d v="2025-11-06T00:00:00"/>
    <d v="2026-04-24T00:00:00"/>
    <s v="Relieved"/>
    <s v="Involuntary"/>
    <x v="6"/>
    <n v="169"/>
    <n v="1"/>
    <s v="11-2025"/>
    <s v="04-2026"/>
    <n v="0"/>
    <n v="1"/>
    <x v="3"/>
  </r>
  <r>
    <s v="EMP1885"/>
    <s v="Exploring Infinities - Sales"/>
    <s v="SALES"/>
    <s v="Sales - ROW - GCC"/>
    <s v="Director 3"/>
    <s v="Remote - GCC"/>
    <s v="WFH"/>
    <d v="2026-06-07T00:00:00"/>
    <d v="2026-06-16T00:00:00"/>
    <s v="Relieved"/>
    <s v="Voluntary"/>
    <x v="10"/>
    <n v="9"/>
    <n v="1"/>
    <s v="06-2026"/>
    <s v="06-2026"/>
    <n v="1"/>
    <n v="0"/>
    <x v="0"/>
  </r>
  <r>
    <s v="EMP1892"/>
    <s v="Exploring Infinities - Sales"/>
    <s v="SALES"/>
    <s v="Sales - ROW - GCC"/>
    <s v="Director 3"/>
    <s v="Remote - GCC"/>
    <s v="WFH"/>
    <d v="2026-06-07T00:00:00"/>
    <m/>
    <s v="Active"/>
    <m/>
    <x v="2"/>
    <n v="23"/>
    <n v="0"/>
    <s v="06-2026"/>
    <s v=""/>
    <n v="0"/>
    <n v="0"/>
    <x v="0"/>
  </r>
  <r>
    <s v="EMP1893"/>
    <s v="Exploring Infinities - Sales"/>
    <s v="SALES"/>
    <s v="Sales - ROW - GCC"/>
    <s v="Director 3"/>
    <s v="Remote - GCC"/>
    <s v="WFH"/>
    <d v="2026-06-07T00:00:00"/>
    <d v="2026-06-10T00:00:00"/>
    <s v="Relieved"/>
    <s v="Voluntary"/>
    <x v="8"/>
    <n v="3"/>
    <n v="1"/>
    <s v="06-2026"/>
    <s v="06-2026"/>
    <n v="1"/>
    <n v="0"/>
    <x v="0"/>
  </r>
  <r>
    <s v="EMP1838"/>
    <s v="Exploring Infinities - Sales"/>
    <s v="SALES"/>
    <s v="Sales - ROW - GCC"/>
    <s v="Director 3"/>
    <s v="Remote - GCC"/>
    <s v="WFH"/>
    <d v="2026-04-08T00:00:00"/>
    <d v="2026-06-15T00:00:00"/>
    <s v="Relieved"/>
    <s v="Involuntary"/>
    <x v="7"/>
    <n v="68"/>
    <n v="1"/>
    <s v="04-2026"/>
    <s v="06-2026"/>
    <n v="0"/>
    <n v="1"/>
    <x v="0"/>
  </r>
  <r>
    <s v="EMP1808"/>
    <s v="Exploring Infinities - Sales"/>
    <s v="SALES"/>
    <s v="Sales - ROW - GCC"/>
    <s v="Director 3"/>
    <s v="Remote - GCC"/>
    <s v="WFH"/>
    <d v="2025-02-08T00:00:00"/>
    <d v="2026-04-30T00:00:00"/>
    <s v="Relieved"/>
    <s v="Involuntary"/>
    <x v="1"/>
    <n v="446"/>
    <n v="1"/>
    <s v="02-2025"/>
    <s v="04-2026"/>
    <n v="0"/>
    <n v="1"/>
    <x v="2"/>
  </r>
  <r>
    <s v="EMP1870"/>
    <s v="Exploring Infinities - Sales"/>
    <s v="SALES"/>
    <s v="Sales - ROW - GCC"/>
    <s v="Director 3"/>
    <s v="Remote - GCC"/>
    <s v="WFH"/>
    <d v="2026-05-08T00:00:00"/>
    <m/>
    <s v="Active"/>
    <m/>
    <x v="2"/>
    <n v="53"/>
    <n v="0"/>
    <s v="05-2026"/>
    <s v=""/>
    <n v="0"/>
    <n v="0"/>
    <x v="0"/>
  </r>
  <r>
    <s v="EMP1842"/>
    <s v="Exploring Infinities - Sales"/>
    <s v="SALES"/>
    <s v="Sales - ROW - GCC"/>
    <s v="Director 3"/>
    <s v="Remote - GCC"/>
    <s v="WFH"/>
    <d v="2026-04-09T00:00:00"/>
    <d v="2026-04-09T00:00:00"/>
    <s v="Relieved"/>
    <s v="Voluntary"/>
    <x v="10"/>
    <n v="0"/>
    <n v="1"/>
    <s v="04-2026"/>
    <s v="04-2026"/>
    <n v="1"/>
    <n v="0"/>
    <x v="0"/>
  </r>
  <r>
    <s v="EMP1796"/>
    <s v="Exploring Infinities - Sales"/>
    <s v="SALES"/>
    <s v="Sales - ROW - GCC"/>
    <s v="Director 3"/>
    <s v="Remote - GCC"/>
    <s v="WFH"/>
    <d v="2026-02-09T00:00:00"/>
    <d v="2026-04-23T00:00:00"/>
    <s v="Relieved"/>
    <s v="Involuntary"/>
    <x v="1"/>
    <n v="73"/>
    <n v="1"/>
    <s v="02-2026"/>
    <s v="04-2026"/>
    <n v="0"/>
    <n v="1"/>
    <x v="0"/>
  </r>
  <r>
    <s v="EMP1894"/>
    <s v="Exploring Infinities - Sales"/>
    <s v="SALES"/>
    <s v="Sales - ROW - GCC"/>
    <s v="Director 3"/>
    <s v="Remote - GCC"/>
    <s v="WFH"/>
    <d v="2026-06-09T00:00:00"/>
    <d v="2026-06-09T00:00:00"/>
    <s v="Relieved"/>
    <s v="Voluntary"/>
    <x v="5"/>
    <n v="0"/>
    <n v="1"/>
    <s v="06-2026"/>
    <s v="06-2026"/>
    <n v="1"/>
    <n v="0"/>
    <x v="0"/>
  </r>
  <r>
    <s v="EMP1871"/>
    <s v="Exploring Infinities - Sales"/>
    <s v="SALES"/>
    <s v="Sales - ROW - GCC"/>
    <s v="Director 3"/>
    <s v="Remote - GCC"/>
    <s v="WFH"/>
    <d v="2026-05-09T00:00:00"/>
    <d v="2026-05-12T00:00:00"/>
    <s v="Relieved"/>
    <s v="Voluntary"/>
    <x v="10"/>
    <n v="3"/>
    <n v="1"/>
    <s v="05-2026"/>
    <s v="05-2026"/>
    <n v="1"/>
    <n v="0"/>
    <x v="0"/>
  </r>
  <r>
    <s v="EMP1822"/>
    <s v="Exploring Infinities - Sales"/>
    <s v="SALES"/>
    <s v="Sales - ROW - GCC"/>
    <s v="Director 3"/>
    <s v="Remote - GCC"/>
    <s v="WFH"/>
    <d v="2025-09-09T00:00:00"/>
    <m/>
    <s v="Active"/>
    <m/>
    <x v="2"/>
    <n v="294"/>
    <n v="0"/>
    <s v="09-2025"/>
    <s v=""/>
    <n v="0"/>
    <n v="0"/>
    <x v="1"/>
  </r>
  <r>
    <s v="EMP1836"/>
    <s v="Exploring Infinities - Sales"/>
    <s v="SALES"/>
    <s v="Sales - ROW - GCC"/>
    <s v="Director 3"/>
    <s v="Remote - GCC"/>
    <s v="WFH"/>
    <d v="2026-04-10T00:00:00"/>
    <m/>
    <s v="Active"/>
    <m/>
    <x v="2"/>
    <n v="81"/>
    <n v="0"/>
    <s v="04-2026"/>
    <s v=""/>
    <n v="0"/>
    <n v="0"/>
    <x v="0"/>
  </r>
  <r>
    <s v="EMP1856"/>
    <s v="Exploring Infinities - Sales"/>
    <s v="SALES"/>
    <s v="Sales - ROW - GCC"/>
    <s v="Director 3"/>
    <s v="Remote - GCC"/>
    <s v="WFH"/>
    <d v="2026-04-10T00:00:00"/>
    <d v="2026-05-22T00:00:00"/>
    <s v="Relieved"/>
    <s v="Voluntary"/>
    <x v="5"/>
    <n v="42"/>
    <n v="1"/>
    <s v="04-2026"/>
    <s v="05-2026"/>
    <n v="1"/>
    <n v="0"/>
    <x v="0"/>
  </r>
  <r>
    <s v="EMP1827"/>
    <s v="Exploring Infinities - Sales"/>
    <s v="SALES"/>
    <s v="Sales - ROW - GCC"/>
    <s v="Director 3"/>
    <s v="Remote - GCC"/>
    <s v="WFH"/>
    <d v="2025-08-10T00:00:00"/>
    <m/>
    <s v="Active"/>
    <m/>
    <x v="2"/>
    <n v="324"/>
    <n v="0"/>
    <s v="08-2025"/>
    <s v=""/>
    <n v="0"/>
    <n v="0"/>
    <x v="1"/>
  </r>
  <r>
    <s v="EMP1799"/>
    <s v="Exploring Infinities - Sales"/>
    <s v="SALES"/>
    <s v="Sales - ROW - GCC"/>
    <s v="Director 3"/>
    <s v="Remote - GCC"/>
    <s v="WFH"/>
    <d v="2025-02-10T00:00:00"/>
    <m/>
    <s v="Active"/>
    <m/>
    <x v="2"/>
    <n v="505"/>
    <n v="0"/>
    <s v="02-2025"/>
    <s v=""/>
    <n v="0"/>
    <n v="0"/>
    <x v="2"/>
  </r>
  <r>
    <s v="EMP1869"/>
    <s v="Exploring Infinities - Sales"/>
    <s v="SALES"/>
    <s v="Sales - ROW - GCC"/>
    <s v="Director 3"/>
    <s v="Remote - GCC"/>
    <s v="WFH"/>
    <d v="2026-05-10T00:00:00"/>
    <m/>
    <s v="Active"/>
    <m/>
    <x v="2"/>
    <n v="51"/>
    <n v="0"/>
    <s v="05-2026"/>
    <s v=""/>
    <n v="0"/>
    <n v="0"/>
    <x v="0"/>
  </r>
  <r>
    <s v="EMP1851"/>
    <s v="Exploring Infinities - Sales"/>
    <s v="SALES"/>
    <s v="Sales - ROW - GCC"/>
    <s v="Director 3"/>
    <s v="Remote - GCC"/>
    <s v="WFH"/>
    <d v="2026-04-11T00:00:00"/>
    <m/>
    <s v="Active"/>
    <m/>
    <x v="2"/>
    <n v="80"/>
    <n v="0"/>
    <s v="04-2026"/>
    <s v=""/>
    <n v="0"/>
    <n v="0"/>
    <x v="0"/>
  </r>
  <r>
    <s v="EMP1812"/>
    <s v="Exploring Infinities - Sales"/>
    <s v="SALES"/>
    <s v="Sales - ROW - GCC"/>
    <s v="Director 3"/>
    <s v="Remote - GCC"/>
    <s v="WFH"/>
    <d v="2025-11-11T00:00:00"/>
    <d v="2026-04-15T00:00:00"/>
    <s v="Relieved"/>
    <s v="Involuntary"/>
    <x v="7"/>
    <n v="155"/>
    <n v="1"/>
    <s v="11-2025"/>
    <s v="04-2026"/>
    <n v="0"/>
    <n v="1"/>
    <x v="3"/>
  </r>
  <r>
    <s v="EMP1825"/>
    <s v="Exploring Infinities - Sales"/>
    <s v="SALES"/>
    <s v="Sales - ROW - GCC"/>
    <s v="Director 3"/>
    <s v="Remote - GCC"/>
    <s v="WFH"/>
    <d v="2025-10-11T00:00:00"/>
    <m/>
    <s v="Active"/>
    <m/>
    <x v="2"/>
    <n v="262"/>
    <n v="0"/>
    <s v="10-2025"/>
    <s v=""/>
    <n v="0"/>
    <n v="0"/>
    <x v="1"/>
  </r>
  <r>
    <s v="EMP1852"/>
    <s v="Exploring Infinities - Sales"/>
    <s v="SALES"/>
    <s v="Sales - ROW - GCC"/>
    <s v="Director 3"/>
    <s v="Remote - GCC"/>
    <s v="WFH"/>
    <d v="2026-04-12T00:00:00"/>
    <d v="2026-04-12T00:00:00"/>
    <s v="Relieved"/>
    <s v="Voluntary"/>
    <x v="5"/>
    <n v="0"/>
    <n v="1"/>
    <s v="04-2026"/>
    <s v="04-2026"/>
    <n v="1"/>
    <n v="0"/>
    <x v="0"/>
  </r>
  <r>
    <s v="EMP1805"/>
    <s v="Exploring Infinities - Sales"/>
    <s v="SALES"/>
    <s v="Sales - ROW - GCC"/>
    <s v="Director 3"/>
    <s v="Remote - GCC"/>
    <s v="WFH"/>
    <d v="2025-08-12T00:00:00"/>
    <d v="2026-06-10T00:00:00"/>
    <s v="Relieved"/>
    <s v="Involuntary"/>
    <x v="9"/>
    <n v="302"/>
    <n v="1"/>
    <s v="08-2025"/>
    <s v="06-2026"/>
    <n v="0"/>
    <n v="1"/>
    <x v="1"/>
  </r>
  <r>
    <s v="EMP1826"/>
    <s v="Exploring Infinities - Sales"/>
    <s v="SALES"/>
    <s v="Sales - ROW - GCC"/>
    <s v="Director 3"/>
    <s v="Remote - GCC"/>
    <s v="WFH"/>
    <d v="2025-07-12T00:00:00"/>
    <d v="2026-04-11T00:00:00"/>
    <s v="Relieved"/>
    <s v="Involuntary"/>
    <x v="6"/>
    <n v="273"/>
    <n v="1"/>
    <s v="07-2025"/>
    <s v="04-2026"/>
    <n v="0"/>
    <n v="1"/>
    <x v="1"/>
  </r>
  <r>
    <s v="EMP1832"/>
    <s v="Exploring Infinities - Sales"/>
    <s v="SALES"/>
    <s v="Sales - ROW - GCC"/>
    <s v="Director 3"/>
    <s v="Remote - GCC"/>
    <s v="WFH"/>
    <d v="2026-04-13T00:00:00"/>
    <d v="2026-04-13T00:00:00"/>
    <s v="Relieved"/>
    <s v="Voluntary"/>
    <x v="10"/>
    <n v="0"/>
    <n v="1"/>
    <s v="04-2026"/>
    <s v="04-2026"/>
    <n v="1"/>
    <n v="0"/>
    <x v="0"/>
  </r>
  <r>
    <s v="EMP1844"/>
    <s v="Exploring Infinities - Sales"/>
    <s v="SALES"/>
    <s v="Sales - ROW - GCC"/>
    <s v="Director 3"/>
    <s v="Remote - GCC"/>
    <s v="WFH"/>
    <d v="2026-04-13T00:00:00"/>
    <m/>
    <s v="Active"/>
    <m/>
    <x v="2"/>
    <n v="78"/>
    <n v="0"/>
    <s v="04-2026"/>
    <s v=""/>
    <n v="0"/>
    <n v="0"/>
    <x v="0"/>
  </r>
  <r>
    <s v="EMP1850"/>
    <s v="Exploring Infinities - Sales"/>
    <s v="SALES"/>
    <s v="Sales - ROW - GCC"/>
    <s v="Director 3"/>
    <s v="Remote - GCC"/>
    <s v="WFH"/>
    <d v="2026-04-13T00:00:00"/>
    <d v="2026-04-13T00:00:00"/>
    <s v="Relieved"/>
    <s v="Voluntary"/>
    <x v="3"/>
    <n v="0"/>
    <n v="1"/>
    <s v="04-2026"/>
    <s v="04-2026"/>
    <n v="1"/>
    <n v="0"/>
    <x v="0"/>
  </r>
  <r>
    <s v="EMP1789"/>
    <s v="Exploring Infinities - Sales"/>
    <s v="SALES"/>
    <s v="Sales - ROW - GCC"/>
    <s v="Director 3"/>
    <s v="Remote - GCC"/>
    <s v="WFH"/>
    <d v="2025-12-13T00:00:00"/>
    <d v="2026-06-24T00:00:00"/>
    <s v="Relieved"/>
    <s v="Involuntary"/>
    <x v="1"/>
    <n v="193"/>
    <n v="1"/>
    <s v="12-2025"/>
    <s v="06-2026"/>
    <n v="0"/>
    <n v="1"/>
    <x v="1"/>
  </r>
  <r>
    <s v="EMP1880"/>
    <s v="Exploring Infinities - Sales"/>
    <s v="SALES"/>
    <s v="Sales - ROW - GCC"/>
    <s v="Director 3"/>
    <s v="Remote - GCC"/>
    <s v="WFH"/>
    <d v="2026-06-13T00:00:00"/>
    <m/>
    <s v="Active"/>
    <m/>
    <x v="2"/>
    <n v="17"/>
    <n v="0"/>
    <s v="06-2026"/>
    <s v=""/>
    <n v="0"/>
    <n v="0"/>
    <x v="0"/>
  </r>
  <r>
    <s v="EMP1889"/>
    <s v="Exploring Infinities - Sales"/>
    <s v="SALES"/>
    <s v="Sales - ROW - GCC"/>
    <s v="Director 3"/>
    <s v="Remote - GCC"/>
    <s v="WFH"/>
    <d v="2026-06-13T00:00:00"/>
    <d v="2026-06-13T00:00:00"/>
    <s v="Relieved"/>
    <s v="Voluntary"/>
    <x v="10"/>
    <n v="0"/>
    <n v="1"/>
    <s v="06-2026"/>
    <s v="06-2026"/>
    <n v="1"/>
    <n v="0"/>
    <x v="0"/>
  </r>
  <r>
    <s v="EMP1795"/>
    <s v="Exploring Infinities - Sales"/>
    <s v="SALES"/>
    <s v="Sales - ROW - GCC"/>
    <s v="Director 3"/>
    <s v="Remote - GCC"/>
    <s v="WFH"/>
    <d v="2025-03-13T00:00:00"/>
    <d v="2026-06-15T00:00:00"/>
    <s v="Relieved"/>
    <s v="Involuntary"/>
    <x v="9"/>
    <n v="459"/>
    <n v="1"/>
    <s v="03-2025"/>
    <s v="06-2026"/>
    <n v="0"/>
    <n v="1"/>
    <x v="2"/>
  </r>
  <r>
    <s v="EMP1794"/>
    <s v="Exploring Infinities - Sales"/>
    <s v="SALES"/>
    <s v="Sales - ROW - GCC"/>
    <s v="Director 3"/>
    <s v="Remote - GCC"/>
    <s v="WFH"/>
    <d v="2026-01-14T00:00:00"/>
    <d v="2026-05-21T00:00:00"/>
    <s v="Relieved"/>
    <s v="Involuntary"/>
    <x v="1"/>
    <n v="127"/>
    <n v="1"/>
    <s v="01-2026"/>
    <s v="05-2026"/>
    <n v="0"/>
    <n v="1"/>
    <x v="3"/>
  </r>
  <r>
    <s v="EMP1879"/>
    <s v="Exploring Infinities - Sales"/>
    <s v="SALES"/>
    <s v="Sales - ROW - GCC"/>
    <s v="Director 3"/>
    <s v="Remote - GCC"/>
    <s v="WFH"/>
    <d v="2026-06-14T00:00:00"/>
    <d v="2026-06-16T00:00:00"/>
    <s v="Relieved"/>
    <s v="Voluntary"/>
    <x v="5"/>
    <n v="2"/>
    <n v="1"/>
    <s v="06-2026"/>
    <s v="06-2026"/>
    <n v="1"/>
    <n v="0"/>
    <x v="0"/>
  </r>
  <r>
    <s v="EMP1888"/>
    <s v="Exploring Infinities - Sales"/>
    <s v="SALES"/>
    <s v="Sales - ROW - GCC"/>
    <s v="Director 3"/>
    <s v="Remote - GCC"/>
    <s v="WFH"/>
    <d v="2026-06-14T00:00:00"/>
    <d v="2026-06-25T00:00:00"/>
    <s v="Relieved"/>
    <s v="Voluntary"/>
    <x v="10"/>
    <n v="11"/>
    <n v="1"/>
    <s v="06-2026"/>
    <s v="06-2026"/>
    <n v="1"/>
    <n v="0"/>
    <x v="0"/>
  </r>
  <r>
    <s v="EMP1864"/>
    <s v="Exploring Infinities - Sales"/>
    <s v="SALES"/>
    <s v="Sales - ROW - GCC"/>
    <s v="Director 3"/>
    <s v="Remote - GCC"/>
    <s v="WFH"/>
    <d v="2026-05-14T00:00:00"/>
    <m/>
    <s v="Active"/>
    <m/>
    <x v="2"/>
    <n v="47"/>
    <n v="0"/>
    <s v="05-2026"/>
    <s v=""/>
    <n v="0"/>
    <n v="0"/>
    <x v="0"/>
  </r>
  <r>
    <s v="EMP1875"/>
    <s v="Exploring Infinities - Sales"/>
    <s v="SALES"/>
    <s v="Sales - ROW - GCC"/>
    <s v="Director 3"/>
    <s v="Remote - GCC"/>
    <s v="WFH"/>
    <d v="2026-05-14T00:00:00"/>
    <d v="2026-05-15T00:00:00"/>
    <s v="Relieved"/>
    <s v="Voluntary"/>
    <x v="5"/>
    <n v="1"/>
    <n v="1"/>
    <s v="05-2026"/>
    <s v="05-2026"/>
    <n v="1"/>
    <n v="0"/>
    <x v="0"/>
  </r>
  <r>
    <s v="EMP1800"/>
    <s v="Exploring Infinities - Sales"/>
    <s v="SALES"/>
    <s v="Sales - ROW - GCC"/>
    <s v="Director 3"/>
    <s v="Remote - GCC"/>
    <s v="WFH"/>
    <d v="2025-09-14T00:00:00"/>
    <d v="2026-06-04T00:00:00"/>
    <s v="Relieved"/>
    <s v="Voluntary"/>
    <x v="4"/>
    <n v="263"/>
    <n v="1"/>
    <s v="09-2025"/>
    <s v="06-2026"/>
    <n v="1"/>
    <n v="0"/>
    <x v="1"/>
  </r>
  <r>
    <s v="EMP1829"/>
    <s v="Exploring Infinities - Sales"/>
    <s v="SALES"/>
    <s v="Sales - ROW - GCC"/>
    <s v="Director 3"/>
    <s v="Remote - GCC"/>
    <s v="WFH"/>
    <d v="2025-12-15T00:00:00"/>
    <d v="2026-05-30T00:00:00"/>
    <s v="Relieved"/>
    <s v="Voluntary"/>
    <x v="3"/>
    <n v="166"/>
    <n v="1"/>
    <s v="12-2025"/>
    <s v="05-2026"/>
    <n v="1"/>
    <n v="0"/>
    <x v="3"/>
  </r>
  <r>
    <s v="EMP1886"/>
    <s v="Exploring Infinities - Sales"/>
    <s v="SALES"/>
    <s v="Sales - ROW - GCC"/>
    <s v="Director 3"/>
    <s v="Remote - GCC"/>
    <s v="WFH"/>
    <d v="2026-06-15T00:00:00"/>
    <m/>
    <s v="Active"/>
    <m/>
    <x v="2"/>
    <n v="15"/>
    <n v="0"/>
    <s v="06-2026"/>
    <s v=""/>
    <n v="0"/>
    <n v="0"/>
    <x v="0"/>
  </r>
  <r>
    <s v="EMP1817"/>
    <s v="Exploring Infinities - Sales"/>
    <s v="SALES"/>
    <s v="Sales - ROW - GCC"/>
    <s v="Director 3"/>
    <s v="Remote - GCC"/>
    <s v="WFH"/>
    <d v="2025-01-16T00:00:00"/>
    <m/>
    <s v="Active"/>
    <m/>
    <x v="2"/>
    <n v="530"/>
    <n v="0"/>
    <s v="01-2025"/>
    <s v=""/>
    <n v="0"/>
    <n v="0"/>
    <x v="2"/>
  </r>
  <r>
    <s v="EMP1792"/>
    <s v="Exploring Infinities - Sales"/>
    <s v="SALES"/>
    <s v="Sales - ROW - GCC"/>
    <s v="Director 3"/>
    <s v="Remote - GCC"/>
    <s v="WFH"/>
    <d v="2025-07-16T00:00:00"/>
    <d v="2026-04-19T00:00:00"/>
    <s v="Relieved"/>
    <s v="Involuntary"/>
    <x v="1"/>
    <n v="277"/>
    <n v="1"/>
    <s v="07-2025"/>
    <s v="04-2026"/>
    <n v="0"/>
    <n v="1"/>
    <x v="1"/>
  </r>
  <r>
    <s v="EMP1866"/>
    <s v="Exploring Infinities - Sales"/>
    <s v="SALES"/>
    <s v="Sales - ROW - GCC"/>
    <s v="Director 3"/>
    <s v="Remote - GCC"/>
    <s v="WFH"/>
    <d v="2026-05-16T00:00:00"/>
    <m/>
    <s v="Active"/>
    <m/>
    <x v="2"/>
    <n v="45"/>
    <n v="0"/>
    <s v="05-2026"/>
    <s v=""/>
    <n v="0"/>
    <n v="0"/>
    <x v="0"/>
  </r>
  <r>
    <s v="EMP1801"/>
    <s v="Exploring Infinities - Sales"/>
    <s v="SALES"/>
    <s v="Sales - ROW - GCC"/>
    <s v="Director 3"/>
    <s v="Remote - GCC"/>
    <s v="WFH"/>
    <d v="2026-01-17T00:00:00"/>
    <d v="2026-04-12T00:00:00"/>
    <s v="Relieved"/>
    <s v="Involuntary"/>
    <x v="9"/>
    <n v="85"/>
    <n v="1"/>
    <s v="01-2026"/>
    <s v="04-2026"/>
    <n v="0"/>
    <n v="1"/>
    <x v="0"/>
  </r>
  <r>
    <s v="EMP1816"/>
    <s v="Exploring Infinities - Sales"/>
    <s v="SALES"/>
    <s v="Sales - ROW - GCC"/>
    <s v="Director 3"/>
    <s v="Remote - GCC"/>
    <s v="WFH"/>
    <d v="2025-06-17T00:00:00"/>
    <d v="2026-05-08T00:00:00"/>
    <s v="Relieved"/>
    <s v="Involuntary"/>
    <x v="1"/>
    <n v="325"/>
    <n v="1"/>
    <s v="06-2025"/>
    <s v="05-2026"/>
    <n v="0"/>
    <n v="1"/>
    <x v="1"/>
  </r>
  <r>
    <s v="EMP1821"/>
    <s v="Exploring Infinities - Sales"/>
    <s v="SALES"/>
    <s v="Sales - ROW - GCC"/>
    <s v="Director 3"/>
    <s v="Remote - GCC"/>
    <s v="WFH"/>
    <d v="2025-08-19T00:00:00"/>
    <m/>
    <s v="Active"/>
    <m/>
    <x v="2"/>
    <n v="315"/>
    <n v="0"/>
    <s v="08-2025"/>
    <s v=""/>
    <n v="0"/>
    <n v="0"/>
    <x v="1"/>
  </r>
  <r>
    <s v="EMP1797"/>
    <s v="Exploring Infinities - Sales"/>
    <s v="SALES"/>
    <s v="Sales - ROW - GCC"/>
    <s v="Director 3"/>
    <s v="Remote - GCC"/>
    <s v="WFH"/>
    <d v="2025-12-19T00:00:00"/>
    <d v="2026-06-18T00:00:00"/>
    <s v="Relieved"/>
    <s v="Involuntary"/>
    <x v="1"/>
    <n v="181"/>
    <n v="1"/>
    <s v="12-2025"/>
    <s v="06-2026"/>
    <n v="0"/>
    <n v="1"/>
    <x v="1"/>
  </r>
  <r>
    <s v="EMP1791"/>
    <s v="Exploring Infinities - Sales"/>
    <s v="SALES"/>
    <s v="Sales - ROW - GCC"/>
    <s v="Director 3"/>
    <s v="Remote - GCC"/>
    <s v="WFH"/>
    <d v="2025-06-19T00:00:00"/>
    <d v="2026-06-25T00:00:00"/>
    <s v="Relieved"/>
    <s v="Involuntary"/>
    <x v="6"/>
    <n v="371"/>
    <n v="1"/>
    <s v="06-2025"/>
    <s v="06-2026"/>
    <n v="0"/>
    <n v="1"/>
    <x v="2"/>
  </r>
  <r>
    <s v="EMP1887"/>
    <s v="Exploring Infinities - Sales"/>
    <s v="SALES"/>
    <s v="Sales - ROW - GCC"/>
    <s v="Director 3"/>
    <s v="Remote - GCC"/>
    <s v="WFH"/>
    <d v="2026-06-19T00:00:00"/>
    <m/>
    <s v="Active"/>
    <m/>
    <x v="2"/>
    <n v="11"/>
    <n v="0"/>
    <s v="06-2026"/>
    <s v=""/>
    <n v="0"/>
    <n v="0"/>
    <x v="0"/>
  </r>
  <r>
    <s v="EMP1835"/>
    <s v="Exploring Infinities - Sales"/>
    <s v="SALES"/>
    <s v="Sales - ROW - GCC"/>
    <s v="Director 3"/>
    <s v="Remote - GCC"/>
    <s v="WFH"/>
    <d v="2026-04-20T00:00:00"/>
    <m/>
    <s v="Active"/>
    <m/>
    <x v="2"/>
    <n v="71"/>
    <n v="0"/>
    <s v="04-2026"/>
    <s v=""/>
    <n v="0"/>
    <n v="0"/>
    <x v="0"/>
  </r>
  <r>
    <s v="EMP1804"/>
    <s v="Exploring Infinities - Sales"/>
    <s v="SALES"/>
    <s v="Sales - ROW - GCC"/>
    <s v="Director 3"/>
    <s v="Remote - GCC"/>
    <s v="WFH"/>
    <d v="2025-02-20T00:00:00"/>
    <m/>
    <s v="Active"/>
    <m/>
    <x v="2"/>
    <n v="495"/>
    <n v="0"/>
    <s v="02-2025"/>
    <s v=""/>
    <n v="0"/>
    <n v="0"/>
    <x v="2"/>
  </r>
  <r>
    <s v="EMP1883"/>
    <s v="Exploring Infinities - Sales"/>
    <s v="SALES"/>
    <s v="Sales - ROW - GCC"/>
    <s v="Director 3"/>
    <s v="Remote - GCC"/>
    <s v="WFH"/>
    <d v="2026-06-20T00:00:00"/>
    <m/>
    <s v="Active"/>
    <m/>
    <x v="2"/>
    <n v="10"/>
    <n v="0"/>
    <s v="06-2026"/>
    <s v=""/>
    <n v="0"/>
    <n v="0"/>
    <x v="0"/>
  </r>
  <r>
    <s v="EMP1819"/>
    <s v="Exploring Infinities - Sales"/>
    <s v="SALES"/>
    <s v="Sales - ROW - GCC"/>
    <s v="Director 3"/>
    <s v="Remote - GCC"/>
    <s v="WFH"/>
    <d v="2025-05-20T00:00:00"/>
    <d v="2026-06-25T00:00:00"/>
    <s v="Relieved"/>
    <s v="Involuntary"/>
    <x v="1"/>
    <n v="401"/>
    <n v="1"/>
    <s v="05-2025"/>
    <s v="06-2026"/>
    <n v="0"/>
    <n v="1"/>
    <x v="2"/>
  </r>
  <r>
    <s v="EMP1847"/>
    <s v="Exploring Infinities - Sales"/>
    <s v="SALES"/>
    <s v="Sales - ROW - GCC"/>
    <s v="Director 3"/>
    <s v="Remote - GCC"/>
    <s v="WFH"/>
    <d v="2026-04-21T00:00:00"/>
    <m/>
    <s v="Active"/>
    <m/>
    <x v="2"/>
    <n v="70"/>
    <n v="0"/>
    <s v="04-2026"/>
    <s v=""/>
    <n v="0"/>
    <n v="0"/>
    <x v="0"/>
  </r>
  <r>
    <s v="EMP1877"/>
    <s v="Exploring Infinities - Sales"/>
    <s v="SALES"/>
    <s v="Sales - ROW - GCC"/>
    <s v="Director 3"/>
    <s v="Remote - GCC"/>
    <s v="WFH"/>
    <d v="2026-06-21T00:00:00"/>
    <d v="2026-06-21T00:00:00"/>
    <s v="Relieved"/>
    <s v="Voluntary"/>
    <x v="4"/>
    <n v="0"/>
    <n v="1"/>
    <s v="06-2026"/>
    <s v="06-2026"/>
    <n v="1"/>
    <n v="0"/>
    <x v="0"/>
  </r>
  <r>
    <s v="EMP1868"/>
    <s v="Exploring Infinities - Sales"/>
    <s v="SALES"/>
    <s v="Sales - ROW - GCC"/>
    <s v="Director 3"/>
    <s v="Remote - GCC"/>
    <s v="WFH"/>
    <d v="2026-05-21T00:00:00"/>
    <d v="2026-05-21T00:00:00"/>
    <s v="Relieved"/>
    <s v="Voluntary"/>
    <x v="0"/>
    <n v="0"/>
    <n v="1"/>
    <s v="05-2026"/>
    <s v="05-2026"/>
    <n v="1"/>
    <n v="0"/>
    <x v="0"/>
  </r>
  <r>
    <s v="EMP1818"/>
    <s v="Exploring Infinities - Sales"/>
    <s v="SALES"/>
    <s v="Sales - ROW - GCC"/>
    <s v="Director 3"/>
    <s v="Remote - GCC"/>
    <s v="WFH"/>
    <d v="2025-11-21T00:00:00"/>
    <m/>
    <s v="Active"/>
    <m/>
    <x v="2"/>
    <n v="221"/>
    <n v="0"/>
    <s v="11-2025"/>
    <s v=""/>
    <n v="0"/>
    <n v="0"/>
    <x v="1"/>
  </r>
  <r>
    <s v="EMP1831"/>
    <s v="Exploring Infinities - Sales"/>
    <s v="SALES"/>
    <s v="Sales - ROW - GCC"/>
    <s v="Director 3"/>
    <s v="Remote - GCC"/>
    <s v="WFH"/>
    <d v="2026-04-22T00:00:00"/>
    <d v="2026-04-23T00:00:00"/>
    <s v="Relieved"/>
    <s v="Involuntary"/>
    <x v="6"/>
    <n v="1"/>
    <n v="1"/>
    <s v="04-2026"/>
    <s v="04-2026"/>
    <n v="0"/>
    <n v="1"/>
    <x v="0"/>
  </r>
  <r>
    <s v="EMP1793"/>
    <s v="Exploring Infinities - Sales"/>
    <s v="SALES"/>
    <s v="Sales - ROW - GCC"/>
    <s v="Director 3"/>
    <s v="Remote - GCC"/>
    <s v="WFH"/>
    <d v="2026-01-22T00:00:00"/>
    <d v="2026-05-21T00:00:00"/>
    <s v="Relieved"/>
    <s v="Voluntary"/>
    <x v="8"/>
    <n v="119"/>
    <n v="1"/>
    <s v="01-2026"/>
    <s v="05-2026"/>
    <n v="1"/>
    <n v="0"/>
    <x v="3"/>
  </r>
  <r>
    <s v="EMP1878"/>
    <s v="Exploring Infinities - Sales"/>
    <s v="SALES"/>
    <s v="Sales - ROW - GCC"/>
    <s v="Director 3"/>
    <s v="Remote - GCC"/>
    <s v="WFH"/>
    <d v="2026-06-22T00:00:00"/>
    <m/>
    <s v="Active"/>
    <m/>
    <x v="2"/>
    <n v="8"/>
    <n v="0"/>
    <s v="06-2026"/>
    <s v=""/>
    <n v="0"/>
    <n v="0"/>
    <x v="0"/>
  </r>
  <r>
    <s v="EMP1865"/>
    <s v="Exploring Infinities - Sales"/>
    <s v="SALES"/>
    <s v="Sales - ROW - GCC"/>
    <s v="Director 3"/>
    <s v="Remote - GCC"/>
    <s v="WFH"/>
    <d v="2026-05-22T00:00:00"/>
    <m/>
    <s v="Active"/>
    <m/>
    <x v="2"/>
    <n v="39"/>
    <n v="0"/>
    <s v="05-2026"/>
    <s v=""/>
    <n v="0"/>
    <n v="0"/>
    <x v="0"/>
  </r>
  <r>
    <s v="EMP1872"/>
    <s v="Exploring Infinities - Sales"/>
    <s v="SALES"/>
    <s v="Sales - ROW - GCC"/>
    <s v="Director 3"/>
    <s v="Remote - GCC"/>
    <s v="WFH"/>
    <d v="2026-05-22T00:00:00"/>
    <d v="2026-05-22T00:00:00"/>
    <s v="Relieved"/>
    <s v="Voluntary"/>
    <x v="8"/>
    <n v="0"/>
    <n v="1"/>
    <s v="05-2026"/>
    <s v="05-2026"/>
    <n v="1"/>
    <n v="0"/>
    <x v="0"/>
  </r>
  <r>
    <s v="EMP1839"/>
    <s v="Exploring Infinities - Sales"/>
    <s v="SALES"/>
    <s v="Sales - ROW - GCC"/>
    <s v="Director 3"/>
    <s v="Remote - GCC"/>
    <s v="WFH"/>
    <d v="2026-04-23T00:00:00"/>
    <m/>
    <s v="Active"/>
    <m/>
    <x v="2"/>
    <n v="68"/>
    <n v="0"/>
    <s v="04-2026"/>
    <s v=""/>
    <n v="0"/>
    <n v="0"/>
    <x v="0"/>
  </r>
  <r>
    <s v="EMP1845"/>
    <s v="Exploring Infinities - Sales"/>
    <s v="SALES"/>
    <s v="Sales - ROW - GCC"/>
    <s v="Director 3"/>
    <s v="Remote - GCC"/>
    <s v="WFH"/>
    <d v="2026-04-23T00:00:00"/>
    <d v="2026-06-14T00:00:00"/>
    <s v="Relieved"/>
    <s v="Involuntary"/>
    <x v="9"/>
    <n v="52"/>
    <n v="1"/>
    <s v="04-2026"/>
    <s v="06-2026"/>
    <n v="0"/>
    <n v="1"/>
    <x v="0"/>
  </r>
  <r>
    <s v="EMP1814"/>
    <s v="Exploring Infinities - Sales"/>
    <s v="SALES"/>
    <s v="Sales - ROW - GCC"/>
    <s v="Director 3"/>
    <s v="Remote - GCC"/>
    <s v="WFH"/>
    <d v="2025-07-23T00:00:00"/>
    <d v="2026-04-19T00:00:00"/>
    <s v="Relieved"/>
    <s v="Involuntary"/>
    <x v="1"/>
    <n v="270"/>
    <n v="1"/>
    <s v="07-2025"/>
    <s v="04-2026"/>
    <n v="0"/>
    <n v="1"/>
    <x v="1"/>
  </r>
  <r>
    <s v="EMP1891"/>
    <s v="Exploring Infinities - Sales"/>
    <s v="SALES"/>
    <s v="Sales - ROW - GCC"/>
    <s v="Director 3"/>
    <s v="Remote - GCC"/>
    <s v="WFH"/>
    <d v="2026-06-23T00:00:00"/>
    <d v="2026-06-23T00:00:00"/>
    <s v="Relieved"/>
    <s v="Voluntary"/>
    <x v="4"/>
    <n v="0"/>
    <n v="1"/>
    <s v="06-2026"/>
    <s v="06-2026"/>
    <n v="1"/>
    <n v="0"/>
    <x v="0"/>
  </r>
  <r>
    <s v="EMP1896"/>
    <s v="Exploring Infinities - Sales"/>
    <s v="SALES"/>
    <s v="Sales - ROW - GCC"/>
    <s v="Director 3"/>
    <s v="Remote - GCC"/>
    <s v="WFH"/>
    <d v="2026-06-23T00:00:00"/>
    <d v="2026-06-23T00:00:00"/>
    <s v="Relieved"/>
    <s v="Voluntary"/>
    <x v="0"/>
    <n v="0"/>
    <n v="1"/>
    <s v="06-2026"/>
    <s v="06-2026"/>
    <n v="1"/>
    <n v="0"/>
    <x v="0"/>
  </r>
  <r>
    <s v="EMP1858"/>
    <s v="Exploring Infinities - Sales"/>
    <s v="SALES"/>
    <s v="Sales - ROW - GCC"/>
    <s v="Director 3"/>
    <s v="Remote - GCC"/>
    <s v="WFH"/>
    <d v="2026-05-23T00:00:00"/>
    <d v="2026-05-23T00:00:00"/>
    <s v="Relieved"/>
    <s v="Voluntary"/>
    <x v="10"/>
    <n v="0"/>
    <n v="1"/>
    <s v="05-2026"/>
    <s v="05-2026"/>
    <n v="1"/>
    <n v="0"/>
    <x v="0"/>
  </r>
  <r>
    <s v="EMP1874"/>
    <s v="Exploring Infinities - Sales"/>
    <s v="SALES"/>
    <s v="Sales - ROW - GCC"/>
    <s v="Director 3"/>
    <s v="Remote - GCC"/>
    <s v="WFH"/>
    <d v="2026-05-23T00:00:00"/>
    <d v="2026-05-23T00:00:00"/>
    <s v="Relieved"/>
    <s v="Voluntary"/>
    <x v="10"/>
    <n v="0"/>
    <n v="1"/>
    <s v="05-2026"/>
    <s v="05-2026"/>
    <n v="1"/>
    <n v="0"/>
    <x v="0"/>
  </r>
  <r>
    <s v="EMP1849"/>
    <s v="Exploring Infinities - Sales"/>
    <s v="SALES"/>
    <s v="Sales - ROW - GCC"/>
    <s v="Director 3"/>
    <s v="Remote - GCC"/>
    <s v="WFH"/>
    <d v="2026-04-24T00:00:00"/>
    <d v="2026-04-24T00:00:00"/>
    <s v="Relieved"/>
    <s v="Voluntary"/>
    <x v="3"/>
    <n v="0"/>
    <n v="1"/>
    <s v="04-2026"/>
    <s v="04-2026"/>
    <n v="1"/>
    <n v="0"/>
    <x v="0"/>
  </r>
  <r>
    <s v="EMP1809"/>
    <s v="Exploring Infinities - Sales"/>
    <s v="SALES"/>
    <s v="Sales - ROW - GCC"/>
    <s v="Director 3"/>
    <s v="Remote - GCC"/>
    <s v="WFH"/>
    <d v="2025-06-24T00:00:00"/>
    <m/>
    <s v="Active"/>
    <m/>
    <x v="2"/>
    <n v="371"/>
    <n v="0"/>
    <s v="06-2025"/>
    <s v=""/>
    <n v="0"/>
    <n v="0"/>
    <x v="2"/>
  </r>
  <r>
    <s v="EMP1882"/>
    <s v="Exploring Infinities - Sales"/>
    <s v="SALES"/>
    <s v="Sales - ROW - GCC"/>
    <s v="Director 3"/>
    <s v="Remote - GCC"/>
    <s v="WFH"/>
    <d v="2026-06-24T00:00:00"/>
    <d v="2026-06-24T00:00:00"/>
    <s v="Relieved"/>
    <s v="Voluntary"/>
    <x v="3"/>
    <n v="0"/>
    <n v="1"/>
    <s v="06-2026"/>
    <s v="06-2026"/>
    <n v="1"/>
    <n v="0"/>
    <x v="0"/>
  </r>
  <r>
    <s v="EMP1834"/>
    <s v="Exploring Infinities - Sales"/>
    <s v="SALES"/>
    <s v="Sales - ROW - GCC"/>
    <s v="Director 3"/>
    <s v="Remote - GCC"/>
    <s v="WFH"/>
    <d v="2026-04-25T00:00:00"/>
    <m/>
    <s v="Active"/>
    <m/>
    <x v="2"/>
    <n v="66"/>
    <n v="0"/>
    <s v="04-2026"/>
    <s v=""/>
    <n v="0"/>
    <n v="0"/>
    <x v="0"/>
  </r>
  <r>
    <s v="EMP1895"/>
    <s v="Exploring Infinities - Sales"/>
    <s v="SALES"/>
    <s v="Sales - ROW - GCC"/>
    <s v="Director 3"/>
    <s v="Remote - GCC"/>
    <s v="WFH"/>
    <d v="2026-06-25T00:00:00"/>
    <d v="2026-06-25T00:00:00"/>
    <s v="Relieved"/>
    <s v="Voluntary"/>
    <x v="3"/>
    <n v="0"/>
    <n v="1"/>
    <s v="06-2026"/>
    <s v="06-2026"/>
    <n v="1"/>
    <n v="0"/>
    <x v="0"/>
  </r>
  <r>
    <s v="EMP1837"/>
    <s v="Exploring Infinities - Sales"/>
    <s v="SALES"/>
    <s v="Sales - ROW - GCC"/>
    <s v="Director 3"/>
    <s v="Remote - GCC"/>
    <s v="WFH"/>
    <d v="2026-04-26T00:00:00"/>
    <d v="2026-05-31T00:00:00"/>
    <s v="Relieved"/>
    <s v="Involuntary"/>
    <x v="6"/>
    <n v="35"/>
    <n v="1"/>
    <s v="04-2026"/>
    <s v="05-2026"/>
    <n v="0"/>
    <n v="1"/>
    <x v="0"/>
  </r>
  <r>
    <s v="EMP1846"/>
    <s v="Exploring Infinities - Sales"/>
    <s v="SALES"/>
    <s v="Sales - ROW - GCC"/>
    <s v="Director 3"/>
    <s v="Remote - GCC"/>
    <s v="WFH"/>
    <d v="2026-04-26T00:00:00"/>
    <m/>
    <s v="Active"/>
    <m/>
    <x v="2"/>
    <n v="65"/>
    <n v="0"/>
    <s v="04-2026"/>
    <s v=""/>
    <n v="0"/>
    <n v="0"/>
    <x v="0"/>
  </r>
  <r>
    <s v="EMP1897"/>
    <s v="Exploring Infinities - Sales"/>
    <s v="SALES"/>
    <s v="Sales - ROW - GCC"/>
    <s v="Director 3"/>
    <s v="Remote - GCC"/>
    <s v="WFH"/>
    <d v="2026-06-26T00:00:00"/>
    <m/>
    <s v="Active"/>
    <m/>
    <x v="2"/>
    <n v="4"/>
    <n v="0"/>
    <s v="06-2026"/>
    <s v=""/>
    <n v="0"/>
    <n v="0"/>
    <x v="0"/>
  </r>
  <r>
    <s v="EMP1862"/>
    <s v="Exploring Infinities - Sales"/>
    <s v="SALES"/>
    <s v="Sales - ROW - GCC"/>
    <s v="Director 3"/>
    <s v="Remote - GCC"/>
    <s v="WFH"/>
    <d v="2026-05-26T00:00:00"/>
    <m/>
    <s v="Active"/>
    <m/>
    <x v="2"/>
    <n v="35"/>
    <n v="0"/>
    <s v="05-2026"/>
    <s v=""/>
    <n v="0"/>
    <n v="0"/>
    <x v="0"/>
  </r>
  <r>
    <s v="EMP1863"/>
    <s v="Exploring Infinities - Sales"/>
    <s v="SALES"/>
    <s v="Sales - ROW - GCC"/>
    <s v="Director 3"/>
    <s v="Remote - GCC"/>
    <s v="WFH"/>
    <d v="2026-05-26T00:00:00"/>
    <m/>
    <s v="Active"/>
    <m/>
    <x v="2"/>
    <n v="35"/>
    <n v="0"/>
    <s v="05-2026"/>
    <s v=""/>
    <n v="0"/>
    <n v="0"/>
    <x v="0"/>
  </r>
  <r>
    <s v="EMP1823"/>
    <s v="Exploring Infinities - Sales"/>
    <s v="SALES"/>
    <s v="Sales - ROW - GCC"/>
    <s v="Director 3"/>
    <s v="Remote - GCC"/>
    <s v="WFH"/>
    <d v="2025-04-27T00:00:00"/>
    <m/>
    <s v="Active"/>
    <m/>
    <x v="2"/>
    <n v="429"/>
    <n v="0"/>
    <s v="04-2025"/>
    <s v=""/>
    <n v="0"/>
    <n v="0"/>
    <x v="2"/>
  </r>
  <r>
    <s v="EMP1802"/>
    <s v="Exploring Infinities - Sales"/>
    <s v="SALES"/>
    <s v="Sales - ROW - GCC"/>
    <s v="Director 3"/>
    <s v="Remote - GCC"/>
    <s v="WFH"/>
    <d v="2025-06-27T00:00:00"/>
    <m/>
    <s v="Active"/>
    <m/>
    <x v="2"/>
    <n v="368"/>
    <n v="0"/>
    <s v="06-2025"/>
    <s v=""/>
    <n v="0"/>
    <n v="0"/>
    <x v="2"/>
  </r>
  <r>
    <s v="EMP1857"/>
    <s v="Exploring Infinities - Sales"/>
    <s v="SALES"/>
    <s v="Sales - ROW - GCC"/>
    <s v="Director 3"/>
    <s v="Remote - GCC"/>
    <s v="WFH"/>
    <d v="2026-05-27T00:00:00"/>
    <m/>
    <s v="Active"/>
    <m/>
    <x v="2"/>
    <n v="34"/>
    <n v="0"/>
    <s v="05-2026"/>
    <s v=""/>
    <n v="0"/>
    <n v="0"/>
    <x v="0"/>
  </r>
  <r>
    <s v="EMP1860"/>
    <s v="Exploring Infinities - Sales"/>
    <s v="SALES"/>
    <s v="Sales - ROW - GCC"/>
    <s v="Director 3"/>
    <s v="Remote - GCC"/>
    <s v="WFH"/>
    <d v="2026-05-27T00:00:00"/>
    <d v="2026-05-27T00:00:00"/>
    <s v="Relieved"/>
    <s v="Voluntary"/>
    <x v="3"/>
    <n v="0"/>
    <n v="1"/>
    <s v="05-2026"/>
    <s v="05-2026"/>
    <n v="1"/>
    <n v="0"/>
    <x v="0"/>
  </r>
  <r>
    <s v="EMP1830"/>
    <s v="Exploring Infinities - Sales"/>
    <s v="SALES"/>
    <s v="Sales - ROW - GCC"/>
    <s v="Director 3"/>
    <s v="Remote - GCC"/>
    <s v="WFH"/>
    <d v="2025-10-27T00:00:00"/>
    <d v="2026-05-18T00:00:00"/>
    <s v="Relieved"/>
    <s v="Involuntary"/>
    <x v="1"/>
    <n v="203"/>
    <n v="1"/>
    <s v="10-2025"/>
    <s v="05-2026"/>
    <n v="0"/>
    <n v="1"/>
    <x v="1"/>
  </r>
  <r>
    <s v="EMP1803"/>
    <s v="Exploring Infinities - Sales"/>
    <s v="SALES"/>
    <s v="Sales - ROW - GCC"/>
    <s v="Director 3"/>
    <s v="Remote - GCC"/>
    <s v="WFH"/>
    <d v="2025-01-28T00:00:00"/>
    <d v="2026-04-22T00:00:00"/>
    <s v="Relieved"/>
    <s v="Involuntary"/>
    <x v="9"/>
    <n v="449"/>
    <n v="1"/>
    <s v="01-2025"/>
    <s v="04-2026"/>
    <n v="0"/>
    <n v="1"/>
    <x v="2"/>
  </r>
  <r>
    <s v="EMP1861"/>
    <s v="Exploring Infinities - Sales"/>
    <s v="SALES"/>
    <s v="Sales - ROW - GCC"/>
    <s v="Director 3"/>
    <s v="Remote - GCC"/>
    <s v="WFH"/>
    <d v="2026-05-28T00:00:00"/>
    <d v="2026-05-28T00:00:00"/>
    <s v="Relieved"/>
    <s v="Voluntary"/>
    <x v="3"/>
    <n v="0"/>
    <n v="1"/>
    <s v="05-2026"/>
    <s v="05-2026"/>
    <n v="1"/>
    <n v="0"/>
    <x v="0"/>
  </r>
  <r>
    <s v="EMP1806"/>
    <s v="Exploring Infinities - Sales"/>
    <s v="SALES"/>
    <s v="Sales - ROW - GCC"/>
    <s v="Director 3"/>
    <s v="Remote - GCC"/>
    <s v="WFH"/>
    <d v="2025-04-29T00:00:00"/>
    <d v="2026-05-28T00:00:00"/>
    <s v="Relieved"/>
    <s v="Voluntary"/>
    <x v="0"/>
    <n v="394"/>
    <n v="1"/>
    <s v="04-2025"/>
    <s v="05-2026"/>
    <n v="1"/>
    <n v="0"/>
    <x v="2"/>
  </r>
  <r>
    <s v="EMP1811"/>
    <s v="Exploring Infinities - Sales"/>
    <s v="SALES"/>
    <s v="Sales - ROW - GCC"/>
    <s v="Director 3"/>
    <s v="Remote - GCC"/>
    <s v="WFH"/>
    <d v="2026-01-29T00:00:00"/>
    <m/>
    <s v="Active"/>
    <m/>
    <x v="2"/>
    <n v="152"/>
    <n v="0"/>
    <s v="01-2026"/>
    <s v=""/>
    <n v="0"/>
    <n v="0"/>
    <x v="3"/>
  </r>
  <r>
    <s v="EMP1884"/>
    <s v="Exploring Infinities - Sales"/>
    <s v="SALES"/>
    <s v="Sales - ROW - GCC"/>
    <s v="Director 3"/>
    <s v="Remote - GCC"/>
    <s v="WFH"/>
    <d v="2026-06-29T00:00:00"/>
    <d v="2026-06-29T00:00:00"/>
    <s v="Relieved"/>
    <s v="Voluntary"/>
    <x v="5"/>
    <n v="0"/>
    <n v="1"/>
    <s v="06-2026"/>
    <s v="06-2026"/>
    <n v="1"/>
    <n v="0"/>
    <x v="0"/>
  </r>
  <r>
    <m/>
    <m/>
    <m/>
    <m/>
    <m/>
    <m/>
    <m/>
    <m/>
    <m/>
    <m/>
    <m/>
    <x v="2"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C14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2">
        <item x="1"/>
        <item x="0"/>
        <item x="3"/>
        <item x="10"/>
        <item x="5"/>
        <item x="9"/>
        <item x="8"/>
        <item x="7"/>
        <item x="4"/>
        <item x="6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6"/>
    </i>
    <i>
      <x v="8"/>
    </i>
    <i>
      <x v="3"/>
    </i>
    <i>
      <x v="1"/>
    </i>
    <i>
      <x v="2"/>
    </i>
    <i>
      <x v="4"/>
    </i>
    <i>
      <x v="7"/>
    </i>
    <i>
      <x/>
    </i>
    <i>
      <x v="9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ID" fld="0" subtotal="count" baseField="0" baseItem="0"/>
    <dataField name="Contribution %" fld="0" subtotal="count" showDataAs="percentOfTotal" baseField="11" baseItem="6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F15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3"/>
        <item x="10"/>
        <item x="5"/>
        <item x="9"/>
        <item x="8"/>
        <item x="7"/>
        <item x="4"/>
        <item x="6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x="4"/>
        <item t="default"/>
      </items>
    </pivotField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 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98"/>
  <sheetViews>
    <sheetView workbookViewId="0">
      <selection activeCell="E14" sqref="E14"/>
    </sheetView>
  </sheetViews>
  <sheetFormatPr defaultColWidth="12.6640625" defaultRowHeight="15.75" customHeight="1" x14ac:dyDescent="0.25"/>
  <cols>
    <col min="1" max="1" width="11" customWidth="1"/>
    <col min="2" max="2" width="20.109375" customWidth="1"/>
    <col min="3" max="3" width="10.21875" customWidth="1"/>
    <col min="4" max="4" width="19.109375" bestFit="1" customWidth="1"/>
    <col min="5" max="5" width="15.77734375" customWidth="1"/>
    <col min="6" max="6" width="17.44140625" customWidth="1"/>
    <col min="7" max="7" width="19.21875" customWidth="1"/>
    <col min="8" max="8" width="12.109375" customWidth="1"/>
    <col min="9" max="9" width="11.77734375" bestFit="1" customWidth="1"/>
    <col min="10" max="10" width="15.44140625" customWidth="1"/>
    <col min="11" max="11" width="25" customWidth="1"/>
    <col min="12" max="12" width="18" customWidth="1"/>
    <col min="13" max="13" width="18.21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>
        <v>46113</v>
      </c>
      <c r="I2" s="5">
        <v>46135</v>
      </c>
      <c r="J2" s="3" t="s">
        <v>20</v>
      </c>
      <c r="K2" s="3" t="s">
        <v>21</v>
      </c>
      <c r="L2" s="3" t="s">
        <v>22</v>
      </c>
      <c r="M2" s="3">
        <v>22</v>
      </c>
    </row>
    <row r="3" spans="1:13" x14ac:dyDescent="0.25">
      <c r="A3" s="3" t="s">
        <v>23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>
        <v>45992</v>
      </c>
      <c r="I3" s="4">
        <v>46182</v>
      </c>
      <c r="J3" s="3" t="s">
        <v>20</v>
      </c>
      <c r="K3" s="3" t="s">
        <v>24</v>
      </c>
      <c r="L3" s="3" t="s">
        <v>25</v>
      </c>
      <c r="M3" s="3">
        <v>190</v>
      </c>
    </row>
    <row r="4" spans="1:13" x14ac:dyDescent="0.25">
      <c r="A4" s="3" t="s">
        <v>26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>
        <v>46114</v>
      </c>
      <c r="I4" s="6"/>
      <c r="J4" s="3" t="s">
        <v>27</v>
      </c>
      <c r="K4" s="6"/>
      <c r="L4" s="6"/>
      <c r="M4" s="3">
        <v>89</v>
      </c>
    </row>
    <row r="5" spans="1:13" x14ac:dyDescent="0.25">
      <c r="A5" s="3" t="s">
        <v>28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4">
        <v>46114</v>
      </c>
      <c r="I5" s="6"/>
      <c r="J5" s="3" t="s">
        <v>27</v>
      </c>
      <c r="K5" s="6"/>
      <c r="L5" s="6"/>
      <c r="M5" s="3">
        <v>89</v>
      </c>
    </row>
    <row r="6" spans="1:13" x14ac:dyDescent="0.25">
      <c r="A6" s="3" t="s">
        <v>29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4">
        <v>46114</v>
      </c>
      <c r="I6" s="5">
        <v>46132</v>
      </c>
      <c r="J6" s="3" t="s">
        <v>20</v>
      </c>
      <c r="K6" s="3" t="s">
        <v>21</v>
      </c>
      <c r="L6" s="3" t="s">
        <v>30</v>
      </c>
      <c r="M6" s="3">
        <v>18</v>
      </c>
    </row>
    <row r="7" spans="1:13" x14ac:dyDescent="0.25">
      <c r="A7" s="3" t="s">
        <v>31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4">
        <v>46114</v>
      </c>
      <c r="I7" s="7">
        <v>46161</v>
      </c>
      <c r="J7" s="3" t="s">
        <v>20</v>
      </c>
      <c r="K7" s="3" t="s">
        <v>24</v>
      </c>
      <c r="L7" s="3" t="s">
        <v>25</v>
      </c>
      <c r="M7" s="3">
        <v>47</v>
      </c>
    </row>
    <row r="8" spans="1:13" x14ac:dyDescent="0.25">
      <c r="A8" s="3" t="s">
        <v>32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4">
        <v>46114</v>
      </c>
      <c r="I8" s="4">
        <v>46121</v>
      </c>
      <c r="J8" s="3" t="s">
        <v>20</v>
      </c>
      <c r="K8" s="3" t="s">
        <v>21</v>
      </c>
      <c r="L8" s="3" t="s">
        <v>33</v>
      </c>
      <c r="M8" s="3">
        <v>7</v>
      </c>
    </row>
    <row r="9" spans="1:13" x14ac:dyDescent="0.25">
      <c r="A9" s="3" t="s">
        <v>34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4">
        <v>46175</v>
      </c>
      <c r="I9" s="6"/>
      <c r="J9" s="3" t="s">
        <v>27</v>
      </c>
      <c r="K9" s="6"/>
      <c r="L9" s="6"/>
      <c r="M9" s="3">
        <v>28</v>
      </c>
    </row>
    <row r="10" spans="1:13" x14ac:dyDescent="0.25">
      <c r="A10" s="3" t="s">
        <v>35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4">
        <v>45963</v>
      </c>
      <c r="I10" s="6"/>
      <c r="J10" s="3" t="s">
        <v>27</v>
      </c>
      <c r="K10" s="6"/>
      <c r="L10" s="6"/>
      <c r="M10" s="3">
        <v>240</v>
      </c>
    </row>
    <row r="11" spans="1:13" x14ac:dyDescent="0.25">
      <c r="A11" s="3" t="s">
        <v>36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  <c r="H11" s="4">
        <v>46115</v>
      </c>
      <c r="I11" s="5">
        <v>46134</v>
      </c>
      <c r="J11" s="3" t="s">
        <v>20</v>
      </c>
      <c r="K11" s="3" t="s">
        <v>21</v>
      </c>
      <c r="L11" s="3" t="s">
        <v>37</v>
      </c>
      <c r="M11" s="3">
        <v>19</v>
      </c>
    </row>
    <row r="12" spans="1:13" x14ac:dyDescent="0.25">
      <c r="A12" s="3" t="s">
        <v>38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4">
        <v>46176</v>
      </c>
      <c r="I12" s="5">
        <v>46195</v>
      </c>
      <c r="J12" s="3" t="s">
        <v>20</v>
      </c>
      <c r="K12" s="3" t="s">
        <v>21</v>
      </c>
      <c r="L12" s="3" t="s">
        <v>30</v>
      </c>
      <c r="M12" s="3">
        <v>19</v>
      </c>
    </row>
    <row r="13" spans="1:13" x14ac:dyDescent="0.25">
      <c r="A13" s="3" t="s">
        <v>39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4">
        <v>46116</v>
      </c>
      <c r="I13" s="7">
        <v>46166</v>
      </c>
      <c r="J13" s="3" t="s">
        <v>20</v>
      </c>
      <c r="K13" s="3" t="s">
        <v>24</v>
      </c>
      <c r="L13" s="3" t="s">
        <v>25</v>
      </c>
      <c r="M13" s="3">
        <v>50</v>
      </c>
    </row>
    <row r="14" spans="1:13" x14ac:dyDescent="0.25">
      <c r="A14" s="3" t="s">
        <v>40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  <c r="G14" s="3" t="s">
        <v>19</v>
      </c>
      <c r="H14" s="4">
        <v>46116</v>
      </c>
      <c r="I14" s="8">
        <v>46144</v>
      </c>
      <c r="J14" s="3" t="s">
        <v>20</v>
      </c>
      <c r="K14" s="3" t="s">
        <v>24</v>
      </c>
      <c r="L14" s="3" t="s">
        <v>41</v>
      </c>
      <c r="M14" s="3">
        <v>28</v>
      </c>
    </row>
    <row r="15" spans="1:13" x14ac:dyDescent="0.25">
      <c r="A15" s="3" t="s">
        <v>42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  <c r="H15" s="4">
        <v>46116</v>
      </c>
      <c r="I15" s="5">
        <v>46131</v>
      </c>
      <c r="J15" s="3" t="s">
        <v>20</v>
      </c>
      <c r="K15" s="3" t="s">
        <v>21</v>
      </c>
      <c r="L15" s="3" t="s">
        <v>37</v>
      </c>
      <c r="M15" s="3">
        <v>15</v>
      </c>
    </row>
    <row r="16" spans="1:13" x14ac:dyDescent="0.25">
      <c r="A16" s="3" t="s">
        <v>43</v>
      </c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8">
        <v>45781</v>
      </c>
      <c r="I16" s="7">
        <v>46164</v>
      </c>
      <c r="J16" s="3" t="s">
        <v>20</v>
      </c>
      <c r="K16" s="3" t="s">
        <v>24</v>
      </c>
      <c r="L16" s="3" t="s">
        <v>44</v>
      </c>
      <c r="M16" s="3">
        <v>383</v>
      </c>
    </row>
    <row r="17" spans="1:13" x14ac:dyDescent="0.25">
      <c r="A17" s="3" t="s">
        <v>45</v>
      </c>
      <c r="B17" s="3" t="s">
        <v>14</v>
      </c>
      <c r="C17" s="3" t="s">
        <v>15</v>
      </c>
      <c r="D17" s="3" t="s">
        <v>16</v>
      </c>
      <c r="E17" s="3" t="s">
        <v>17</v>
      </c>
      <c r="F17" s="3" t="s">
        <v>18</v>
      </c>
      <c r="G17" s="3" t="s">
        <v>19</v>
      </c>
      <c r="H17" s="4">
        <v>46117</v>
      </c>
      <c r="I17" s="6"/>
      <c r="J17" s="3" t="s">
        <v>27</v>
      </c>
      <c r="K17" s="6"/>
      <c r="L17" s="6"/>
      <c r="M17" s="3">
        <v>86</v>
      </c>
    </row>
    <row r="18" spans="1:13" x14ac:dyDescent="0.25">
      <c r="A18" s="3" t="s">
        <v>46</v>
      </c>
      <c r="B18" s="3" t="s">
        <v>14</v>
      </c>
      <c r="C18" s="3" t="s">
        <v>15</v>
      </c>
      <c r="D18" s="3" t="s">
        <v>16</v>
      </c>
      <c r="E18" s="3" t="s">
        <v>17</v>
      </c>
      <c r="F18" s="3" t="s">
        <v>18</v>
      </c>
      <c r="G18" s="3" t="s">
        <v>19</v>
      </c>
      <c r="H18" s="4">
        <v>46117</v>
      </c>
      <c r="I18" s="5">
        <v>46126</v>
      </c>
      <c r="J18" s="3" t="s">
        <v>20</v>
      </c>
      <c r="K18" s="3" t="s">
        <v>21</v>
      </c>
      <c r="L18" s="3" t="s">
        <v>30</v>
      </c>
      <c r="M18" s="3">
        <v>9</v>
      </c>
    </row>
    <row r="19" spans="1:13" x14ac:dyDescent="0.25">
      <c r="A19" s="3" t="s">
        <v>47</v>
      </c>
      <c r="B19" s="3" t="s">
        <v>14</v>
      </c>
      <c r="C19" s="3" t="s">
        <v>15</v>
      </c>
      <c r="D19" s="3" t="s">
        <v>16</v>
      </c>
      <c r="E19" s="3" t="s">
        <v>17</v>
      </c>
      <c r="F19" s="3" t="s">
        <v>18</v>
      </c>
      <c r="G19" s="3" t="s">
        <v>19</v>
      </c>
      <c r="H19" s="4">
        <v>46117</v>
      </c>
      <c r="I19" s="6"/>
      <c r="J19" s="3" t="s">
        <v>27</v>
      </c>
      <c r="K19" s="6"/>
      <c r="L19" s="6"/>
      <c r="M19" s="3">
        <v>86</v>
      </c>
    </row>
    <row r="20" spans="1:13" x14ac:dyDescent="0.25">
      <c r="A20" s="3" t="s">
        <v>48</v>
      </c>
      <c r="B20" s="3" t="s">
        <v>14</v>
      </c>
      <c r="C20" s="3" t="s">
        <v>15</v>
      </c>
      <c r="D20" s="3" t="s">
        <v>16</v>
      </c>
      <c r="E20" s="3" t="s">
        <v>17</v>
      </c>
      <c r="F20" s="3" t="s">
        <v>18</v>
      </c>
      <c r="G20" s="3" t="s">
        <v>19</v>
      </c>
      <c r="H20" s="4">
        <v>46117</v>
      </c>
      <c r="I20" s="5">
        <v>46133</v>
      </c>
      <c r="J20" s="3" t="s">
        <v>20</v>
      </c>
      <c r="K20" s="3" t="s">
        <v>21</v>
      </c>
      <c r="L20" s="3" t="s">
        <v>22</v>
      </c>
      <c r="M20" s="3">
        <v>16</v>
      </c>
    </row>
    <row r="21" spans="1:13" x14ac:dyDescent="0.25">
      <c r="A21" s="3" t="s">
        <v>49</v>
      </c>
      <c r="B21" s="3" t="s">
        <v>14</v>
      </c>
      <c r="C21" s="3" t="s">
        <v>15</v>
      </c>
      <c r="D21" s="3" t="s">
        <v>16</v>
      </c>
      <c r="E21" s="3" t="s">
        <v>17</v>
      </c>
      <c r="F21" s="3" t="s">
        <v>18</v>
      </c>
      <c r="G21" s="3" t="s">
        <v>19</v>
      </c>
      <c r="H21" s="4">
        <v>46117</v>
      </c>
      <c r="I21" s="4">
        <v>46120</v>
      </c>
      <c r="J21" s="3" t="s">
        <v>20</v>
      </c>
      <c r="K21" s="3" t="s">
        <v>21</v>
      </c>
      <c r="L21" s="3" t="s">
        <v>50</v>
      </c>
      <c r="M21" s="3">
        <v>3</v>
      </c>
    </row>
    <row r="22" spans="1:13" x14ac:dyDescent="0.25">
      <c r="A22" s="3" t="s">
        <v>51</v>
      </c>
      <c r="B22" s="3" t="s">
        <v>14</v>
      </c>
      <c r="C22" s="3" t="s">
        <v>15</v>
      </c>
      <c r="D22" s="3" t="s">
        <v>16</v>
      </c>
      <c r="E22" s="3" t="s">
        <v>17</v>
      </c>
      <c r="F22" s="3" t="s">
        <v>18</v>
      </c>
      <c r="G22" s="3" t="s">
        <v>19</v>
      </c>
      <c r="H22" s="4">
        <v>46117</v>
      </c>
      <c r="I22" s="4">
        <v>46120</v>
      </c>
      <c r="J22" s="3" t="s">
        <v>20</v>
      </c>
      <c r="K22" s="3" t="s">
        <v>21</v>
      </c>
      <c r="L22" s="3" t="s">
        <v>30</v>
      </c>
      <c r="M22" s="3">
        <v>3</v>
      </c>
    </row>
    <row r="23" spans="1:13" x14ac:dyDescent="0.25">
      <c r="A23" s="3" t="s">
        <v>52</v>
      </c>
      <c r="B23" s="3" t="s">
        <v>14</v>
      </c>
      <c r="C23" s="3" t="s">
        <v>15</v>
      </c>
      <c r="D23" s="3" t="s">
        <v>16</v>
      </c>
      <c r="E23" s="3" t="s">
        <v>17</v>
      </c>
      <c r="F23" s="3" t="s">
        <v>18</v>
      </c>
      <c r="G23" s="3" t="s">
        <v>19</v>
      </c>
      <c r="H23" s="4">
        <v>46027</v>
      </c>
      <c r="I23" s="7">
        <v>46167</v>
      </c>
      <c r="J23" s="3" t="s">
        <v>20</v>
      </c>
      <c r="K23" s="3" t="s">
        <v>24</v>
      </c>
      <c r="L23" s="3" t="s">
        <v>25</v>
      </c>
      <c r="M23" s="3">
        <v>140</v>
      </c>
    </row>
    <row r="24" spans="1:13" x14ac:dyDescent="0.25">
      <c r="A24" s="3" t="s">
        <v>53</v>
      </c>
      <c r="B24" s="3" t="s">
        <v>14</v>
      </c>
      <c r="C24" s="3" t="s">
        <v>15</v>
      </c>
      <c r="D24" s="3" t="s">
        <v>16</v>
      </c>
      <c r="E24" s="3" t="s">
        <v>17</v>
      </c>
      <c r="F24" s="3" t="s">
        <v>18</v>
      </c>
      <c r="G24" s="3" t="s">
        <v>19</v>
      </c>
      <c r="H24" s="4">
        <v>46119</v>
      </c>
      <c r="I24" s="6"/>
      <c r="J24" s="3" t="s">
        <v>27</v>
      </c>
      <c r="K24" s="6"/>
      <c r="L24" s="6"/>
      <c r="M24" s="3">
        <v>84</v>
      </c>
    </row>
    <row r="25" spans="1:13" x14ac:dyDescent="0.25">
      <c r="A25" s="3" t="s">
        <v>54</v>
      </c>
      <c r="B25" s="3" t="s">
        <v>14</v>
      </c>
      <c r="C25" s="3" t="s">
        <v>15</v>
      </c>
      <c r="D25" s="3" t="s">
        <v>16</v>
      </c>
      <c r="E25" s="3" t="s">
        <v>17</v>
      </c>
      <c r="F25" s="3" t="s">
        <v>18</v>
      </c>
      <c r="G25" s="3" t="s">
        <v>19</v>
      </c>
      <c r="H25" s="4">
        <v>46119</v>
      </c>
      <c r="I25" s="7">
        <v>46166</v>
      </c>
      <c r="J25" s="3" t="s">
        <v>20</v>
      </c>
      <c r="K25" s="3" t="s">
        <v>24</v>
      </c>
      <c r="L25" s="3" t="s">
        <v>55</v>
      </c>
      <c r="M25" s="3">
        <v>47</v>
      </c>
    </row>
    <row r="26" spans="1:13" x14ac:dyDescent="0.25">
      <c r="A26" s="3" t="s">
        <v>56</v>
      </c>
      <c r="B26" s="3" t="s">
        <v>14</v>
      </c>
      <c r="C26" s="3" t="s">
        <v>15</v>
      </c>
      <c r="D26" s="3" t="s">
        <v>16</v>
      </c>
      <c r="E26" s="3" t="s">
        <v>17</v>
      </c>
      <c r="F26" s="3" t="s">
        <v>18</v>
      </c>
      <c r="G26" s="3" t="s">
        <v>19</v>
      </c>
      <c r="H26" s="4">
        <v>45815</v>
      </c>
      <c r="I26" s="5">
        <v>46122</v>
      </c>
      <c r="J26" s="3" t="s">
        <v>20</v>
      </c>
      <c r="K26" s="3" t="s">
        <v>24</v>
      </c>
      <c r="L26" s="3" t="s">
        <v>41</v>
      </c>
      <c r="M26" s="3">
        <v>307</v>
      </c>
    </row>
    <row r="27" spans="1:13" x14ac:dyDescent="0.25">
      <c r="A27" s="3" t="s">
        <v>57</v>
      </c>
      <c r="B27" s="3" t="s">
        <v>14</v>
      </c>
      <c r="C27" s="3" t="s">
        <v>15</v>
      </c>
      <c r="D27" s="3" t="s">
        <v>16</v>
      </c>
      <c r="E27" s="3" t="s">
        <v>17</v>
      </c>
      <c r="F27" s="3" t="s">
        <v>18</v>
      </c>
      <c r="G27" s="3" t="s">
        <v>19</v>
      </c>
      <c r="H27" s="4">
        <v>45755</v>
      </c>
      <c r="I27" s="4">
        <v>46119</v>
      </c>
      <c r="J27" s="3" t="s">
        <v>20</v>
      </c>
      <c r="K27" s="3" t="s">
        <v>21</v>
      </c>
      <c r="L27" s="3" t="s">
        <v>22</v>
      </c>
      <c r="M27" s="3">
        <v>364</v>
      </c>
    </row>
    <row r="28" spans="1:13" x14ac:dyDescent="0.25">
      <c r="A28" s="3" t="s">
        <v>58</v>
      </c>
      <c r="B28" s="3" t="s">
        <v>14</v>
      </c>
      <c r="C28" s="3" t="s">
        <v>15</v>
      </c>
      <c r="D28" s="3" t="s">
        <v>16</v>
      </c>
      <c r="E28" s="3" t="s">
        <v>17</v>
      </c>
      <c r="F28" s="3" t="s">
        <v>18</v>
      </c>
      <c r="G28" s="3" t="s">
        <v>19</v>
      </c>
      <c r="H28" s="4">
        <v>46089</v>
      </c>
      <c r="I28" s="5">
        <v>46131</v>
      </c>
      <c r="J28" s="3" t="s">
        <v>20</v>
      </c>
      <c r="K28" s="3" t="s">
        <v>24</v>
      </c>
      <c r="L28" s="3" t="s">
        <v>55</v>
      </c>
      <c r="M28" s="3">
        <v>42</v>
      </c>
    </row>
    <row r="29" spans="1:13" x14ac:dyDescent="0.25">
      <c r="A29" s="3" t="s">
        <v>59</v>
      </c>
      <c r="B29" s="3" t="s">
        <v>14</v>
      </c>
      <c r="C29" s="3" t="s">
        <v>15</v>
      </c>
      <c r="D29" s="3" t="s">
        <v>16</v>
      </c>
      <c r="E29" s="3" t="s">
        <v>17</v>
      </c>
      <c r="F29" s="3" t="s">
        <v>18</v>
      </c>
      <c r="G29" s="3" t="s">
        <v>19</v>
      </c>
      <c r="H29" s="4">
        <v>46121</v>
      </c>
      <c r="I29" s="7">
        <v>46157</v>
      </c>
      <c r="J29" s="3" t="s">
        <v>20</v>
      </c>
      <c r="K29" s="3" t="s">
        <v>21</v>
      </c>
      <c r="L29" s="3" t="s">
        <v>30</v>
      </c>
      <c r="M29" s="3">
        <v>36</v>
      </c>
    </row>
    <row r="30" spans="1:13" x14ac:dyDescent="0.25">
      <c r="A30" s="3" t="s">
        <v>60</v>
      </c>
      <c r="B30" s="3" t="s">
        <v>14</v>
      </c>
      <c r="C30" s="3" t="s">
        <v>15</v>
      </c>
      <c r="D30" s="3" t="s">
        <v>16</v>
      </c>
      <c r="E30" s="3" t="s">
        <v>17</v>
      </c>
      <c r="F30" s="3" t="s">
        <v>18</v>
      </c>
      <c r="G30" s="3" t="s">
        <v>19</v>
      </c>
      <c r="H30" s="4">
        <v>46121</v>
      </c>
      <c r="I30" s="5">
        <v>46124</v>
      </c>
      <c r="J30" s="3" t="s">
        <v>20</v>
      </c>
      <c r="K30" s="3" t="s">
        <v>21</v>
      </c>
      <c r="L30" s="3" t="s">
        <v>61</v>
      </c>
      <c r="M30" s="3">
        <v>3</v>
      </c>
    </row>
    <row r="31" spans="1:13" x14ac:dyDescent="0.25">
      <c r="A31" s="3" t="s">
        <v>62</v>
      </c>
      <c r="B31" s="3" t="s">
        <v>14</v>
      </c>
      <c r="C31" s="3" t="s">
        <v>15</v>
      </c>
      <c r="D31" s="3" t="s">
        <v>16</v>
      </c>
      <c r="E31" s="3" t="s">
        <v>17</v>
      </c>
      <c r="F31" s="3" t="s">
        <v>18</v>
      </c>
      <c r="G31" s="3" t="s">
        <v>19</v>
      </c>
      <c r="H31" s="5">
        <v>46122</v>
      </c>
      <c r="I31" s="8">
        <v>46148</v>
      </c>
      <c r="J31" s="3" t="s">
        <v>20</v>
      </c>
      <c r="K31" s="3" t="s">
        <v>24</v>
      </c>
      <c r="L31" s="3" t="s">
        <v>44</v>
      </c>
      <c r="M31" s="3">
        <v>26</v>
      </c>
    </row>
    <row r="32" spans="1:13" x14ac:dyDescent="0.25">
      <c r="A32" s="3" t="s">
        <v>63</v>
      </c>
      <c r="B32" s="3" t="s">
        <v>14</v>
      </c>
      <c r="C32" s="3" t="s">
        <v>15</v>
      </c>
      <c r="D32" s="3" t="s">
        <v>16</v>
      </c>
      <c r="E32" s="3" t="s">
        <v>17</v>
      </c>
      <c r="F32" s="3" t="s">
        <v>18</v>
      </c>
      <c r="G32" s="3" t="s">
        <v>19</v>
      </c>
      <c r="H32" s="5">
        <v>45818</v>
      </c>
      <c r="I32" s="8">
        <v>46144</v>
      </c>
      <c r="J32" s="3" t="s">
        <v>20</v>
      </c>
      <c r="K32" s="3" t="s">
        <v>24</v>
      </c>
      <c r="L32" s="3" t="s">
        <v>25</v>
      </c>
      <c r="M32" s="3">
        <v>326</v>
      </c>
    </row>
    <row r="33" spans="1:13" x14ac:dyDescent="0.25">
      <c r="A33" s="3" t="s">
        <v>64</v>
      </c>
      <c r="B33" s="3" t="s">
        <v>14</v>
      </c>
      <c r="C33" s="3" t="s">
        <v>15</v>
      </c>
      <c r="D33" s="3" t="s">
        <v>16</v>
      </c>
      <c r="E33" s="3" t="s">
        <v>17</v>
      </c>
      <c r="F33" s="3" t="s">
        <v>18</v>
      </c>
      <c r="G33" s="3" t="s">
        <v>19</v>
      </c>
      <c r="H33" s="5">
        <v>46123</v>
      </c>
      <c r="I33" s="7">
        <v>46165</v>
      </c>
      <c r="J33" s="3" t="s">
        <v>20</v>
      </c>
      <c r="K33" s="3" t="s">
        <v>24</v>
      </c>
      <c r="L33" s="3" t="s">
        <v>41</v>
      </c>
      <c r="M33" s="3">
        <v>42</v>
      </c>
    </row>
    <row r="34" spans="1:13" x14ac:dyDescent="0.25">
      <c r="A34" s="3" t="s">
        <v>65</v>
      </c>
      <c r="B34" s="3" t="s">
        <v>14</v>
      </c>
      <c r="C34" s="3" t="s">
        <v>15</v>
      </c>
      <c r="D34" s="3" t="s">
        <v>16</v>
      </c>
      <c r="E34" s="3" t="s">
        <v>17</v>
      </c>
      <c r="F34" s="3" t="s">
        <v>18</v>
      </c>
      <c r="G34" s="3" t="s">
        <v>19</v>
      </c>
      <c r="H34" s="5">
        <v>46123</v>
      </c>
      <c r="I34" s="5">
        <v>46123</v>
      </c>
      <c r="J34" s="3" t="s">
        <v>20</v>
      </c>
      <c r="K34" s="3" t="s">
        <v>21</v>
      </c>
      <c r="L34" s="3" t="s">
        <v>50</v>
      </c>
      <c r="M34" s="3">
        <v>0</v>
      </c>
    </row>
    <row r="35" spans="1:13" x14ac:dyDescent="0.25">
      <c r="A35" s="3" t="s">
        <v>66</v>
      </c>
      <c r="B35" s="3" t="s">
        <v>14</v>
      </c>
      <c r="C35" s="3" t="s">
        <v>15</v>
      </c>
      <c r="D35" s="3" t="s">
        <v>16</v>
      </c>
      <c r="E35" s="3" t="s">
        <v>17</v>
      </c>
      <c r="F35" s="3" t="s">
        <v>18</v>
      </c>
      <c r="G35" s="3" t="s">
        <v>19</v>
      </c>
      <c r="H35" s="5">
        <v>46002</v>
      </c>
      <c r="I35" s="5">
        <v>46142</v>
      </c>
      <c r="J35" s="3" t="s">
        <v>20</v>
      </c>
      <c r="K35" s="3" t="s">
        <v>24</v>
      </c>
      <c r="L35" s="3" t="s">
        <v>44</v>
      </c>
      <c r="M35" s="3">
        <v>140</v>
      </c>
    </row>
    <row r="36" spans="1:13" x14ac:dyDescent="0.25">
      <c r="A36" s="3" t="s">
        <v>67</v>
      </c>
      <c r="B36" s="3" t="s">
        <v>14</v>
      </c>
      <c r="C36" s="3" t="s">
        <v>15</v>
      </c>
      <c r="D36" s="3" t="s">
        <v>16</v>
      </c>
      <c r="E36" s="3" t="s">
        <v>17</v>
      </c>
      <c r="F36" s="3" t="s">
        <v>18</v>
      </c>
      <c r="G36" s="3" t="s">
        <v>19</v>
      </c>
      <c r="H36" s="5">
        <v>45911</v>
      </c>
      <c r="I36" s="5">
        <v>46133</v>
      </c>
      <c r="J36" s="3" t="s">
        <v>20</v>
      </c>
      <c r="K36" s="3" t="s">
        <v>24</v>
      </c>
      <c r="L36" s="3" t="s">
        <v>25</v>
      </c>
      <c r="M36" s="3">
        <v>222</v>
      </c>
    </row>
    <row r="37" spans="1:13" x14ac:dyDescent="0.25">
      <c r="A37" s="3" t="s">
        <v>68</v>
      </c>
      <c r="B37" s="3" t="s">
        <v>14</v>
      </c>
      <c r="C37" s="3" t="s">
        <v>15</v>
      </c>
      <c r="D37" s="3" t="s">
        <v>16</v>
      </c>
      <c r="E37" s="3" t="s">
        <v>17</v>
      </c>
      <c r="F37" s="3" t="s">
        <v>18</v>
      </c>
      <c r="G37" s="3" t="s">
        <v>19</v>
      </c>
      <c r="H37" s="5">
        <v>46124</v>
      </c>
      <c r="I37" s="6"/>
      <c r="J37" s="3" t="s">
        <v>27</v>
      </c>
      <c r="K37" s="6"/>
      <c r="L37" s="6"/>
      <c r="M37" s="3">
        <v>79</v>
      </c>
    </row>
    <row r="38" spans="1:13" x14ac:dyDescent="0.25">
      <c r="A38" s="3" t="s">
        <v>69</v>
      </c>
      <c r="B38" s="3" t="s">
        <v>14</v>
      </c>
      <c r="C38" s="3" t="s">
        <v>15</v>
      </c>
      <c r="D38" s="3" t="s">
        <v>16</v>
      </c>
      <c r="E38" s="3" t="s">
        <v>17</v>
      </c>
      <c r="F38" s="3" t="s">
        <v>18</v>
      </c>
      <c r="G38" s="3" t="s">
        <v>19</v>
      </c>
      <c r="H38" s="5">
        <v>46124</v>
      </c>
      <c r="I38" s="7">
        <v>46173</v>
      </c>
      <c r="J38" s="3" t="s">
        <v>20</v>
      </c>
      <c r="K38" s="3" t="s">
        <v>21</v>
      </c>
      <c r="L38" s="3" t="s">
        <v>37</v>
      </c>
      <c r="M38" s="3">
        <v>49</v>
      </c>
    </row>
    <row r="39" spans="1:13" x14ac:dyDescent="0.25">
      <c r="A39" s="3" t="s">
        <v>70</v>
      </c>
      <c r="B39" s="3" t="s">
        <v>14</v>
      </c>
      <c r="C39" s="3" t="s">
        <v>15</v>
      </c>
      <c r="D39" s="3" t="s">
        <v>16</v>
      </c>
      <c r="E39" s="3" t="s">
        <v>17</v>
      </c>
      <c r="F39" s="3" t="s">
        <v>18</v>
      </c>
      <c r="G39" s="3" t="s">
        <v>19</v>
      </c>
      <c r="H39" s="5">
        <v>46124</v>
      </c>
      <c r="I39" s="7">
        <v>46164</v>
      </c>
      <c r="J39" s="3" t="s">
        <v>20</v>
      </c>
      <c r="K39" s="3" t="s">
        <v>24</v>
      </c>
      <c r="L39" s="3" t="s">
        <v>55</v>
      </c>
      <c r="M39" s="3">
        <v>40</v>
      </c>
    </row>
    <row r="40" spans="1:13" x14ac:dyDescent="0.25">
      <c r="A40" s="3" t="s">
        <v>71</v>
      </c>
      <c r="B40" s="3" t="s">
        <v>14</v>
      </c>
      <c r="C40" s="3" t="s">
        <v>15</v>
      </c>
      <c r="D40" s="3" t="s">
        <v>16</v>
      </c>
      <c r="E40" s="3" t="s">
        <v>17</v>
      </c>
      <c r="F40" s="3" t="s">
        <v>18</v>
      </c>
      <c r="G40" s="3" t="s">
        <v>19</v>
      </c>
      <c r="H40" s="5">
        <v>46124</v>
      </c>
      <c r="I40" s="6"/>
      <c r="J40" s="3" t="s">
        <v>27</v>
      </c>
      <c r="K40" s="6"/>
      <c r="L40" s="6"/>
      <c r="M40" s="3">
        <v>79</v>
      </c>
    </row>
    <row r="41" spans="1:13" x14ac:dyDescent="0.25">
      <c r="A41" s="3" t="s">
        <v>72</v>
      </c>
      <c r="B41" s="3" t="s">
        <v>14</v>
      </c>
      <c r="C41" s="3" t="s">
        <v>15</v>
      </c>
      <c r="D41" s="3" t="s">
        <v>16</v>
      </c>
      <c r="E41" s="3" t="s">
        <v>17</v>
      </c>
      <c r="F41" s="3" t="s">
        <v>18</v>
      </c>
      <c r="G41" s="3" t="s">
        <v>19</v>
      </c>
      <c r="H41" s="5">
        <v>46124</v>
      </c>
      <c r="I41" s="6"/>
      <c r="J41" s="3" t="s">
        <v>27</v>
      </c>
      <c r="K41" s="6"/>
      <c r="L41" s="6"/>
      <c r="M41" s="3">
        <v>79</v>
      </c>
    </row>
    <row r="42" spans="1:13" x14ac:dyDescent="0.25">
      <c r="A42" s="3" t="s">
        <v>73</v>
      </c>
      <c r="B42" s="3" t="s">
        <v>14</v>
      </c>
      <c r="C42" s="3" t="s">
        <v>15</v>
      </c>
      <c r="D42" s="3" t="s">
        <v>16</v>
      </c>
      <c r="E42" s="3" t="s">
        <v>17</v>
      </c>
      <c r="F42" s="3" t="s">
        <v>18</v>
      </c>
      <c r="G42" s="3" t="s">
        <v>19</v>
      </c>
      <c r="H42" s="5">
        <v>45669</v>
      </c>
      <c r="I42" s="5">
        <v>46126</v>
      </c>
      <c r="J42" s="3" t="s">
        <v>20</v>
      </c>
      <c r="K42" s="3" t="s">
        <v>24</v>
      </c>
      <c r="L42" s="3" t="s">
        <v>25</v>
      </c>
      <c r="M42" s="3">
        <v>457</v>
      </c>
    </row>
    <row r="43" spans="1:13" x14ac:dyDescent="0.25">
      <c r="A43" s="3" t="s">
        <v>74</v>
      </c>
      <c r="B43" s="3" t="s">
        <v>14</v>
      </c>
      <c r="C43" s="3" t="s">
        <v>15</v>
      </c>
      <c r="D43" s="3" t="s">
        <v>16</v>
      </c>
      <c r="E43" s="3" t="s">
        <v>17</v>
      </c>
      <c r="F43" s="3" t="s">
        <v>18</v>
      </c>
      <c r="G43" s="3" t="s">
        <v>19</v>
      </c>
      <c r="H43" s="5">
        <v>46185</v>
      </c>
      <c r="I43" s="5">
        <v>46191</v>
      </c>
      <c r="J43" s="3" t="s">
        <v>20</v>
      </c>
      <c r="K43" s="3" t="s">
        <v>21</v>
      </c>
      <c r="L43" s="3" t="s">
        <v>61</v>
      </c>
      <c r="M43" s="3">
        <v>6</v>
      </c>
    </row>
    <row r="44" spans="1:13" x14ac:dyDescent="0.25">
      <c r="A44" s="3" t="s">
        <v>75</v>
      </c>
      <c r="B44" s="3" t="s">
        <v>14</v>
      </c>
      <c r="C44" s="3" t="s">
        <v>15</v>
      </c>
      <c r="D44" s="3" t="s">
        <v>16</v>
      </c>
      <c r="E44" s="3" t="s">
        <v>17</v>
      </c>
      <c r="F44" s="3" t="s">
        <v>18</v>
      </c>
      <c r="G44" s="3" t="s">
        <v>19</v>
      </c>
      <c r="H44" s="5">
        <v>45912</v>
      </c>
      <c r="I44" s="6"/>
      <c r="J44" s="3" t="s">
        <v>27</v>
      </c>
      <c r="K44" s="6"/>
      <c r="L44" s="6"/>
      <c r="M44" s="3">
        <v>291</v>
      </c>
    </row>
    <row r="45" spans="1:13" x14ac:dyDescent="0.25">
      <c r="A45" s="3" t="s">
        <v>76</v>
      </c>
      <c r="B45" s="3" t="s">
        <v>14</v>
      </c>
      <c r="C45" s="3" t="s">
        <v>15</v>
      </c>
      <c r="D45" s="3" t="s">
        <v>16</v>
      </c>
      <c r="E45" s="3" t="s">
        <v>17</v>
      </c>
      <c r="F45" s="3" t="s">
        <v>18</v>
      </c>
      <c r="G45" s="3" t="s">
        <v>19</v>
      </c>
      <c r="H45" s="5">
        <v>46125</v>
      </c>
      <c r="I45" s="7">
        <v>46159</v>
      </c>
      <c r="J45" s="3" t="s">
        <v>20</v>
      </c>
      <c r="K45" s="3" t="s">
        <v>24</v>
      </c>
      <c r="L45" s="3" t="s">
        <v>41</v>
      </c>
      <c r="M45" s="3">
        <v>34</v>
      </c>
    </row>
    <row r="46" spans="1:13" x14ac:dyDescent="0.25">
      <c r="A46" s="3" t="s">
        <v>77</v>
      </c>
      <c r="B46" s="3" t="s">
        <v>14</v>
      </c>
      <c r="C46" s="3" t="s">
        <v>15</v>
      </c>
      <c r="D46" s="3" t="s">
        <v>16</v>
      </c>
      <c r="E46" s="3" t="s">
        <v>17</v>
      </c>
      <c r="F46" s="3" t="s">
        <v>18</v>
      </c>
      <c r="G46" s="3" t="s">
        <v>19</v>
      </c>
      <c r="H46" s="5">
        <v>46125</v>
      </c>
      <c r="I46" s="8">
        <v>46146</v>
      </c>
      <c r="J46" s="3" t="s">
        <v>20</v>
      </c>
      <c r="K46" s="3" t="s">
        <v>24</v>
      </c>
      <c r="L46" s="3" t="s">
        <v>25</v>
      </c>
      <c r="M46" s="3">
        <v>21</v>
      </c>
    </row>
    <row r="47" spans="1:13" x14ac:dyDescent="0.25">
      <c r="A47" s="3" t="s">
        <v>78</v>
      </c>
      <c r="B47" s="3" t="s">
        <v>14</v>
      </c>
      <c r="C47" s="3" t="s">
        <v>15</v>
      </c>
      <c r="D47" s="3" t="s">
        <v>16</v>
      </c>
      <c r="E47" s="3" t="s">
        <v>17</v>
      </c>
      <c r="F47" s="3" t="s">
        <v>18</v>
      </c>
      <c r="G47" s="3" t="s">
        <v>19</v>
      </c>
      <c r="H47" s="5">
        <v>46125</v>
      </c>
      <c r="I47" s="6"/>
      <c r="J47" s="3" t="s">
        <v>27</v>
      </c>
      <c r="K47" s="6"/>
      <c r="L47" s="6"/>
      <c r="M47" s="3">
        <v>78</v>
      </c>
    </row>
    <row r="48" spans="1:13" x14ac:dyDescent="0.25">
      <c r="A48" s="3" t="s">
        <v>79</v>
      </c>
      <c r="B48" s="3" t="s">
        <v>14</v>
      </c>
      <c r="C48" s="3" t="s">
        <v>15</v>
      </c>
      <c r="D48" s="3" t="s">
        <v>16</v>
      </c>
      <c r="E48" s="3" t="s">
        <v>17</v>
      </c>
      <c r="F48" s="3" t="s">
        <v>18</v>
      </c>
      <c r="G48" s="3" t="s">
        <v>19</v>
      </c>
      <c r="H48" s="5">
        <v>46125</v>
      </c>
      <c r="I48" s="5">
        <v>46142</v>
      </c>
      <c r="J48" s="3" t="s">
        <v>20</v>
      </c>
      <c r="K48" s="3" t="s">
        <v>21</v>
      </c>
      <c r="L48" s="3" t="s">
        <v>37</v>
      </c>
      <c r="M48" s="3">
        <v>17</v>
      </c>
    </row>
    <row r="49" spans="1:13" x14ac:dyDescent="0.25">
      <c r="A49" s="3" t="s">
        <v>80</v>
      </c>
      <c r="B49" s="3" t="s">
        <v>14</v>
      </c>
      <c r="C49" s="3" t="s">
        <v>15</v>
      </c>
      <c r="D49" s="3" t="s">
        <v>16</v>
      </c>
      <c r="E49" s="3" t="s">
        <v>17</v>
      </c>
      <c r="F49" s="3" t="s">
        <v>18</v>
      </c>
      <c r="G49" s="3" t="s">
        <v>19</v>
      </c>
      <c r="H49" s="5">
        <v>46125</v>
      </c>
      <c r="I49" s="5">
        <v>46136</v>
      </c>
      <c r="J49" s="3" t="s">
        <v>20</v>
      </c>
      <c r="K49" s="3" t="s">
        <v>21</v>
      </c>
      <c r="L49" s="3" t="s">
        <v>61</v>
      </c>
      <c r="M49" s="3">
        <v>11</v>
      </c>
    </row>
    <row r="50" spans="1:13" x14ac:dyDescent="0.25">
      <c r="A50" s="3" t="s">
        <v>81</v>
      </c>
      <c r="B50" s="3" t="s">
        <v>14</v>
      </c>
      <c r="C50" s="3" t="s">
        <v>15</v>
      </c>
      <c r="D50" s="3" t="s">
        <v>16</v>
      </c>
      <c r="E50" s="3" t="s">
        <v>17</v>
      </c>
      <c r="F50" s="3" t="s">
        <v>18</v>
      </c>
      <c r="G50" s="3" t="s">
        <v>19</v>
      </c>
      <c r="H50" s="5">
        <v>45913</v>
      </c>
      <c r="I50" s="4">
        <v>46113</v>
      </c>
      <c r="J50" s="3" t="s">
        <v>20</v>
      </c>
      <c r="K50" s="3" t="s">
        <v>24</v>
      </c>
      <c r="L50" s="3" t="s">
        <v>44</v>
      </c>
      <c r="M50" s="3">
        <v>200</v>
      </c>
    </row>
    <row r="51" spans="1:13" x14ac:dyDescent="0.25">
      <c r="A51" s="3" t="s">
        <v>82</v>
      </c>
      <c r="B51" s="3" t="s">
        <v>14</v>
      </c>
      <c r="C51" s="3" t="s">
        <v>15</v>
      </c>
      <c r="D51" s="3" t="s">
        <v>16</v>
      </c>
      <c r="E51" s="3" t="s">
        <v>17</v>
      </c>
      <c r="F51" s="3" t="s">
        <v>18</v>
      </c>
      <c r="G51" s="3" t="s">
        <v>19</v>
      </c>
      <c r="H51" s="5">
        <v>45913</v>
      </c>
      <c r="I51" s="4">
        <v>46118</v>
      </c>
      <c r="J51" s="3" t="s">
        <v>20</v>
      </c>
      <c r="K51" s="3" t="s">
        <v>24</v>
      </c>
      <c r="L51" s="3" t="s">
        <v>44</v>
      </c>
      <c r="M51" s="3">
        <v>205</v>
      </c>
    </row>
    <row r="52" spans="1:13" x14ac:dyDescent="0.25">
      <c r="A52" s="3" t="s">
        <v>83</v>
      </c>
      <c r="B52" s="3" t="s">
        <v>14</v>
      </c>
      <c r="C52" s="3" t="s">
        <v>15</v>
      </c>
      <c r="D52" s="3" t="s">
        <v>16</v>
      </c>
      <c r="E52" s="3" t="s">
        <v>17</v>
      </c>
      <c r="F52" s="3" t="s">
        <v>18</v>
      </c>
      <c r="G52" s="3" t="s">
        <v>19</v>
      </c>
      <c r="H52" s="5">
        <v>46126</v>
      </c>
      <c r="I52" s="4">
        <v>46181</v>
      </c>
      <c r="J52" s="3" t="s">
        <v>20</v>
      </c>
      <c r="K52" s="3" t="s">
        <v>24</v>
      </c>
      <c r="L52" s="3" t="s">
        <v>41</v>
      </c>
      <c r="M52" s="3">
        <v>55</v>
      </c>
    </row>
    <row r="53" spans="1:13" x14ac:dyDescent="0.25">
      <c r="A53" s="3" t="s">
        <v>84</v>
      </c>
      <c r="B53" s="3" t="s">
        <v>14</v>
      </c>
      <c r="C53" s="3" t="s">
        <v>15</v>
      </c>
      <c r="D53" s="3" t="s">
        <v>16</v>
      </c>
      <c r="E53" s="3" t="s">
        <v>17</v>
      </c>
      <c r="F53" s="3" t="s">
        <v>18</v>
      </c>
      <c r="G53" s="3" t="s">
        <v>19</v>
      </c>
      <c r="H53" s="5">
        <v>46127</v>
      </c>
      <c r="I53" s="7">
        <v>46156</v>
      </c>
      <c r="J53" s="3" t="s">
        <v>20</v>
      </c>
      <c r="K53" s="3" t="s">
        <v>24</v>
      </c>
      <c r="L53" s="3" t="s">
        <v>41</v>
      </c>
      <c r="M53" s="3">
        <v>29</v>
      </c>
    </row>
    <row r="54" spans="1:13" x14ac:dyDescent="0.25">
      <c r="A54" s="3" t="s">
        <v>85</v>
      </c>
      <c r="B54" s="3" t="s">
        <v>14</v>
      </c>
      <c r="C54" s="3" t="s">
        <v>15</v>
      </c>
      <c r="D54" s="3" t="s">
        <v>16</v>
      </c>
      <c r="E54" s="3" t="s">
        <v>17</v>
      </c>
      <c r="F54" s="3" t="s">
        <v>18</v>
      </c>
      <c r="G54" s="3" t="s">
        <v>19</v>
      </c>
      <c r="H54" s="5">
        <v>46127</v>
      </c>
      <c r="I54" s="5">
        <v>46134</v>
      </c>
      <c r="J54" s="3" t="s">
        <v>20</v>
      </c>
      <c r="K54" s="3" t="s">
        <v>21</v>
      </c>
      <c r="L54" s="3" t="s">
        <v>33</v>
      </c>
      <c r="M54" s="3">
        <v>7</v>
      </c>
    </row>
    <row r="55" spans="1:13" x14ac:dyDescent="0.25">
      <c r="A55" s="3" t="s">
        <v>86</v>
      </c>
      <c r="B55" s="3" t="s">
        <v>14</v>
      </c>
      <c r="C55" s="3" t="s">
        <v>15</v>
      </c>
      <c r="D55" s="3" t="s">
        <v>16</v>
      </c>
      <c r="E55" s="3" t="s">
        <v>17</v>
      </c>
      <c r="F55" s="3" t="s">
        <v>18</v>
      </c>
      <c r="G55" s="3" t="s">
        <v>19</v>
      </c>
      <c r="H55" s="5">
        <v>46128</v>
      </c>
      <c r="I55" s="7">
        <v>46169</v>
      </c>
      <c r="J55" s="3" t="s">
        <v>20</v>
      </c>
      <c r="K55" s="3" t="s">
        <v>24</v>
      </c>
      <c r="L55" s="3" t="s">
        <v>55</v>
      </c>
      <c r="M55" s="3">
        <v>41</v>
      </c>
    </row>
    <row r="56" spans="1:13" x14ac:dyDescent="0.25">
      <c r="A56" s="3" t="s">
        <v>87</v>
      </c>
      <c r="B56" s="3" t="s">
        <v>14</v>
      </c>
      <c r="C56" s="3" t="s">
        <v>15</v>
      </c>
      <c r="D56" s="3" t="s">
        <v>16</v>
      </c>
      <c r="E56" s="3" t="s">
        <v>17</v>
      </c>
      <c r="F56" s="3" t="s">
        <v>18</v>
      </c>
      <c r="G56" s="3" t="s">
        <v>19</v>
      </c>
      <c r="H56" s="5">
        <v>45704</v>
      </c>
      <c r="I56" s="5">
        <v>46139</v>
      </c>
      <c r="J56" s="3" t="s">
        <v>20</v>
      </c>
      <c r="K56" s="3" t="s">
        <v>24</v>
      </c>
      <c r="L56" s="3" t="s">
        <v>41</v>
      </c>
      <c r="M56" s="3">
        <v>435</v>
      </c>
    </row>
    <row r="57" spans="1:13" x14ac:dyDescent="0.25">
      <c r="A57" s="3" t="s">
        <v>88</v>
      </c>
      <c r="B57" s="3" t="s">
        <v>14</v>
      </c>
      <c r="C57" s="3" t="s">
        <v>15</v>
      </c>
      <c r="D57" s="3" t="s">
        <v>16</v>
      </c>
      <c r="E57" s="3" t="s">
        <v>17</v>
      </c>
      <c r="F57" s="3" t="s">
        <v>18</v>
      </c>
      <c r="G57" s="3" t="s">
        <v>19</v>
      </c>
      <c r="H57" s="5">
        <v>45916</v>
      </c>
      <c r="I57" s="5">
        <v>46203</v>
      </c>
      <c r="J57" s="3" t="s">
        <v>20</v>
      </c>
      <c r="K57" s="3" t="s">
        <v>24</v>
      </c>
      <c r="L57" s="3" t="s">
        <v>55</v>
      </c>
      <c r="M57" s="3">
        <v>287</v>
      </c>
    </row>
    <row r="58" spans="1:13" x14ac:dyDescent="0.25">
      <c r="A58" s="3" t="s">
        <v>89</v>
      </c>
      <c r="B58" s="3" t="s">
        <v>14</v>
      </c>
      <c r="C58" s="3" t="s">
        <v>15</v>
      </c>
      <c r="D58" s="3" t="s">
        <v>16</v>
      </c>
      <c r="E58" s="3" t="s">
        <v>17</v>
      </c>
      <c r="F58" s="3" t="s">
        <v>18</v>
      </c>
      <c r="G58" s="3" t="s">
        <v>19</v>
      </c>
      <c r="H58" s="5">
        <v>46129</v>
      </c>
      <c r="I58" s="7">
        <v>46157</v>
      </c>
      <c r="J58" s="3" t="s">
        <v>20</v>
      </c>
      <c r="K58" s="3" t="s">
        <v>24</v>
      </c>
      <c r="L58" s="3" t="s">
        <v>25</v>
      </c>
      <c r="M58" s="3">
        <v>28</v>
      </c>
    </row>
    <row r="59" spans="1:13" x14ac:dyDescent="0.25">
      <c r="A59" s="3" t="s">
        <v>90</v>
      </c>
      <c r="B59" s="3" t="s">
        <v>14</v>
      </c>
      <c r="C59" s="3" t="s">
        <v>15</v>
      </c>
      <c r="D59" s="3" t="s">
        <v>16</v>
      </c>
      <c r="E59" s="3" t="s">
        <v>17</v>
      </c>
      <c r="F59" s="3" t="s">
        <v>18</v>
      </c>
      <c r="G59" s="3" t="s">
        <v>19</v>
      </c>
      <c r="H59" s="5">
        <v>46129</v>
      </c>
      <c r="I59" s="7">
        <v>46162</v>
      </c>
      <c r="J59" s="3" t="s">
        <v>20</v>
      </c>
      <c r="K59" s="3" t="s">
        <v>21</v>
      </c>
      <c r="L59" s="3" t="s">
        <v>22</v>
      </c>
      <c r="M59" s="3">
        <v>33</v>
      </c>
    </row>
    <row r="60" spans="1:13" x14ac:dyDescent="0.25">
      <c r="A60" s="3" t="s">
        <v>91</v>
      </c>
      <c r="B60" s="3" t="s">
        <v>14</v>
      </c>
      <c r="C60" s="3" t="s">
        <v>15</v>
      </c>
      <c r="D60" s="3" t="s">
        <v>16</v>
      </c>
      <c r="E60" s="3" t="s">
        <v>17</v>
      </c>
      <c r="F60" s="3" t="s">
        <v>18</v>
      </c>
      <c r="G60" s="3" t="s">
        <v>19</v>
      </c>
      <c r="H60" s="5">
        <v>46129</v>
      </c>
      <c r="I60" s="7">
        <v>46160</v>
      </c>
      <c r="J60" s="3" t="s">
        <v>20</v>
      </c>
      <c r="K60" s="3" t="s">
        <v>24</v>
      </c>
      <c r="L60" s="3" t="s">
        <v>41</v>
      </c>
      <c r="M60" s="3">
        <v>31</v>
      </c>
    </row>
    <row r="61" spans="1:13" x14ac:dyDescent="0.25">
      <c r="A61" s="3" t="s">
        <v>92</v>
      </c>
      <c r="B61" s="3" t="s">
        <v>14</v>
      </c>
      <c r="C61" s="3" t="s">
        <v>15</v>
      </c>
      <c r="D61" s="3" t="s">
        <v>16</v>
      </c>
      <c r="E61" s="3" t="s">
        <v>17</v>
      </c>
      <c r="F61" s="3" t="s">
        <v>18</v>
      </c>
      <c r="G61" s="3" t="s">
        <v>19</v>
      </c>
      <c r="H61" s="5">
        <v>46129</v>
      </c>
      <c r="I61" s="6"/>
      <c r="J61" s="3" t="s">
        <v>27</v>
      </c>
      <c r="K61" s="6"/>
      <c r="L61" s="6"/>
      <c r="M61" s="3">
        <v>74</v>
      </c>
    </row>
    <row r="62" spans="1:13" x14ac:dyDescent="0.25">
      <c r="A62" s="3" t="s">
        <v>93</v>
      </c>
      <c r="B62" s="3" t="s">
        <v>14</v>
      </c>
      <c r="C62" s="3" t="s">
        <v>15</v>
      </c>
      <c r="D62" s="3" t="s">
        <v>16</v>
      </c>
      <c r="E62" s="3" t="s">
        <v>17</v>
      </c>
      <c r="F62" s="3" t="s">
        <v>18</v>
      </c>
      <c r="G62" s="3" t="s">
        <v>19</v>
      </c>
      <c r="H62" s="5">
        <v>46129</v>
      </c>
      <c r="I62" s="4">
        <v>46175</v>
      </c>
      <c r="J62" s="3" t="s">
        <v>20</v>
      </c>
      <c r="K62" s="3" t="s">
        <v>24</v>
      </c>
      <c r="L62" s="3" t="s">
        <v>41</v>
      </c>
      <c r="M62" s="3">
        <v>46</v>
      </c>
    </row>
    <row r="63" spans="1:13" x14ac:dyDescent="0.25">
      <c r="A63" s="3" t="s">
        <v>94</v>
      </c>
      <c r="B63" s="3" t="s">
        <v>14</v>
      </c>
      <c r="C63" s="3" t="s">
        <v>15</v>
      </c>
      <c r="D63" s="3" t="s">
        <v>16</v>
      </c>
      <c r="E63" s="3" t="s">
        <v>17</v>
      </c>
      <c r="F63" s="3" t="s">
        <v>18</v>
      </c>
      <c r="G63" s="3" t="s">
        <v>19</v>
      </c>
      <c r="H63" s="5">
        <v>45825</v>
      </c>
      <c r="I63" s="5">
        <v>46200</v>
      </c>
      <c r="J63" s="3" t="s">
        <v>20</v>
      </c>
      <c r="K63" s="3" t="s">
        <v>24</v>
      </c>
      <c r="L63" s="3" t="s">
        <v>25</v>
      </c>
      <c r="M63" s="3">
        <v>375</v>
      </c>
    </row>
    <row r="64" spans="1:13" x14ac:dyDescent="0.25">
      <c r="A64" s="3" t="s">
        <v>95</v>
      </c>
      <c r="B64" s="3" t="s">
        <v>14</v>
      </c>
      <c r="C64" s="3" t="s">
        <v>15</v>
      </c>
      <c r="D64" s="3" t="s">
        <v>16</v>
      </c>
      <c r="E64" s="3" t="s">
        <v>17</v>
      </c>
      <c r="F64" s="3" t="s">
        <v>18</v>
      </c>
      <c r="G64" s="3" t="s">
        <v>19</v>
      </c>
      <c r="H64" s="7">
        <v>46159</v>
      </c>
      <c r="I64" s="7">
        <v>46159</v>
      </c>
      <c r="J64" s="3" t="s">
        <v>20</v>
      </c>
      <c r="K64" s="3" t="s">
        <v>21</v>
      </c>
      <c r="L64" s="3" t="s">
        <v>33</v>
      </c>
      <c r="M64" s="3">
        <v>0</v>
      </c>
    </row>
    <row r="65" spans="1:13" x14ac:dyDescent="0.25">
      <c r="A65" s="3" t="s">
        <v>96</v>
      </c>
      <c r="B65" s="3" t="s">
        <v>14</v>
      </c>
      <c r="C65" s="3" t="s">
        <v>15</v>
      </c>
      <c r="D65" s="3" t="s">
        <v>16</v>
      </c>
      <c r="E65" s="3" t="s">
        <v>17</v>
      </c>
      <c r="F65" s="3" t="s">
        <v>18</v>
      </c>
      <c r="G65" s="3" t="s">
        <v>19</v>
      </c>
      <c r="H65" s="5">
        <v>46130</v>
      </c>
      <c r="I65" s="7">
        <v>46159</v>
      </c>
      <c r="J65" s="3" t="s">
        <v>20</v>
      </c>
      <c r="K65" s="3" t="s">
        <v>24</v>
      </c>
      <c r="L65" s="3" t="s">
        <v>41</v>
      </c>
      <c r="M65" s="3">
        <v>29</v>
      </c>
    </row>
    <row r="66" spans="1:13" x14ac:dyDescent="0.25">
      <c r="A66" s="3" t="s">
        <v>97</v>
      </c>
      <c r="B66" s="3" t="s">
        <v>14</v>
      </c>
      <c r="C66" s="3" t="s">
        <v>15</v>
      </c>
      <c r="D66" s="3" t="s">
        <v>16</v>
      </c>
      <c r="E66" s="3" t="s">
        <v>17</v>
      </c>
      <c r="F66" s="3" t="s">
        <v>18</v>
      </c>
      <c r="G66" s="3" t="s">
        <v>19</v>
      </c>
      <c r="H66" s="5">
        <v>46130</v>
      </c>
      <c r="I66" s="5">
        <v>46130</v>
      </c>
      <c r="J66" s="3" t="s">
        <v>20</v>
      </c>
      <c r="K66" s="3" t="s">
        <v>21</v>
      </c>
      <c r="L66" s="3" t="s">
        <v>30</v>
      </c>
      <c r="M66" s="3">
        <v>0</v>
      </c>
    </row>
    <row r="67" spans="1:13" x14ac:dyDescent="0.25">
      <c r="A67" s="3" t="s">
        <v>98</v>
      </c>
      <c r="B67" s="3" t="s">
        <v>14</v>
      </c>
      <c r="C67" s="3" t="s">
        <v>15</v>
      </c>
      <c r="D67" s="3" t="s">
        <v>16</v>
      </c>
      <c r="E67" s="3" t="s">
        <v>17</v>
      </c>
      <c r="F67" s="3" t="s">
        <v>18</v>
      </c>
      <c r="G67" s="3" t="s">
        <v>19</v>
      </c>
      <c r="H67" s="5">
        <v>46130</v>
      </c>
      <c r="I67" s="5">
        <v>46130</v>
      </c>
      <c r="J67" s="3" t="s">
        <v>20</v>
      </c>
      <c r="K67" s="3" t="s">
        <v>21</v>
      </c>
      <c r="L67" s="3" t="s">
        <v>33</v>
      </c>
      <c r="M67" s="3">
        <v>0</v>
      </c>
    </row>
    <row r="68" spans="1:13" x14ac:dyDescent="0.25">
      <c r="A68" s="3" t="s">
        <v>99</v>
      </c>
      <c r="B68" s="3" t="s">
        <v>14</v>
      </c>
      <c r="C68" s="3" t="s">
        <v>15</v>
      </c>
      <c r="D68" s="3" t="s">
        <v>16</v>
      </c>
      <c r="E68" s="3" t="s">
        <v>17</v>
      </c>
      <c r="F68" s="3" t="s">
        <v>18</v>
      </c>
      <c r="G68" s="3" t="s">
        <v>19</v>
      </c>
      <c r="H68" s="5">
        <v>46130</v>
      </c>
      <c r="I68" s="5">
        <v>46185</v>
      </c>
      <c r="J68" s="3" t="s">
        <v>20</v>
      </c>
      <c r="K68" s="3" t="s">
        <v>24</v>
      </c>
      <c r="L68" s="3" t="s">
        <v>25</v>
      </c>
      <c r="M68" s="3">
        <v>55</v>
      </c>
    </row>
    <row r="69" spans="1:13" x14ac:dyDescent="0.25">
      <c r="A69" s="3" t="s">
        <v>100</v>
      </c>
      <c r="B69" s="3" t="s">
        <v>14</v>
      </c>
      <c r="C69" s="3" t="s">
        <v>15</v>
      </c>
      <c r="D69" s="3" t="s">
        <v>16</v>
      </c>
      <c r="E69" s="3" t="s">
        <v>17</v>
      </c>
      <c r="F69" s="3" t="s">
        <v>18</v>
      </c>
      <c r="G69" s="3" t="s">
        <v>19</v>
      </c>
      <c r="H69" s="5">
        <v>46130</v>
      </c>
      <c r="I69" s="7">
        <v>46170</v>
      </c>
      <c r="J69" s="3" t="s">
        <v>20</v>
      </c>
      <c r="K69" s="3" t="s">
        <v>24</v>
      </c>
      <c r="L69" s="3" t="s">
        <v>41</v>
      </c>
      <c r="M69" s="3">
        <v>40</v>
      </c>
    </row>
    <row r="70" spans="1:13" x14ac:dyDescent="0.25">
      <c r="A70" s="3" t="s">
        <v>101</v>
      </c>
      <c r="B70" s="3" t="s">
        <v>14</v>
      </c>
      <c r="C70" s="3" t="s">
        <v>15</v>
      </c>
      <c r="D70" s="3" t="s">
        <v>16</v>
      </c>
      <c r="E70" s="3" t="s">
        <v>17</v>
      </c>
      <c r="F70" s="3" t="s">
        <v>18</v>
      </c>
      <c r="G70" s="3" t="s">
        <v>19</v>
      </c>
      <c r="H70" s="5">
        <v>46191</v>
      </c>
      <c r="I70" s="5">
        <v>46200</v>
      </c>
      <c r="J70" s="3" t="s">
        <v>20</v>
      </c>
      <c r="K70" s="3" t="s">
        <v>21</v>
      </c>
      <c r="L70" s="3" t="s">
        <v>50</v>
      </c>
      <c r="M70" s="3">
        <v>9</v>
      </c>
    </row>
    <row r="71" spans="1:13" x14ac:dyDescent="0.25">
      <c r="A71" s="3" t="s">
        <v>102</v>
      </c>
      <c r="B71" s="3" t="s">
        <v>14</v>
      </c>
      <c r="C71" s="3" t="s">
        <v>15</v>
      </c>
      <c r="D71" s="3" t="s">
        <v>16</v>
      </c>
      <c r="E71" s="3" t="s">
        <v>17</v>
      </c>
      <c r="F71" s="3" t="s">
        <v>18</v>
      </c>
      <c r="G71" s="3" t="s">
        <v>19</v>
      </c>
      <c r="H71" s="5">
        <v>46131</v>
      </c>
      <c r="I71" s="7">
        <v>46168</v>
      </c>
      <c r="J71" s="3" t="s">
        <v>20</v>
      </c>
      <c r="K71" s="3" t="s">
        <v>24</v>
      </c>
      <c r="L71" s="3" t="s">
        <v>55</v>
      </c>
      <c r="M71" s="3">
        <v>37</v>
      </c>
    </row>
    <row r="72" spans="1:13" x14ac:dyDescent="0.25">
      <c r="A72" s="3" t="s">
        <v>103</v>
      </c>
      <c r="B72" s="3" t="s">
        <v>14</v>
      </c>
      <c r="C72" s="3" t="s">
        <v>15</v>
      </c>
      <c r="D72" s="3" t="s">
        <v>16</v>
      </c>
      <c r="E72" s="3" t="s">
        <v>17</v>
      </c>
      <c r="F72" s="3" t="s">
        <v>18</v>
      </c>
      <c r="G72" s="3" t="s">
        <v>19</v>
      </c>
      <c r="H72" s="5">
        <v>46132</v>
      </c>
      <c r="I72" s="6"/>
      <c r="J72" s="3" t="s">
        <v>27</v>
      </c>
      <c r="K72" s="6"/>
      <c r="L72" s="6"/>
      <c r="M72" s="3">
        <v>71</v>
      </c>
    </row>
    <row r="73" spans="1:13" x14ac:dyDescent="0.25">
      <c r="A73" s="3" t="s">
        <v>104</v>
      </c>
      <c r="B73" s="3" t="s">
        <v>14</v>
      </c>
      <c r="C73" s="3" t="s">
        <v>15</v>
      </c>
      <c r="D73" s="3" t="s">
        <v>16</v>
      </c>
      <c r="E73" s="3" t="s">
        <v>17</v>
      </c>
      <c r="F73" s="3" t="s">
        <v>18</v>
      </c>
      <c r="G73" s="3" t="s">
        <v>19</v>
      </c>
      <c r="H73" s="5">
        <v>46132</v>
      </c>
      <c r="I73" s="6"/>
      <c r="J73" s="3" t="s">
        <v>27</v>
      </c>
      <c r="K73" s="6"/>
      <c r="L73" s="6"/>
      <c r="M73" s="3">
        <v>71</v>
      </c>
    </row>
    <row r="74" spans="1:13" x14ac:dyDescent="0.25">
      <c r="A74" s="3" t="s">
        <v>105</v>
      </c>
      <c r="B74" s="3" t="s">
        <v>14</v>
      </c>
      <c r="C74" s="3" t="s">
        <v>15</v>
      </c>
      <c r="D74" s="3" t="s">
        <v>16</v>
      </c>
      <c r="E74" s="3" t="s">
        <v>17</v>
      </c>
      <c r="F74" s="3" t="s">
        <v>18</v>
      </c>
      <c r="G74" s="3" t="s">
        <v>19</v>
      </c>
      <c r="H74" s="5">
        <v>46132</v>
      </c>
      <c r="I74" s="5">
        <v>46132</v>
      </c>
      <c r="J74" s="3" t="s">
        <v>20</v>
      </c>
      <c r="K74" s="3" t="s">
        <v>21</v>
      </c>
      <c r="L74" s="3" t="s">
        <v>37</v>
      </c>
      <c r="M74" s="3">
        <v>0</v>
      </c>
    </row>
    <row r="75" spans="1:13" x14ac:dyDescent="0.25">
      <c r="A75" s="3" t="s">
        <v>106</v>
      </c>
      <c r="B75" s="3" t="s">
        <v>14</v>
      </c>
      <c r="C75" s="3" t="s">
        <v>15</v>
      </c>
      <c r="D75" s="3" t="s">
        <v>16</v>
      </c>
      <c r="E75" s="3" t="s">
        <v>17</v>
      </c>
      <c r="F75" s="3" t="s">
        <v>18</v>
      </c>
      <c r="G75" s="3" t="s">
        <v>19</v>
      </c>
      <c r="H75" s="5">
        <v>46132</v>
      </c>
      <c r="I75" s="7">
        <v>46155</v>
      </c>
      <c r="J75" s="3" t="s">
        <v>20</v>
      </c>
      <c r="K75" s="3" t="s">
        <v>24</v>
      </c>
      <c r="L75" s="3" t="s">
        <v>44</v>
      </c>
      <c r="M75" s="3">
        <v>23</v>
      </c>
    </row>
    <row r="76" spans="1:13" x14ac:dyDescent="0.25">
      <c r="A76" s="3" t="s">
        <v>107</v>
      </c>
      <c r="B76" s="3" t="s">
        <v>14</v>
      </c>
      <c r="C76" s="3" t="s">
        <v>15</v>
      </c>
      <c r="D76" s="3" t="s">
        <v>16</v>
      </c>
      <c r="E76" s="3" t="s">
        <v>17</v>
      </c>
      <c r="F76" s="3" t="s">
        <v>18</v>
      </c>
      <c r="G76" s="3" t="s">
        <v>19</v>
      </c>
      <c r="H76" s="5">
        <v>45768</v>
      </c>
      <c r="I76" s="8">
        <v>46145</v>
      </c>
      <c r="J76" s="3" t="s">
        <v>20</v>
      </c>
      <c r="K76" s="3" t="s">
        <v>24</v>
      </c>
      <c r="L76" s="3" t="s">
        <v>41</v>
      </c>
      <c r="M76" s="3">
        <v>377</v>
      </c>
    </row>
    <row r="77" spans="1:13" x14ac:dyDescent="0.25">
      <c r="A77" s="3" t="s">
        <v>108</v>
      </c>
      <c r="B77" s="3" t="s">
        <v>14</v>
      </c>
      <c r="C77" s="3" t="s">
        <v>15</v>
      </c>
      <c r="D77" s="3" t="s">
        <v>16</v>
      </c>
      <c r="E77" s="3" t="s">
        <v>17</v>
      </c>
      <c r="F77" s="3" t="s">
        <v>18</v>
      </c>
      <c r="G77" s="3" t="s">
        <v>19</v>
      </c>
      <c r="H77" s="5">
        <v>46074</v>
      </c>
      <c r="I77" s="5">
        <v>46128</v>
      </c>
      <c r="J77" s="3" t="s">
        <v>20</v>
      </c>
      <c r="K77" s="3" t="s">
        <v>21</v>
      </c>
      <c r="L77" s="3" t="s">
        <v>30</v>
      </c>
      <c r="M77" s="3">
        <v>54</v>
      </c>
    </row>
    <row r="78" spans="1:13" x14ac:dyDescent="0.25">
      <c r="A78" s="3" t="s">
        <v>109</v>
      </c>
      <c r="B78" s="3" t="s">
        <v>14</v>
      </c>
      <c r="C78" s="3" t="s">
        <v>15</v>
      </c>
      <c r="D78" s="3" t="s">
        <v>16</v>
      </c>
      <c r="E78" s="3" t="s">
        <v>17</v>
      </c>
      <c r="F78" s="3" t="s">
        <v>18</v>
      </c>
      <c r="G78" s="3" t="s">
        <v>19</v>
      </c>
      <c r="H78" s="5">
        <v>45859</v>
      </c>
      <c r="I78" s="5">
        <v>46130</v>
      </c>
      <c r="J78" s="3" t="s">
        <v>20</v>
      </c>
      <c r="K78" s="3" t="s">
        <v>24</v>
      </c>
      <c r="L78" s="3" t="s">
        <v>55</v>
      </c>
      <c r="M78" s="3">
        <v>271</v>
      </c>
    </row>
    <row r="79" spans="1:13" x14ac:dyDescent="0.25">
      <c r="A79" s="3" t="s">
        <v>110</v>
      </c>
      <c r="B79" s="3" t="s">
        <v>14</v>
      </c>
      <c r="C79" s="3" t="s">
        <v>15</v>
      </c>
      <c r="D79" s="3" t="s">
        <v>16</v>
      </c>
      <c r="E79" s="3" t="s">
        <v>17</v>
      </c>
      <c r="F79" s="3" t="s">
        <v>18</v>
      </c>
      <c r="G79" s="3" t="s">
        <v>19</v>
      </c>
      <c r="H79" s="5">
        <v>45921</v>
      </c>
      <c r="I79" s="5">
        <v>46133</v>
      </c>
      <c r="J79" s="3" t="s">
        <v>20</v>
      </c>
      <c r="K79" s="3" t="s">
        <v>24</v>
      </c>
      <c r="L79" s="3" t="s">
        <v>41</v>
      </c>
      <c r="M79" s="3">
        <v>212</v>
      </c>
    </row>
    <row r="80" spans="1:13" x14ac:dyDescent="0.25">
      <c r="A80" s="3" t="s">
        <v>111</v>
      </c>
      <c r="B80" s="3" t="s">
        <v>14</v>
      </c>
      <c r="C80" s="3" t="s">
        <v>15</v>
      </c>
      <c r="D80" s="3" t="s">
        <v>16</v>
      </c>
      <c r="E80" s="3" t="s">
        <v>17</v>
      </c>
      <c r="F80" s="3" t="s">
        <v>18</v>
      </c>
      <c r="G80" s="3" t="s">
        <v>19</v>
      </c>
      <c r="H80" s="5">
        <v>46134</v>
      </c>
      <c r="I80" s="5">
        <v>46134</v>
      </c>
      <c r="J80" s="3" t="s">
        <v>20</v>
      </c>
      <c r="K80" s="3" t="s">
        <v>21</v>
      </c>
      <c r="L80" s="3" t="s">
        <v>50</v>
      </c>
      <c r="M80" s="3">
        <v>0</v>
      </c>
    </row>
    <row r="81" spans="1:13" x14ac:dyDescent="0.25">
      <c r="A81" s="3" t="s">
        <v>112</v>
      </c>
      <c r="B81" s="3" t="s">
        <v>14</v>
      </c>
      <c r="C81" s="3" t="s">
        <v>15</v>
      </c>
      <c r="D81" s="3" t="s">
        <v>16</v>
      </c>
      <c r="E81" s="3" t="s">
        <v>17</v>
      </c>
      <c r="F81" s="3" t="s">
        <v>18</v>
      </c>
      <c r="G81" s="3" t="s">
        <v>19</v>
      </c>
      <c r="H81" s="5">
        <v>46135</v>
      </c>
      <c r="I81" s="5">
        <v>46139</v>
      </c>
      <c r="J81" s="3" t="s">
        <v>20</v>
      </c>
      <c r="K81" s="3" t="s">
        <v>21</v>
      </c>
      <c r="L81" s="3" t="s">
        <v>33</v>
      </c>
      <c r="M81" s="3">
        <v>4</v>
      </c>
    </row>
    <row r="82" spans="1:13" x14ac:dyDescent="0.25">
      <c r="A82" s="3" t="s">
        <v>113</v>
      </c>
      <c r="B82" s="3" t="s">
        <v>14</v>
      </c>
      <c r="C82" s="3" t="s">
        <v>15</v>
      </c>
      <c r="D82" s="3" t="s">
        <v>16</v>
      </c>
      <c r="E82" s="3" t="s">
        <v>17</v>
      </c>
      <c r="F82" s="3" t="s">
        <v>18</v>
      </c>
      <c r="G82" s="3" t="s">
        <v>19</v>
      </c>
      <c r="H82" s="5">
        <v>45892</v>
      </c>
      <c r="I82" s="5">
        <v>46142</v>
      </c>
      <c r="J82" s="3" t="s">
        <v>20</v>
      </c>
      <c r="K82" s="3" t="s">
        <v>24</v>
      </c>
      <c r="L82" s="3" t="s">
        <v>55</v>
      </c>
      <c r="M82" s="3">
        <v>250</v>
      </c>
    </row>
    <row r="83" spans="1:13" x14ac:dyDescent="0.25">
      <c r="A83" s="3" t="s">
        <v>114</v>
      </c>
      <c r="B83" s="3" t="s">
        <v>14</v>
      </c>
      <c r="C83" s="3" t="s">
        <v>15</v>
      </c>
      <c r="D83" s="3" t="s">
        <v>16</v>
      </c>
      <c r="E83" s="3" t="s">
        <v>17</v>
      </c>
      <c r="F83" s="3" t="s">
        <v>18</v>
      </c>
      <c r="G83" s="3" t="s">
        <v>19</v>
      </c>
      <c r="H83" s="5">
        <v>46196</v>
      </c>
      <c r="I83" s="5">
        <v>46196</v>
      </c>
      <c r="J83" s="3" t="s">
        <v>20</v>
      </c>
      <c r="K83" s="3" t="s">
        <v>21</v>
      </c>
      <c r="L83" s="3" t="s">
        <v>61</v>
      </c>
      <c r="M83" s="3">
        <v>0</v>
      </c>
    </row>
    <row r="84" spans="1:13" x14ac:dyDescent="0.25">
      <c r="A84" s="3" t="s">
        <v>115</v>
      </c>
      <c r="B84" s="3" t="s">
        <v>14</v>
      </c>
      <c r="C84" s="3" t="s">
        <v>15</v>
      </c>
      <c r="D84" s="3" t="s">
        <v>16</v>
      </c>
      <c r="E84" s="3" t="s">
        <v>17</v>
      </c>
      <c r="F84" s="3" t="s">
        <v>18</v>
      </c>
      <c r="G84" s="3" t="s">
        <v>19</v>
      </c>
      <c r="H84" s="5">
        <v>45739</v>
      </c>
      <c r="I84" s="5">
        <v>46142</v>
      </c>
      <c r="J84" s="3" t="s">
        <v>20</v>
      </c>
      <c r="K84" s="3" t="s">
        <v>24</v>
      </c>
      <c r="L84" s="3" t="s">
        <v>25</v>
      </c>
      <c r="M84" s="3">
        <v>403</v>
      </c>
    </row>
    <row r="85" spans="1:13" x14ac:dyDescent="0.25">
      <c r="A85" s="3" t="s">
        <v>116</v>
      </c>
      <c r="B85" s="3" t="s">
        <v>14</v>
      </c>
      <c r="C85" s="3" t="s">
        <v>15</v>
      </c>
      <c r="D85" s="3" t="s">
        <v>16</v>
      </c>
      <c r="E85" s="3" t="s">
        <v>17</v>
      </c>
      <c r="F85" s="3" t="s">
        <v>18</v>
      </c>
      <c r="G85" s="3" t="s">
        <v>19</v>
      </c>
      <c r="H85" s="5">
        <v>45953</v>
      </c>
      <c r="I85" s="7">
        <v>46159</v>
      </c>
      <c r="J85" s="3" t="s">
        <v>20</v>
      </c>
      <c r="K85" s="3" t="s">
        <v>24</v>
      </c>
      <c r="L85" s="3" t="s">
        <v>44</v>
      </c>
      <c r="M85" s="3">
        <v>206</v>
      </c>
    </row>
    <row r="86" spans="1:13" x14ac:dyDescent="0.25">
      <c r="A86" s="3" t="s">
        <v>117</v>
      </c>
      <c r="B86" s="3" t="s">
        <v>14</v>
      </c>
      <c r="C86" s="3" t="s">
        <v>15</v>
      </c>
      <c r="D86" s="3" t="s">
        <v>16</v>
      </c>
      <c r="E86" s="3" t="s">
        <v>17</v>
      </c>
      <c r="F86" s="3" t="s">
        <v>18</v>
      </c>
      <c r="G86" s="3" t="s">
        <v>19</v>
      </c>
      <c r="H86" s="5">
        <v>46136</v>
      </c>
      <c r="I86" s="6"/>
      <c r="J86" s="3" t="s">
        <v>27</v>
      </c>
      <c r="K86" s="6"/>
      <c r="L86" s="6"/>
      <c r="M86" s="3">
        <v>67</v>
      </c>
    </row>
    <row r="87" spans="1:13" x14ac:dyDescent="0.25">
      <c r="A87" s="3" t="s">
        <v>118</v>
      </c>
      <c r="B87" s="3" t="s">
        <v>14</v>
      </c>
      <c r="C87" s="3" t="s">
        <v>15</v>
      </c>
      <c r="D87" s="3" t="s">
        <v>16</v>
      </c>
      <c r="E87" s="3" t="s">
        <v>17</v>
      </c>
      <c r="F87" s="3" t="s">
        <v>18</v>
      </c>
      <c r="G87" s="3" t="s">
        <v>19</v>
      </c>
      <c r="H87" s="5">
        <v>46137</v>
      </c>
      <c r="I87" s="8">
        <v>46150</v>
      </c>
      <c r="J87" s="3" t="s">
        <v>20</v>
      </c>
      <c r="K87" s="3" t="s">
        <v>21</v>
      </c>
      <c r="L87" s="3" t="s">
        <v>37</v>
      </c>
      <c r="M87" s="3">
        <v>13</v>
      </c>
    </row>
    <row r="88" spans="1:13" x14ac:dyDescent="0.25">
      <c r="A88" s="3" t="s">
        <v>119</v>
      </c>
      <c r="B88" s="3" t="s">
        <v>14</v>
      </c>
      <c r="C88" s="3" t="s">
        <v>15</v>
      </c>
      <c r="D88" s="3" t="s">
        <v>16</v>
      </c>
      <c r="E88" s="3" t="s">
        <v>17</v>
      </c>
      <c r="F88" s="3" t="s">
        <v>18</v>
      </c>
      <c r="G88" s="3" t="s">
        <v>19</v>
      </c>
      <c r="H88" s="5">
        <v>46137</v>
      </c>
      <c r="I88" s="8">
        <v>46145</v>
      </c>
      <c r="J88" s="3" t="s">
        <v>20</v>
      </c>
      <c r="K88" s="3" t="s">
        <v>24</v>
      </c>
      <c r="L88" s="3" t="s">
        <v>55</v>
      </c>
      <c r="M88" s="3">
        <v>8</v>
      </c>
    </row>
    <row r="89" spans="1:13" x14ac:dyDescent="0.25">
      <c r="A89" s="3" t="s">
        <v>120</v>
      </c>
      <c r="B89" s="3" t="s">
        <v>14</v>
      </c>
      <c r="C89" s="3" t="s">
        <v>15</v>
      </c>
      <c r="D89" s="3" t="s">
        <v>16</v>
      </c>
      <c r="E89" s="3" t="s">
        <v>17</v>
      </c>
      <c r="F89" s="3" t="s">
        <v>18</v>
      </c>
      <c r="G89" s="3" t="s">
        <v>19</v>
      </c>
      <c r="H89" s="5">
        <v>46137</v>
      </c>
      <c r="I89" s="5">
        <v>46137</v>
      </c>
      <c r="J89" s="3" t="s">
        <v>20</v>
      </c>
      <c r="K89" s="3" t="s">
        <v>21</v>
      </c>
      <c r="L89" s="3" t="s">
        <v>61</v>
      </c>
      <c r="M89" s="3">
        <v>0</v>
      </c>
    </row>
    <row r="90" spans="1:13" x14ac:dyDescent="0.25">
      <c r="A90" s="3" t="s">
        <v>121</v>
      </c>
      <c r="B90" s="3" t="s">
        <v>14</v>
      </c>
      <c r="C90" s="3" t="s">
        <v>15</v>
      </c>
      <c r="D90" s="3" t="s">
        <v>16</v>
      </c>
      <c r="E90" s="3" t="s">
        <v>17</v>
      </c>
      <c r="F90" s="3" t="s">
        <v>18</v>
      </c>
      <c r="G90" s="3" t="s">
        <v>19</v>
      </c>
      <c r="H90" s="5">
        <v>45682</v>
      </c>
      <c r="I90" s="5">
        <v>46141</v>
      </c>
      <c r="J90" s="3" t="s">
        <v>20</v>
      </c>
      <c r="K90" s="3" t="s">
        <v>24</v>
      </c>
      <c r="L90" s="3" t="s">
        <v>55</v>
      </c>
      <c r="M90" s="3">
        <v>459</v>
      </c>
    </row>
    <row r="91" spans="1:13" x14ac:dyDescent="0.25">
      <c r="A91" s="3" t="s">
        <v>122</v>
      </c>
      <c r="B91" s="3" t="s">
        <v>14</v>
      </c>
      <c r="C91" s="3" t="s">
        <v>15</v>
      </c>
      <c r="D91" s="3" t="s">
        <v>16</v>
      </c>
      <c r="E91" s="3" t="s">
        <v>17</v>
      </c>
      <c r="F91" s="3" t="s">
        <v>18</v>
      </c>
      <c r="G91" s="3" t="s">
        <v>19</v>
      </c>
      <c r="H91" s="7">
        <v>45802</v>
      </c>
      <c r="I91" s="5">
        <v>46141</v>
      </c>
      <c r="J91" s="3" t="s">
        <v>20</v>
      </c>
      <c r="K91" s="3" t="s">
        <v>24</v>
      </c>
      <c r="L91" s="3" t="s">
        <v>25</v>
      </c>
      <c r="M91" s="3">
        <v>339</v>
      </c>
    </row>
    <row r="92" spans="1:13" x14ac:dyDescent="0.25">
      <c r="A92" s="3" t="s">
        <v>123</v>
      </c>
      <c r="B92" s="3" t="s">
        <v>14</v>
      </c>
      <c r="C92" s="3" t="s">
        <v>15</v>
      </c>
      <c r="D92" s="3" t="s">
        <v>16</v>
      </c>
      <c r="E92" s="3" t="s">
        <v>17</v>
      </c>
      <c r="F92" s="3" t="s">
        <v>18</v>
      </c>
      <c r="G92" s="3" t="s">
        <v>19</v>
      </c>
      <c r="H92" s="5">
        <v>46138</v>
      </c>
      <c r="I92" s="7">
        <v>46158</v>
      </c>
      <c r="J92" s="3" t="s">
        <v>20</v>
      </c>
      <c r="K92" s="3" t="s">
        <v>21</v>
      </c>
      <c r="L92" s="3" t="s">
        <v>37</v>
      </c>
      <c r="M92" s="3">
        <v>20</v>
      </c>
    </row>
    <row r="93" spans="1:13" x14ac:dyDescent="0.25">
      <c r="A93" s="3" t="s">
        <v>124</v>
      </c>
      <c r="B93" s="3" t="s">
        <v>14</v>
      </c>
      <c r="C93" s="3" t="s">
        <v>15</v>
      </c>
      <c r="D93" s="3" t="s">
        <v>16</v>
      </c>
      <c r="E93" s="3" t="s">
        <v>17</v>
      </c>
      <c r="F93" s="3" t="s">
        <v>18</v>
      </c>
      <c r="G93" s="3" t="s">
        <v>19</v>
      </c>
      <c r="H93" s="5">
        <v>46138</v>
      </c>
      <c r="I93" s="5">
        <v>46193</v>
      </c>
      <c r="J93" s="3" t="s">
        <v>20</v>
      </c>
      <c r="K93" s="3" t="s">
        <v>24</v>
      </c>
      <c r="L93" s="3" t="s">
        <v>55</v>
      </c>
      <c r="M93" s="3">
        <v>55</v>
      </c>
    </row>
    <row r="94" spans="1:13" x14ac:dyDescent="0.25">
      <c r="A94" s="3" t="s">
        <v>125</v>
      </c>
      <c r="B94" s="3" t="s">
        <v>14</v>
      </c>
      <c r="C94" s="3" t="s">
        <v>15</v>
      </c>
      <c r="D94" s="3" t="s">
        <v>16</v>
      </c>
      <c r="E94" s="3" t="s">
        <v>17</v>
      </c>
      <c r="F94" s="3" t="s">
        <v>18</v>
      </c>
      <c r="G94" s="3" t="s">
        <v>19</v>
      </c>
      <c r="H94" s="5">
        <v>45683</v>
      </c>
      <c r="I94" s="5">
        <v>46123</v>
      </c>
      <c r="J94" s="3" t="s">
        <v>20</v>
      </c>
      <c r="K94" s="3" t="s">
        <v>21</v>
      </c>
      <c r="L94" s="3" t="s">
        <v>22</v>
      </c>
      <c r="M94" s="3">
        <v>440</v>
      </c>
    </row>
    <row r="95" spans="1:13" x14ac:dyDescent="0.25">
      <c r="A95" s="3" t="s">
        <v>126</v>
      </c>
      <c r="B95" s="3" t="s">
        <v>14</v>
      </c>
      <c r="C95" s="3" t="s">
        <v>15</v>
      </c>
      <c r="D95" s="3" t="s">
        <v>16</v>
      </c>
      <c r="E95" s="3" t="s">
        <v>17</v>
      </c>
      <c r="F95" s="3" t="s">
        <v>18</v>
      </c>
      <c r="G95" s="3" t="s">
        <v>19</v>
      </c>
      <c r="H95" s="5">
        <v>46048</v>
      </c>
      <c r="I95" s="7">
        <v>46161</v>
      </c>
      <c r="J95" s="3" t="s">
        <v>20</v>
      </c>
      <c r="K95" s="3" t="s">
        <v>24</v>
      </c>
      <c r="L95" s="3" t="s">
        <v>55</v>
      </c>
      <c r="M95" s="3">
        <v>113</v>
      </c>
    </row>
    <row r="96" spans="1:13" x14ac:dyDescent="0.25">
      <c r="A96" s="3" t="s">
        <v>127</v>
      </c>
      <c r="B96" s="3" t="s">
        <v>14</v>
      </c>
      <c r="C96" s="3" t="s">
        <v>15</v>
      </c>
      <c r="D96" s="3" t="s">
        <v>16</v>
      </c>
      <c r="E96" s="3" t="s">
        <v>17</v>
      </c>
      <c r="F96" s="3" t="s">
        <v>18</v>
      </c>
      <c r="G96" s="3" t="s">
        <v>19</v>
      </c>
      <c r="H96" s="5">
        <v>45956</v>
      </c>
      <c r="I96" s="5">
        <v>46138</v>
      </c>
      <c r="J96" s="3" t="s">
        <v>20</v>
      </c>
      <c r="K96" s="3" t="s">
        <v>24</v>
      </c>
      <c r="L96" s="3" t="s">
        <v>41</v>
      </c>
      <c r="M96" s="3">
        <v>182</v>
      </c>
    </row>
    <row r="97" spans="1:13" x14ac:dyDescent="0.25">
      <c r="A97" s="3" t="s">
        <v>128</v>
      </c>
      <c r="B97" s="3" t="s">
        <v>14</v>
      </c>
      <c r="C97" s="3" t="s">
        <v>15</v>
      </c>
      <c r="D97" s="3" t="s">
        <v>16</v>
      </c>
      <c r="E97" s="3" t="s">
        <v>17</v>
      </c>
      <c r="F97" s="3" t="s">
        <v>18</v>
      </c>
      <c r="G97" s="3" t="s">
        <v>19</v>
      </c>
      <c r="H97" s="5">
        <v>46139</v>
      </c>
      <c r="I97" s="7">
        <v>46157</v>
      </c>
      <c r="J97" s="3" t="s">
        <v>20</v>
      </c>
      <c r="K97" s="3" t="s">
        <v>24</v>
      </c>
      <c r="L97" s="3" t="s">
        <v>55</v>
      </c>
      <c r="M97" s="3">
        <v>18</v>
      </c>
    </row>
    <row r="98" spans="1:13" x14ac:dyDescent="0.25">
      <c r="A98" s="3" t="s">
        <v>129</v>
      </c>
      <c r="B98" s="3" t="s">
        <v>14</v>
      </c>
      <c r="C98" s="3" t="s">
        <v>15</v>
      </c>
      <c r="D98" s="3" t="s">
        <v>16</v>
      </c>
      <c r="E98" s="3" t="s">
        <v>17</v>
      </c>
      <c r="F98" s="3" t="s">
        <v>18</v>
      </c>
      <c r="G98" s="3" t="s">
        <v>19</v>
      </c>
      <c r="H98" s="5">
        <v>46108</v>
      </c>
      <c r="I98" s="6"/>
      <c r="J98" s="3" t="s">
        <v>27</v>
      </c>
      <c r="K98" s="6"/>
      <c r="L98" s="6"/>
      <c r="M98" s="3">
        <v>95</v>
      </c>
    </row>
    <row r="99" spans="1:13" x14ac:dyDescent="0.25">
      <c r="A99" s="3" t="s">
        <v>130</v>
      </c>
      <c r="B99" s="3" t="s">
        <v>14</v>
      </c>
      <c r="C99" s="3" t="s">
        <v>15</v>
      </c>
      <c r="D99" s="3" t="s">
        <v>16</v>
      </c>
      <c r="E99" s="3" t="s">
        <v>17</v>
      </c>
      <c r="F99" s="3" t="s">
        <v>18</v>
      </c>
      <c r="G99" s="3" t="s">
        <v>19</v>
      </c>
      <c r="H99" s="7">
        <v>45804</v>
      </c>
      <c r="I99" s="5">
        <v>46142</v>
      </c>
      <c r="J99" s="3" t="s">
        <v>20</v>
      </c>
      <c r="K99" s="3" t="s">
        <v>24</v>
      </c>
      <c r="L99" s="3" t="s">
        <v>55</v>
      </c>
      <c r="M99" s="3">
        <v>338</v>
      </c>
    </row>
    <row r="100" spans="1:13" x14ac:dyDescent="0.25">
      <c r="A100" s="3" t="s">
        <v>131</v>
      </c>
      <c r="B100" s="3" t="s">
        <v>14</v>
      </c>
      <c r="C100" s="3" t="s">
        <v>15</v>
      </c>
      <c r="D100" s="3" t="s">
        <v>16</v>
      </c>
      <c r="E100" s="3" t="s">
        <v>17</v>
      </c>
      <c r="F100" s="3" t="s">
        <v>18</v>
      </c>
      <c r="G100" s="3" t="s">
        <v>19</v>
      </c>
      <c r="H100" s="5">
        <v>46140</v>
      </c>
      <c r="I100" s="5">
        <v>46140</v>
      </c>
      <c r="J100" s="3" t="s">
        <v>20</v>
      </c>
      <c r="K100" s="3" t="s">
        <v>21</v>
      </c>
      <c r="L100" s="3" t="s">
        <v>50</v>
      </c>
      <c r="M100" s="3">
        <v>0</v>
      </c>
    </row>
    <row r="101" spans="1:13" x14ac:dyDescent="0.25">
      <c r="A101" s="3" t="s">
        <v>132</v>
      </c>
      <c r="B101" s="3" t="s">
        <v>14</v>
      </c>
      <c r="C101" s="3" t="s">
        <v>15</v>
      </c>
      <c r="D101" s="3" t="s">
        <v>16</v>
      </c>
      <c r="E101" s="3" t="s">
        <v>17</v>
      </c>
      <c r="F101" s="3" t="s">
        <v>18</v>
      </c>
      <c r="G101" s="3" t="s">
        <v>19</v>
      </c>
      <c r="H101" s="5">
        <v>45897</v>
      </c>
      <c r="I101" s="5">
        <v>46133</v>
      </c>
      <c r="J101" s="3" t="s">
        <v>20</v>
      </c>
      <c r="K101" s="3" t="s">
        <v>21</v>
      </c>
      <c r="L101" s="3" t="s">
        <v>50</v>
      </c>
      <c r="M101" s="3">
        <v>236</v>
      </c>
    </row>
    <row r="102" spans="1:13" x14ac:dyDescent="0.25">
      <c r="A102" s="3" t="s">
        <v>133</v>
      </c>
      <c r="B102" s="3" t="s">
        <v>14</v>
      </c>
      <c r="C102" s="3" t="s">
        <v>15</v>
      </c>
      <c r="D102" s="3" t="s">
        <v>16</v>
      </c>
      <c r="E102" s="3" t="s">
        <v>17</v>
      </c>
      <c r="F102" s="3" t="s">
        <v>18</v>
      </c>
      <c r="G102" s="3" t="s">
        <v>19</v>
      </c>
      <c r="H102" s="5">
        <v>46109</v>
      </c>
      <c r="I102" s="6"/>
      <c r="J102" s="3" t="s">
        <v>27</v>
      </c>
      <c r="K102" s="6"/>
      <c r="L102" s="6"/>
      <c r="M102" s="3">
        <v>94</v>
      </c>
    </row>
    <row r="103" spans="1:13" x14ac:dyDescent="0.25">
      <c r="A103" s="3" t="s">
        <v>134</v>
      </c>
      <c r="B103" s="3" t="s">
        <v>14</v>
      </c>
      <c r="C103" s="3" t="s">
        <v>15</v>
      </c>
      <c r="D103" s="3" t="s">
        <v>16</v>
      </c>
      <c r="E103" s="3" t="s">
        <v>17</v>
      </c>
      <c r="F103" s="3" t="s">
        <v>18</v>
      </c>
      <c r="G103" s="3" t="s">
        <v>19</v>
      </c>
      <c r="H103" s="7">
        <v>46170</v>
      </c>
      <c r="I103" s="7">
        <v>46170</v>
      </c>
      <c r="J103" s="3" t="s">
        <v>20</v>
      </c>
      <c r="K103" s="3" t="s">
        <v>21</v>
      </c>
      <c r="L103" s="3" t="s">
        <v>22</v>
      </c>
      <c r="M103" s="3">
        <v>0</v>
      </c>
    </row>
    <row r="104" spans="1:13" x14ac:dyDescent="0.25">
      <c r="A104" s="3" t="s">
        <v>135</v>
      </c>
      <c r="B104" s="3" t="s">
        <v>14</v>
      </c>
      <c r="C104" s="3" t="s">
        <v>15</v>
      </c>
      <c r="D104" s="3" t="s">
        <v>16</v>
      </c>
      <c r="E104" s="3" t="s">
        <v>17</v>
      </c>
      <c r="F104" s="3" t="s">
        <v>18</v>
      </c>
      <c r="G104" s="3" t="s">
        <v>19</v>
      </c>
      <c r="H104" s="5">
        <v>46141</v>
      </c>
      <c r="I104" s="6"/>
      <c r="J104" s="3" t="s">
        <v>27</v>
      </c>
      <c r="K104" s="6"/>
      <c r="L104" s="6"/>
      <c r="M104" s="3">
        <v>62</v>
      </c>
    </row>
    <row r="105" spans="1:13" x14ac:dyDescent="0.25">
      <c r="A105" s="3" t="s">
        <v>136</v>
      </c>
      <c r="B105" s="3" t="s">
        <v>14</v>
      </c>
      <c r="C105" s="3" t="s">
        <v>15</v>
      </c>
      <c r="D105" s="3" t="s">
        <v>16</v>
      </c>
      <c r="E105" s="3" t="s">
        <v>17</v>
      </c>
      <c r="F105" s="3" t="s">
        <v>18</v>
      </c>
      <c r="G105" s="3" t="s">
        <v>19</v>
      </c>
      <c r="H105" s="5">
        <v>46141</v>
      </c>
      <c r="I105" s="6"/>
      <c r="J105" s="3" t="s">
        <v>27</v>
      </c>
      <c r="K105" s="6"/>
      <c r="L105" s="6"/>
      <c r="M105" s="3">
        <v>62</v>
      </c>
    </row>
    <row r="106" spans="1:13" x14ac:dyDescent="0.25">
      <c r="A106" s="3" t="s">
        <v>137</v>
      </c>
      <c r="B106" s="3" t="s">
        <v>14</v>
      </c>
      <c r="C106" s="3" t="s">
        <v>15</v>
      </c>
      <c r="D106" s="3" t="s">
        <v>16</v>
      </c>
      <c r="E106" s="3" t="s">
        <v>17</v>
      </c>
      <c r="F106" s="3" t="s">
        <v>18</v>
      </c>
      <c r="G106" s="3" t="s">
        <v>19</v>
      </c>
      <c r="H106" s="5">
        <v>45898</v>
      </c>
      <c r="I106" s="7">
        <v>46167</v>
      </c>
      <c r="J106" s="3" t="s">
        <v>20</v>
      </c>
      <c r="K106" s="3" t="s">
        <v>24</v>
      </c>
      <c r="L106" s="3" t="s">
        <v>25</v>
      </c>
      <c r="M106" s="3">
        <v>269</v>
      </c>
    </row>
    <row r="107" spans="1:13" x14ac:dyDescent="0.25">
      <c r="A107" s="3" t="s">
        <v>138</v>
      </c>
      <c r="B107" s="3" t="s">
        <v>14</v>
      </c>
      <c r="C107" s="3" t="s">
        <v>15</v>
      </c>
      <c r="D107" s="3" t="s">
        <v>16</v>
      </c>
      <c r="E107" s="3" t="s">
        <v>17</v>
      </c>
      <c r="F107" s="3" t="s">
        <v>18</v>
      </c>
      <c r="G107" s="3" t="s">
        <v>19</v>
      </c>
      <c r="H107" s="5">
        <v>46202</v>
      </c>
      <c r="I107" s="5">
        <v>46202</v>
      </c>
      <c r="J107" s="3" t="s">
        <v>20</v>
      </c>
      <c r="K107" s="3" t="s">
        <v>21</v>
      </c>
      <c r="L107" s="3" t="s">
        <v>61</v>
      </c>
      <c r="M107" s="3">
        <v>0</v>
      </c>
    </row>
    <row r="108" spans="1:13" x14ac:dyDescent="0.25">
      <c r="A108" s="3" t="s">
        <v>139</v>
      </c>
      <c r="B108" s="3" t="s">
        <v>14</v>
      </c>
      <c r="C108" s="3" t="s">
        <v>15</v>
      </c>
      <c r="D108" s="3" t="s">
        <v>16</v>
      </c>
      <c r="E108" s="3" t="s">
        <v>17</v>
      </c>
      <c r="F108" s="3" t="s">
        <v>18</v>
      </c>
      <c r="G108" s="3" t="s">
        <v>19</v>
      </c>
      <c r="H108" s="5">
        <v>45838</v>
      </c>
      <c r="I108" s="5">
        <v>46142</v>
      </c>
      <c r="J108" s="3" t="s">
        <v>20</v>
      </c>
      <c r="K108" s="3" t="s">
        <v>21</v>
      </c>
      <c r="L108" s="3" t="s">
        <v>61</v>
      </c>
      <c r="M108" s="3">
        <v>304</v>
      </c>
    </row>
    <row r="109" spans="1:13" x14ac:dyDescent="0.25">
      <c r="A109" s="3" t="s">
        <v>140</v>
      </c>
      <c r="B109" s="3" t="s">
        <v>14</v>
      </c>
      <c r="C109" s="3" t="s">
        <v>15</v>
      </c>
      <c r="D109" s="3" t="s">
        <v>16</v>
      </c>
      <c r="E109" s="3" t="s">
        <v>17</v>
      </c>
      <c r="F109" s="3" t="s">
        <v>18</v>
      </c>
      <c r="G109" s="3" t="s">
        <v>19</v>
      </c>
      <c r="H109" s="5">
        <v>46203</v>
      </c>
      <c r="I109" s="5">
        <v>46203</v>
      </c>
      <c r="J109" s="3" t="s">
        <v>20</v>
      </c>
      <c r="K109" s="3" t="s">
        <v>21</v>
      </c>
      <c r="L109" s="3" t="s">
        <v>50</v>
      </c>
      <c r="M109" s="3">
        <v>0</v>
      </c>
    </row>
    <row r="110" spans="1:13" x14ac:dyDescent="0.25">
      <c r="A110" s="3" t="s">
        <v>141</v>
      </c>
      <c r="B110" s="3" t="s">
        <v>14</v>
      </c>
      <c r="C110" s="3" t="s">
        <v>15</v>
      </c>
      <c r="D110" s="3" t="s">
        <v>16</v>
      </c>
      <c r="E110" s="3" t="s">
        <v>17</v>
      </c>
      <c r="F110" s="3" t="s">
        <v>18</v>
      </c>
      <c r="G110" s="3" t="s">
        <v>142</v>
      </c>
      <c r="H110" s="4">
        <v>46114</v>
      </c>
      <c r="I110" s="5">
        <v>46127</v>
      </c>
      <c r="J110" s="3" t="s">
        <v>20</v>
      </c>
      <c r="K110" s="3" t="s">
        <v>21</v>
      </c>
      <c r="L110" s="3" t="s">
        <v>50</v>
      </c>
      <c r="M110" s="3">
        <v>13</v>
      </c>
    </row>
    <row r="111" spans="1:13" x14ac:dyDescent="0.25">
      <c r="A111" s="3" t="s">
        <v>143</v>
      </c>
      <c r="B111" s="3" t="s">
        <v>14</v>
      </c>
      <c r="C111" s="3" t="s">
        <v>15</v>
      </c>
      <c r="D111" s="3" t="s">
        <v>16</v>
      </c>
      <c r="E111" s="3" t="s">
        <v>17</v>
      </c>
      <c r="F111" s="3" t="s">
        <v>18</v>
      </c>
      <c r="G111" s="3" t="s">
        <v>142</v>
      </c>
      <c r="H111" s="4">
        <v>45993</v>
      </c>
      <c r="I111" s="6"/>
      <c r="J111" s="3" t="s">
        <v>27</v>
      </c>
      <c r="K111" s="6"/>
      <c r="L111" s="6"/>
      <c r="M111" s="3">
        <v>210</v>
      </c>
    </row>
    <row r="112" spans="1:13" x14ac:dyDescent="0.25">
      <c r="A112" s="3" t="s">
        <v>144</v>
      </c>
      <c r="B112" s="3" t="s">
        <v>14</v>
      </c>
      <c r="C112" s="3" t="s">
        <v>15</v>
      </c>
      <c r="D112" s="3" t="s">
        <v>16</v>
      </c>
      <c r="E112" s="3" t="s">
        <v>17</v>
      </c>
      <c r="F112" s="3" t="s">
        <v>18</v>
      </c>
      <c r="G112" s="3" t="s">
        <v>142</v>
      </c>
      <c r="H112" s="4">
        <v>45840</v>
      </c>
      <c r="I112" s="8">
        <v>46150</v>
      </c>
      <c r="J112" s="3" t="s">
        <v>20</v>
      </c>
      <c r="K112" s="3" t="s">
        <v>21</v>
      </c>
      <c r="L112" s="3" t="s">
        <v>22</v>
      </c>
      <c r="M112" s="3">
        <v>310</v>
      </c>
    </row>
    <row r="113" spans="1:13" x14ac:dyDescent="0.25">
      <c r="A113" s="3" t="s">
        <v>145</v>
      </c>
      <c r="B113" s="3" t="s">
        <v>14</v>
      </c>
      <c r="C113" s="3" t="s">
        <v>15</v>
      </c>
      <c r="D113" s="3" t="s">
        <v>16</v>
      </c>
      <c r="E113" s="3" t="s">
        <v>17</v>
      </c>
      <c r="F113" s="3" t="s">
        <v>18</v>
      </c>
      <c r="G113" s="3" t="s">
        <v>142</v>
      </c>
      <c r="H113" s="4">
        <v>45750</v>
      </c>
      <c r="I113" s="7">
        <v>46169</v>
      </c>
      <c r="J113" s="3" t="s">
        <v>20</v>
      </c>
      <c r="K113" s="3" t="s">
        <v>24</v>
      </c>
      <c r="L113" s="3" t="s">
        <v>55</v>
      </c>
      <c r="M113" s="3">
        <v>419</v>
      </c>
    </row>
    <row r="114" spans="1:13" x14ac:dyDescent="0.25">
      <c r="A114" s="3" t="s">
        <v>146</v>
      </c>
      <c r="B114" s="3" t="s">
        <v>14</v>
      </c>
      <c r="C114" s="3" t="s">
        <v>15</v>
      </c>
      <c r="D114" s="3" t="s">
        <v>16</v>
      </c>
      <c r="E114" s="3" t="s">
        <v>17</v>
      </c>
      <c r="F114" s="3" t="s">
        <v>18</v>
      </c>
      <c r="G114" s="3" t="s">
        <v>142</v>
      </c>
      <c r="H114" s="4">
        <v>46115</v>
      </c>
      <c r="I114" s="7">
        <v>46172</v>
      </c>
      <c r="J114" s="3" t="s">
        <v>20</v>
      </c>
      <c r="K114" s="3" t="s">
        <v>21</v>
      </c>
      <c r="L114" s="3" t="s">
        <v>30</v>
      </c>
      <c r="M114" s="3">
        <v>57</v>
      </c>
    </row>
    <row r="115" spans="1:13" x14ac:dyDescent="0.25">
      <c r="A115" s="3" t="s">
        <v>147</v>
      </c>
      <c r="B115" s="3" t="s">
        <v>14</v>
      </c>
      <c r="C115" s="3" t="s">
        <v>15</v>
      </c>
      <c r="D115" s="3" t="s">
        <v>16</v>
      </c>
      <c r="E115" s="3" t="s">
        <v>17</v>
      </c>
      <c r="F115" s="3" t="s">
        <v>18</v>
      </c>
      <c r="G115" s="3" t="s">
        <v>142</v>
      </c>
      <c r="H115" s="4">
        <v>46116</v>
      </c>
      <c r="I115" s="6"/>
      <c r="J115" s="3" t="s">
        <v>27</v>
      </c>
      <c r="K115" s="6"/>
      <c r="L115" s="6"/>
      <c r="M115" s="3">
        <v>87</v>
      </c>
    </row>
    <row r="116" spans="1:13" x14ac:dyDescent="0.25">
      <c r="A116" s="3" t="s">
        <v>148</v>
      </c>
      <c r="B116" s="3" t="s">
        <v>14</v>
      </c>
      <c r="C116" s="3" t="s">
        <v>15</v>
      </c>
      <c r="D116" s="3" t="s">
        <v>16</v>
      </c>
      <c r="E116" s="3" t="s">
        <v>17</v>
      </c>
      <c r="F116" s="3" t="s">
        <v>18</v>
      </c>
      <c r="G116" s="3" t="s">
        <v>142</v>
      </c>
      <c r="H116" s="4">
        <v>46057</v>
      </c>
      <c r="I116" s="6"/>
      <c r="J116" s="3" t="s">
        <v>27</v>
      </c>
      <c r="K116" s="6"/>
      <c r="L116" s="6"/>
      <c r="M116" s="3">
        <v>146</v>
      </c>
    </row>
    <row r="117" spans="1:13" x14ac:dyDescent="0.25">
      <c r="A117" s="3" t="s">
        <v>149</v>
      </c>
      <c r="B117" s="3" t="s">
        <v>14</v>
      </c>
      <c r="C117" s="3" t="s">
        <v>15</v>
      </c>
      <c r="D117" s="3" t="s">
        <v>16</v>
      </c>
      <c r="E117" s="3" t="s">
        <v>17</v>
      </c>
      <c r="F117" s="3" t="s">
        <v>18</v>
      </c>
      <c r="G117" s="3" t="s">
        <v>142</v>
      </c>
      <c r="H117" s="4">
        <v>45721</v>
      </c>
      <c r="I117" s="7">
        <v>46152</v>
      </c>
      <c r="J117" s="3" t="s">
        <v>20</v>
      </c>
      <c r="K117" s="3" t="s">
        <v>24</v>
      </c>
      <c r="L117" s="3" t="s">
        <v>41</v>
      </c>
      <c r="M117" s="3">
        <v>431</v>
      </c>
    </row>
    <row r="118" spans="1:13" x14ac:dyDescent="0.25">
      <c r="A118" s="3" t="s">
        <v>150</v>
      </c>
      <c r="B118" s="3" t="s">
        <v>14</v>
      </c>
      <c r="C118" s="3" t="s">
        <v>15</v>
      </c>
      <c r="D118" s="3" t="s">
        <v>16</v>
      </c>
      <c r="E118" s="3" t="s">
        <v>17</v>
      </c>
      <c r="F118" s="3" t="s">
        <v>18</v>
      </c>
      <c r="G118" s="3" t="s">
        <v>142</v>
      </c>
      <c r="H118" s="4">
        <v>45966</v>
      </c>
      <c r="I118" s="6"/>
      <c r="J118" s="3" t="s">
        <v>27</v>
      </c>
      <c r="K118" s="6"/>
      <c r="L118" s="6"/>
      <c r="M118" s="3">
        <v>237</v>
      </c>
    </row>
    <row r="119" spans="1:13" x14ac:dyDescent="0.25">
      <c r="A119" s="3" t="s">
        <v>151</v>
      </c>
      <c r="B119" s="3" t="s">
        <v>14</v>
      </c>
      <c r="C119" s="3" t="s">
        <v>15</v>
      </c>
      <c r="D119" s="3" t="s">
        <v>16</v>
      </c>
      <c r="E119" s="3" t="s">
        <v>17</v>
      </c>
      <c r="F119" s="3" t="s">
        <v>18</v>
      </c>
      <c r="G119" s="3" t="s">
        <v>142</v>
      </c>
      <c r="H119" s="4">
        <v>45753</v>
      </c>
      <c r="I119" s="7">
        <v>46162</v>
      </c>
      <c r="J119" s="3" t="s">
        <v>20</v>
      </c>
      <c r="K119" s="3" t="s">
        <v>24</v>
      </c>
      <c r="L119" s="3" t="s">
        <v>55</v>
      </c>
      <c r="M119" s="3">
        <v>409</v>
      </c>
    </row>
    <row r="120" spans="1:13" x14ac:dyDescent="0.25">
      <c r="A120" s="3" t="s">
        <v>152</v>
      </c>
      <c r="B120" s="3" t="s">
        <v>14</v>
      </c>
      <c r="C120" s="3" t="s">
        <v>15</v>
      </c>
      <c r="D120" s="3" t="s">
        <v>16</v>
      </c>
      <c r="E120" s="3" t="s">
        <v>17</v>
      </c>
      <c r="F120" s="3" t="s">
        <v>18</v>
      </c>
      <c r="G120" s="3" t="s">
        <v>142</v>
      </c>
      <c r="H120" s="4">
        <v>46118</v>
      </c>
      <c r="I120" s="7">
        <v>46171</v>
      </c>
      <c r="J120" s="3" t="s">
        <v>20</v>
      </c>
      <c r="K120" s="3" t="s">
        <v>21</v>
      </c>
      <c r="L120" s="3" t="s">
        <v>22</v>
      </c>
      <c r="M120" s="3">
        <v>53</v>
      </c>
    </row>
    <row r="121" spans="1:13" x14ac:dyDescent="0.25">
      <c r="A121" s="3" t="s">
        <v>153</v>
      </c>
      <c r="B121" s="3" t="s">
        <v>14</v>
      </c>
      <c r="C121" s="3" t="s">
        <v>15</v>
      </c>
      <c r="D121" s="3" t="s">
        <v>16</v>
      </c>
      <c r="E121" s="3" t="s">
        <v>17</v>
      </c>
      <c r="F121" s="3" t="s">
        <v>18</v>
      </c>
      <c r="G121" s="3" t="s">
        <v>142</v>
      </c>
      <c r="H121" s="4">
        <v>45875</v>
      </c>
      <c r="I121" s="6"/>
      <c r="J121" s="3" t="s">
        <v>27</v>
      </c>
      <c r="K121" s="6"/>
      <c r="L121" s="6"/>
      <c r="M121" s="3">
        <v>328</v>
      </c>
    </row>
    <row r="122" spans="1:13" x14ac:dyDescent="0.25">
      <c r="A122" s="3" t="s">
        <v>154</v>
      </c>
      <c r="B122" s="3" t="s">
        <v>14</v>
      </c>
      <c r="C122" s="3" t="s">
        <v>15</v>
      </c>
      <c r="D122" s="3" t="s">
        <v>16</v>
      </c>
      <c r="E122" s="3" t="s">
        <v>17</v>
      </c>
      <c r="F122" s="3" t="s">
        <v>18</v>
      </c>
      <c r="G122" s="3" t="s">
        <v>142</v>
      </c>
      <c r="H122" s="4">
        <v>45755</v>
      </c>
      <c r="I122" s="6"/>
      <c r="J122" s="3" t="s">
        <v>27</v>
      </c>
      <c r="K122" s="6"/>
      <c r="L122" s="6"/>
      <c r="M122" s="3">
        <v>448</v>
      </c>
    </row>
    <row r="123" spans="1:13" x14ac:dyDescent="0.25">
      <c r="A123" s="3" t="s">
        <v>155</v>
      </c>
      <c r="B123" s="3" t="s">
        <v>14</v>
      </c>
      <c r="C123" s="3" t="s">
        <v>15</v>
      </c>
      <c r="D123" s="3" t="s">
        <v>16</v>
      </c>
      <c r="E123" s="3" t="s">
        <v>17</v>
      </c>
      <c r="F123" s="3" t="s">
        <v>18</v>
      </c>
      <c r="G123" s="3" t="s">
        <v>142</v>
      </c>
      <c r="H123" s="4">
        <v>46030</v>
      </c>
      <c r="I123" s="5">
        <v>46135</v>
      </c>
      <c r="J123" s="3" t="s">
        <v>20</v>
      </c>
      <c r="K123" s="3" t="s">
        <v>24</v>
      </c>
      <c r="L123" s="3" t="s">
        <v>55</v>
      </c>
      <c r="M123" s="3">
        <v>105</v>
      </c>
    </row>
    <row r="124" spans="1:13" x14ac:dyDescent="0.25">
      <c r="A124" s="3" t="s">
        <v>156</v>
      </c>
      <c r="B124" s="3" t="s">
        <v>14</v>
      </c>
      <c r="C124" s="3" t="s">
        <v>15</v>
      </c>
      <c r="D124" s="3" t="s">
        <v>16</v>
      </c>
      <c r="E124" s="3" t="s">
        <v>17</v>
      </c>
      <c r="F124" s="3" t="s">
        <v>18</v>
      </c>
      <c r="G124" s="3" t="s">
        <v>142</v>
      </c>
      <c r="H124" s="4">
        <v>45846</v>
      </c>
      <c r="I124" s="6"/>
      <c r="J124" s="3" t="s">
        <v>27</v>
      </c>
      <c r="K124" s="6"/>
      <c r="L124" s="6"/>
      <c r="M124" s="3">
        <v>357</v>
      </c>
    </row>
    <row r="125" spans="1:13" x14ac:dyDescent="0.25">
      <c r="A125" s="3" t="s">
        <v>157</v>
      </c>
      <c r="B125" s="3" t="s">
        <v>14</v>
      </c>
      <c r="C125" s="3" t="s">
        <v>15</v>
      </c>
      <c r="D125" s="3" t="s">
        <v>16</v>
      </c>
      <c r="E125" s="3" t="s">
        <v>17</v>
      </c>
      <c r="F125" s="3" t="s">
        <v>18</v>
      </c>
      <c r="G125" s="3" t="s">
        <v>142</v>
      </c>
      <c r="H125" s="4">
        <v>45846</v>
      </c>
      <c r="I125" s="7">
        <v>46162</v>
      </c>
      <c r="J125" s="3" t="s">
        <v>20</v>
      </c>
      <c r="K125" s="3" t="s">
        <v>24</v>
      </c>
      <c r="L125" s="3" t="s">
        <v>55</v>
      </c>
      <c r="M125" s="3">
        <v>316</v>
      </c>
    </row>
    <row r="126" spans="1:13" x14ac:dyDescent="0.25">
      <c r="A126" s="3" t="s">
        <v>158</v>
      </c>
      <c r="B126" s="3" t="s">
        <v>14</v>
      </c>
      <c r="C126" s="3" t="s">
        <v>15</v>
      </c>
      <c r="D126" s="3" t="s">
        <v>16</v>
      </c>
      <c r="E126" s="3" t="s">
        <v>17</v>
      </c>
      <c r="F126" s="3" t="s">
        <v>18</v>
      </c>
      <c r="G126" s="3" t="s">
        <v>142</v>
      </c>
      <c r="H126" s="4">
        <v>45878</v>
      </c>
      <c r="I126" s="6"/>
      <c r="J126" s="3" t="s">
        <v>27</v>
      </c>
      <c r="K126" s="6"/>
      <c r="L126" s="6"/>
      <c r="M126" s="3">
        <v>325</v>
      </c>
    </row>
    <row r="127" spans="1:13" x14ac:dyDescent="0.25">
      <c r="A127" s="3" t="s">
        <v>159</v>
      </c>
      <c r="B127" s="3" t="s">
        <v>14</v>
      </c>
      <c r="C127" s="3" t="s">
        <v>15</v>
      </c>
      <c r="D127" s="3" t="s">
        <v>16</v>
      </c>
      <c r="E127" s="3" t="s">
        <v>17</v>
      </c>
      <c r="F127" s="3" t="s">
        <v>18</v>
      </c>
      <c r="G127" s="3" t="s">
        <v>142</v>
      </c>
      <c r="H127" s="5">
        <v>46122</v>
      </c>
      <c r="I127" s="6"/>
      <c r="J127" s="3" t="s">
        <v>27</v>
      </c>
      <c r="K127" s="6"/>
      <c r="L127" s="6"/>
      <c r="M127" s="3">
        <v>81</v>
      </c>
    </row>
    <row r="128" spans="1:13" x14ac:dyDescent="0.25">
      <c r="A128" s="3" t="s">
        <v>160</v>
      </c>
      <c r="B128" s="3" t="s">
        <v>14</v>
      </c>
      <c r="C128" s="3" t="s">
        <v>15</v>
      </c>
      <c r="D128" s="3" t="s">
        <v>16</v>
      </c>
      <c r="E128" s="3" t="s">
        <v>17</v>
      </c>
      <c r="F128" s="3" t="s">
        <v>18</v>
      </c>
      <c r="G128" s="3" t="s">
        <v>142</v>
      </c>
      <c r="H128" s="5">
        <v>46122</v>
      </c>
      <c r="I128" s="6"/>
      <c r="J128" s="3" t="s">
        <v>27</v>
      </c>
      <c r="K128" s="6"/>
      <c r="L128" s="6"/>
      <c r="M128" s="3">
        <v>81</v>
      </c>
    </row>
    <row r="129" spans="1:13" x14ac:dyDescent="0.25">
      <c r="A129" s="3" t="s">
        <v>161</v>
      </c>
      <c r="B129" s="3" t="s">
        <v>14</v>
      </c>
      <c r="C129" s="3" t="s">
        <v>15</v>
      </c>
      <c r="D129" s="3" t="s">
        <v>16</v>
      </c>
      <c r="E129" s="3" t="s">
        <v>17</v>
      </c>
      <c r="F129" s="3" t="s">
        <v>18</v>
      </c>
      <c r="G129" s="3" t="s">
        <v>142</v>
      </c>
      <c r="H129" s="5">
        <v>46122</v>
      </c>
      <c r="I129" s="5">
        <v>46127</v>
      </c>
      <c r="J129" s="3" t="s">
        <v>20</v>
      </c>
      <c r="K129" s="3" t="s">
        <v>21</v>
      </c>
      <c r="L129" s="3" t="s">
        <v>37</v>
      </c>
      <c r="M129" s="3">
        <v>5</v>
      </c>
    </row>
    <row r="130" spans="1:13" x14ac:dyDescent="0.25">
      <c r="A130" s="3" t="s">
        <v>162</v>
      </c>
      <c r="B130" s="3" t="s">
        <v>14</v>
      </c>
      <c r="C130" s="3" t="s">
        <v>15</v>
      </c>
      <c r="D130" s="3" t="s">
        <v>16</v>
      </c>
      <c r="E130" s="3" t="s">
        <v>17</v>
      </c>
      <c r="F130" s="3" t="s">
        <v>18</v>
      </c>
      <c r="G130" s="3" t="s">
        <v>142</v>
      </c>
      <c r="H130" s="5">
        <v>45698</v>
      </c>
      <c r="I130" s="7">
        <v>46159</v>
      </c>
      <c r="J130" s="3" t="s">
        <v>20</v>
      </c>
      <c r="K130" s="3" t="s">
        <v>24</v>
      </c>
      <c r="L130" s="3" t="s">
        <v>25</v>
      </c>
      <c r="M130" s="3">
        <v>461</v>
      </c>
    </row>
    <row r="131" spans="1:13" x14ac:dyDescent="0.25">
      <c r="A131" s="3" t="s">
        <v>163</v>
      </c>
      <c r="B131" s="3" t="s">
        <v>14</v>
      </c>
      <c r="C131" s="3" t="s">
        <v>15</v>
      </c>
      <c r="D131" s="3" t="s">
        <v>16</v>
      </c>
      <c r="E131" s="3" t="s">
        <v>17</v>
      </c>
      <c r="F131" s="3" t="s">
        <v>18</v>
      </c>
      <c r="G131" s="3" t="s">
        <v>142</v>
      </c>
      <c r="H131" s="7">
        <v>45787</v>
      </c>
      <c r="I131" s="7">
        <v>46170</v>
      </c>
      <c r="J131" s="3" t="s">
        <v>20</v>
      </c>
      <c r="K131" s="3" t="s">
        <v>21</v>
      </c>
      <c r="L131" s="3" t="s">
        <v>50</v>
      </c>
      <c r="M131" s="3">
        <v>383</v>
      </c>
    </row>
    <row r="132" spans="1:13" x14ac:dyDescent="0.25">
      <c r="A132" s="3" t="s">
        <v>164</v>
      </c>
      <c r="B132" s="3" t="s">
        <v>14</v>
      </c>
      <c r="C132" s="3" t="s">
        <v>15</v>
      </c>
      <c r="D132" s="3" t="s">
        <v>16</v>
      </c>
      <c r="E132" s="3" t="s">
        <v>17</v>
      </c>
      <c r="F132" s="3" t="s">
        <v>18</v>
      </c>
      <c r="G132" s="3" t="s">
        <v>142</v>
      </c>
      <c r="H132" s="7">
        <v>46152</v>
      </c>
      <c r="I132" s="7">
        <v>46152</v>
      </c>
      <c r="J132" s="3" t="s">
        <v>20</v>
      </c>
      <c r="K132" s="3" t="s">
        <v>21</v>
      </c>
      <c r="L132" s="3" t="s">
        <v>22</v>
      </c>
      <c r="M132" s="3">
        <v>0</v>
      </c>
    </row>
    <row r="133" spans="1:13" x14ac:dyDescent="0.25">
      <c r="A133" s="3" t="s">
        <v>165</v>
      </c>
      <c r="B133" s="3" t="s">
        <v>14</v>
      </c>
      <c r="C133" s="3" t="s">
        <v>15</v>
      </c>
      <c r="D133" s="3" t="s">
        <v>16</v>
      </c>
      <c r="E133" s="3" t="s">
        <v>17</v>
      </c>
      <c r="F133" s="3" t="s">
        <v>18</v>
      </c>
      <c r="G133" s="3" t="s">
        <v>142</v>
      </c>
      <c r="H133" s="5">
        <v>46123</v>
      </c>
      <c r="I133" s="6"/>
      <c r="J133" s="3" t="s">
        <v>27</v>
      </c>
      <c r="K133" s="6"/>
      <c r="L133" s="6"/>
      <c r="M133" s="3">
        <v>80</v>
      </c>
    </row>
    <row r="134" spans="1:13" x14ac:dyDescent="0.25">
      <c r="A134" s="3" t="s">
        <v>166</v>
      </c>
      <c r="B134" s="3" t="s">
        <v>14</v>
      </c>
      <c r="C134" s="3" t="s">
        <v>15</v>
      </c>
      <c r="D134" s="3" t="s">
        <v>16</v>
      </c>
      <c r="E134" s="3" t="s">
        <v>17</v>
      </c>
      <c r="F134" s="3" t="s">
        <v>18</v>
      </c>
      <c r="G134" s="3" t="s">
        <v>142</v>
      </c>
      <c r="H134" s="5">
        <v>46123</v>
      </c>
      <c r="I134" s="6"/>
      <c r="J134" s="3" t="s">
        <v>27</v>
      </c>
      <c r="K134" s="6"/>
      <c r="L134" s="6"/>
      <c r="M134" s="3">
        <v>80</v>
      </c>
    </row>
    <row r="135" spans="1:13" x14ac:dyDescent="0.25">
      <c r="A135" s="3" t="s">
        <v>167</v>
      </c>
      <c r="B135" s="3" t="s">
        <v>14</v>
      </c>
      <c r="C135" s="3" t="s">
        <v>15</v>
      </c>
      <c r="D135" s="3" t="s">
        <v>16</v>
      </c>
      <c r="E135" s="3" t="s">
        <v>17</v>
      </c>
      <c r="F135" s="3" t="s">
        <v>18</v>
      </c>
      <c r="G135" s="3" t="s">
        <v>142</v>
      </c>
      <c r="H135" s="5">
        <v>46124</v>
      </c>
      <c r="I135" s="7">
        <v>46158</v>
      </c>
      <c r="J135" s="3" t="s">
        <v>20</v>
      </c>
      <c r="K135" s="3" t="s">
        <v>24</v>
      </c>
      <c r="L135" s="3" t="s">
        <v>44</v>
      </c>
      <c r="M135" s="3">
        <v>34</v>
      </c>
    </row>
    <row r="136" spans="1:13" x14ac:dyDescent="0.25">
      <c r="A136" s="3" t="s">
        <v>168</v>
      </c>
      <c r="B136" s="3" t="s">
        <v>14</v>
      </c>
      <c r="C136" s="3" t="s">
        <v>15</v>
      </c>
      <c r="D136" s="3" t="s">
        <v>16</v>
      </c>
      <c r="E136" s="3" t="s">
        <v>17</v>
      </c>
      <c r="F136" s="3" t="s">
        <v>18</v>
      </c>
      <c r="G136" s="3" t="s">
        <v>142</v>
      </c>
      <c r="H136" s="5">
        <v>45881</v>
      </c>
      <c r="I136" s="8">
        <v>46145</v>
      </c>
      <c r="J136" s="3" t="s">
        <v>20</v>
      </c>
      <c r="K136" s="3" t="s">
        <v>24</v>
      </c>
      <c r="L136" s="3" t="s">
        <v>55</v>
      </c>
      <c r="M136" s="3">
        <v>264</v>
      </c>
    </row>
    <row r="137" spans="1:13" x14ac:dyDescent="0.25">
      <c r="A137" s="3" t="s">
        <v>169</v>
      </c>
      <c r="B137" s="3" t="s">
        <v>14</v>
      </c>
      <c r="C137" s="3" t="s">
        <v>15</v>
      </c>
      <c r="D137" s="3" t="s">
        <v>16</v>
      </c>
      <c r="E137" s="3" t="s">
        <v>17</v>
      </c>
      <c r="F137" s="3" t="s">
        <v>18</v>
      </c>
      <c r="G137" s="3" t="s">
        <v>142</v>
      </c>
      <c r="H137" s="5">
        <v>45700</v>
      </c>
      <c r="I137" s="8">
        <v>46145</v>
      </c>
      <c r="J137" s="3" t="s">
        <v>20</v>
      </c>
      <c r="K137" s="3" t="s">
        <v>24</v>
      </c>
      <c r="L137" s="3" t="s">
        <v>55</v>
      </c>
      <c r="M137" s="3">
        <v>445</v>
      </c>
    </row>
    <row r="138" spans="1:13" x14ac:dyDescent="0.25">
      <c r="A138" s="3" t="s">
        <v>170</v>
      </c>
      <c r="B138" s="3" t="s">
        <v>14</v>
      </c>
      <c r="C138" s="3" t="s">
        <v>15</v>
      </c>
      <c r="D138" s="3" t="s">
        <v>16</v>
      </c>
      <c r="E138" s="3" t="s">
        <v>17</v>
      </c>
      <c r="F138" s="3" t="s">
        <v>18</v>
      </c>
      <c r="G138" s="3" t="s">
        <v>142</v>
      </c>
      <c r="H138" s="5">
        <v>45912</v>
      </c>
      <c r="I138" s="6"/>
      <c r="J138" s="3" t="s">
        <v>27</v>
      </c>
      <c r="K138" s="6"/>
      <c r="L138" s="6"/>
      <c r="M138" s="3">
        <v>291</v>
      </c>
    </row>
    <row r="139" spans="1:13" x14ac:dyDescent="0.25">
      <c r="A139" s="3" t="s">
        <v>171</v>
      </c>
      <c r="B139" s="3" t="s">
        <v>14</v>
      </c>
      <c r="C139" s="3" t="s">
        <v>15</v>
      </c>
      <c r="D139" s="3" t="s">
        <v>16</v>
      </c>
      <c r="E139" s="3" t="s">
        <v>17</v>
      </c>
      <c r="F139" s="3" t="s">
        <v>18</v>
      </c>
      <c r="G139" s="3" t="s">
        <v>142</v>
      </c>
      <c r="H139" s="5">
        <v>45912</v>
      </c>
      <c r="I139" s="7">
        <v>46168</v>
      </c>
      <c r="J139" s="3" t="s">
        <v>20</v>
      </c>
      <c r="K139" s="3" t="s">
        <v>24</v>
      </c>
      <c r="L139" s="3" t="s">
        <v>41</v>
      </c>
      <c r="M139" s="3">
        <v>256</v>
      </c>
    </row>
    <row r="140" spans="1:13" x14ac:dyDescent="0.25">
      <c r="A140" s="3" t="s">
        <v>172</v>
      </c>
      <c r="B140" s="3" t="s">
        <v>14</v>
      </c>
      <c r="C140" s="3" t="s">
        <v>15</v>
      </c>
      <c r="D140" s="3" t="s">
        <v>16</v>
      </c>
      <c r="E140" s="3" t="s">
        <v>17</v>
      </c>
      <c r="F140" s="3" t="s">
        <v>18</v>
      </c>
      <c r="G140" s="3" t="s">
        <v>142</v>
      </c>
      <c r="H140" s="5">
        <v>46066</v>
      </c>
      <c r="I140" s="8">
        <v>46147</v>
      </c>
      <c r="J140" s="3" t="s">
        <v>20</v>
      </c>
      <c r="K140" s="3" t="s">
        <v>24</v>
      </c>
      <c r="L140" s="3" t="s">
        <v>44</v>
      </c>
      <c r="M140" s="3">
        <v>81</v>
      </c>
    </row>
    <row r="141" spans="1:13" x14ac:dyDescent="0.25">
      <c r="A141" s="3" t="s">
        <v>173</v>
      </c>
      <c r="B141" s="3" t="s">
        <v>14</v>
      </c>
      <c r="C141" s="3" t="s">
        <v>15</v>
      </c>
      <c r="D141" s="3" t="s">
        <v>16</v>
      </c>
      <c r="E141" s="3" t="s">
        <v>17</v>
      </c>
      <c r="F141" s="3" t="s">
        <v>18</v>
      </c>
      <c r="G141" s="3" t="s">
        <v>142</v>
      </c>
      <c r="H141" s="5">
        <v>46126</v>
      </c>
      <c r="I141" s="6"/>
      <c r="J141" s="3" t="s">
        <v>27</v>
      </c>
      <c r="K141" s="6"/>
      <c r="L141" s="6"/>
      <c r="M141" s="3">
        <v>77</v>
      </c>
    </row>
    <row r="142" spans="1:13" x14ac:dyDescent="0.25">
      <c r="A142" s="3" t="s">
        <v>174</v>
      </c>
      <c r="B142" s="3" t="s">
        <v>14</v>
      </c>
      <c r="C142" s="3" t="s">
        <v>15</v>
      </c>
      <c r="D142" s="3" t="s">
        <v>16</v>
      </c>
      <c r="E142" s="3" t="s">
        <v>17</v>
      </c>
      <c r="F142" s="3" t="s">
        <v>18</v>
      </c>
      <c r="G142" s="3" t="s">
        <v>142</v>
      </c>
      <c r="H142" s="5">
        <v>45883</v>
      </c>
      <c r="I142" s="7">
        <v>46161</v>
      </c>
      <c r="J142" s="3" t="s">
        <v>20</v>
      </c>
      <c r="K142" s="3" t="s">
        <v>24</v>
      </c>
      <c r="L142" s="3" t="s">
        <v>25</v>
      </c>
      <c r="M142" s="3">
        <v>278</v>
      </c>
    </row>
    <row r="143" spans="1:13" x14ac:dyDescent="0.25">
      <c r="A143" s="3" t="s">
        <v>175</v>
      </c>
      <c r="B143" s="3" t="s">
        <v>14</v>
      </c>
      <c r="C143" s="3" t="s">
        <v>15</v>
      </c>
      <c r="D143" s="3" t="s">
        <v>16</v>
      </c>
      <c r="E143" s="3" t="s">
        <v>17</v>
      </c>
      <c r="F143" s="3" t="s">
        <v>18</v>
      </c>
      <c r="G143" s="3" t="s">
        <v>142</v>
      </c>
      <c r="H143" s="5">
        <v>46067</v>
      </c>
      <c r="I143" s="6"/>
      <c r="J143" s="3" t="s">
        <v>27</v>
      </c>
      <c r="K143" s="6"/>
      <c r="L143" s="6"/>
      <c r="M143" s="3">
        <v>136</v>
      </c>
    </row>
    <row r="144" spans="1:13" x14ac:dyDescent="0.25">
      <c r="A144" s="3" t="s">
        <v>176</v>
      </c>
      <c r="B144" s="3" t="s">
        <v>14</v>
      </c>
      <c r="C144" s="3" t="s">
        <v>15</v>
      </c>
      <c r="D144" s="3" t="s">
        <v>16</v>
      </c>
      <c r="E144" s="3" t="s">
        <v>17</v>
      </c>
      <c r="F144" s="3" t="s">
        <v>18</v>
      </c>
      <c r="G144" s="3" t="s">
        <v>142</v>
      </c>
      <c r="H144" s="5">
        <v>46187</v>
      </c>
      <c r="I144" s="6"/>
      <c r="J144" s="3" t="s">
        <v>27</v>
      </c>
      <c r="K144" s="6"/>
      <c r="L144" s="6"/>
      <c r="M144" s="3">
        <v>16</v>
      </c>
    </row>
    <row r="145" spans="1:13" x14ac:dyDescent="0.25">
      <c r="A145" s="3" t="s">
        <v>177</v>
      </c>
      <c r="B145" s="3" t="s">
        <v>14</v>
      </c>
      <c r="C145" s="3" t="s">
        <v>15</v>
      </c>
      <c r="D145" s="3" t="s">
        <v>16</v>
      </c>
      <c r="E145" s="3" t="s">
        <v>17</v>
      </c>
      <c r="F145" s="3" t="s">
        <v>18</v>
      </c>
      <c r="G145" s="3" t="s">
        <v>142</v>
      </c>
      <c r="H145" s="5">
        <v>46127</v>
      </c>
      <c r="I145" s="5">
        <v>46141</v>
      </c>
      <c r="J145" s="3" t="s">
        <v>20</v>
      </c>
      <c r="K145" s="3" t="s">
        <v>21</v>
      </c>
      <c r="L145" s="3" t="s">
        <v>30</v>
      </c>
      <c r="M145" s="3">
        <v>14</v>
      </c>
    </row>
    <row r="146" spans="1:13" x14ac:dyDescent="0.25">
      <c r="A146" s="3" t="s">
        <v>178</v>
      </c>
      <c r="B146" s="3" t="s">
        <v>14</v>
      </c>
      <c r="C146" s="3" t="s">
        <v>15</v>
      </c>
      <c r="D146" s="3" t="s">
        <v>16</v>
      </c>
      <c r="E146" s="3" t="s">
        <v>17</v>
      </c>
      <c r="F146" s="3" t="s">
        <v>18</v>
      </c>
      <c r="G146" s="3" t="s">
        <v>142</v>
      </c>
      <c r="H146" s="5">
        <v>46127</v>
      </c>
      <c r="I146" s="7">
        <v>46173</v>
      </c>
      <c r="J146" s="3" t="s">
        <v>20</v>
      </c>
      <c r="K146" s="3" t="s">
        <v>24</v>
      </c>
      <c r="L146" s="3" t="s">
        <v>44</v>
      </c>
      <c r="M146" s="3">
        <v>46</v>
      </c>
    </row>
    <row r="147" spans="1:13" x14ac:dyDescent="0.25">
      <c r="A147" s="3" t="s">
        <v>179</v>
      </c>
      <c r="B147" s="3" t="s">
        <v>14</v>
      </c>
      <c r="C147" s="3" t="s">
        <v>15</v>
      </c>
      <c r="D147" s="3" t="s">
        <v>16</v>
      </c>
      <c r="E147" s="3" t="s">
        <v>17</v>
      </c>
      <c r="F147" s="3" t="s">
        <v>18</v>
      </c>
      <c r="G147" s="3" t="s">
        <v>142</v>
      </c>
      <c r="H147" s="5">
        <v>46127</v>
      </c>
      <c r="I147" s="7">
        <v>46173</v>
      </c>
      <c r="J147" s="3" t="s">
        <v>20</v>
      </c>
      <c r="K147" s="3" t="s">
        <v>21</v>
      </c>
      <c r="L147" s="3" t="s">
        <v>33</v>
      </c>
      <c r="M147" s="3">
        <v>46</v>
      </c>
    </row>
    <row r="148" spans="1:13" x14ac:dyDescent="0.25">
      <c r="A148" s="3" t="s">
        <v>180</v>
      </c>
      <c r="B148" s="3" t="s">
        <v>14</v>
      </c>
      <c r="C148" s="3" t="s">
        <v>15</v>
      </c>
      <c r="D148" s="3" t="s">
        <v>16</v>
      </c>
      <c r="E148" s="3" t="s">
        <v>17</v>
      </c>
      <c r="F148" s="3" t="s">
        <v>18</v>
      </c>
      <c r="G148" s="3" t="s">
        <v>142</v>
      </c>
      <c r="H148" s="5">
        <v>46068</v>
      </c>
      <c r="I148" s="5">
        <v>46138</v>
      </c>
      <c r="J148" s="3" t="s">
        <v>20</v>
      </c>
      <c r="K148" s="3" t="s">
        <v>21</v>
      </c>
      <c r="L148" s="3" t="s">
        <v>30</v>
      </c>
      <c r="M148" s="3">
        <v>70</v>
      </c>
    </row>
    <row r="149" spans="1:13" x14ac:dyDescent="0.25">
      <c r="A149" s="3" t="s">
        <v>181</v>
      </c>
      <c r="B149" s="3" t="s">
        <v>14</v>
      </c>
      <c r="C149" s="3" t="s">
        <v>15</v>
      </c>
      <c r="D149" s="3" t="s">
        <v>16</v>
      </c>
      <c r="E149" s="3" t="s">
        <v>17</v>
      </c>
      <c r="F149" s="3" t="s">
        <v>18</v>
      </c>
      <c r="G149" s="3" t="s">
        <v>142</v>
      </c>
      <c r="H149" s="5">
        <v>46038</v>
      </c>
      <c r="I149" s="7">
        <v>46158</v>
      </c>
      <c r="J149" s="3" t="s">
        <v>20</v>
      </c>
      <c r="K149" s="3" t="s">
        <v>24</v>
      </c>
      <c r="L149" s="3" t="s">
        <v>25</v>
      </c>
      <c r="M149" s="3">
        <v>120</v>
      </c>
    </row>
    <row r="150" spans="1:13" x14ac:dyDescent="0.25">
      <c r="A150" s="3" t="s">
        <v>182</v>
      </c>
      <c r="B150" s="3" t="s">
        <v>14</v>
      </c>
      <c r="C150" s="3" t="s">
        <v>15</v>
      </c>
      <c r="D150" s="3" t="s">
        <v>16</v>
      </c>
      <c r="E150" s="3" t="s">
        <v>17</v>
      </c>
      <c r="F150" s="3" t="s">
        <v>18</v>
      </c>
      <c r="G150" s="3" t="s">
        <v>142</v>
      </c>
      <c r="H150" s="5">
        <v>45855</v>
      </c>
      <c r="I150" s="5">
        <v>46140</v>
      </c>
      <c r="J150" s="3" t="s">
        <v>20</v>
      </c>
      <c r="K150" s="3" t="s">
        <v>21</v>
      </c>
      <c r="L150" s="3" t="s">
        <v>22</v>
      </c>
      <c r="M150" s="3">
        <v>285</v>
      </c>
    </row>
    <row r="151" spans="1:13" x14ac:dyDescent="0.25">
      <c r="A151" s="3" t="s">
        <v>183</v>
      </c>
      <c r="B151" s="3" t="s">
        <v>14</v>
      </c>
      <c r="C151" s="3" t="s">
        <v>15</v>
      </c>
      <c r="D151" s="3" t="s">
        <v>16</v>
      </c>
      <c r="E151" s="3" t="s">
        <v>17</v>
      </c>
      <c r="F151" s="3" t="s">
        <v>18</v>
      </c>
      <c r="G151" s="3" t="s">
        <v>142</v>
      </c>
      <c r="H151" s="7">
        <v>45794</v>
      </c>
      <c r="I151" s="7">
        <v>46169</v>
      </c>
      <c r="J151" s="3" t="s">
        <v>20</v>
      </c>
      <c r="K151" s="3" t="s">
        <v>24</v>
      </c>
      <c r="L151" s="3" t="s">
        <v>55</v>
      </c>
      <c r="M151" s="3">
        <v>375</v>
      </c>
    </row>
    <row r="152" spans="1:13" x14ac:dyDescent="0.25">
      <c r="A152" s="3" t="s">
        <v>184</v>
      </c>
      <c r="B152" s="3" t="s">
        <v>14</v>
      </c>
      <c r="C152" s="3" t="s">
        <v>15</v>
      </c>
      <c r="D152" s="3" t="s">
        <v>16</v>
      </c>
      <c r="E152" s="3" t="s">
        <v>17</v>
      </c>
      <c r="F152" s="3" t="s">
        <v>18</v>
      </c>
      <c r="G152" s="3" t="s">
        <v>142</v>
      </c>
      <c r="H152" s="5">
        <v>46130</v>
      </c>
      <c r="I152" s="6"/>
      <c r="J152" s="3" t="s">
        <v>27</v>
      </c>
      <c r="K152" s="6"/>
      <c r="L152" s="6"/>
      <c r="M152" s="3">
        <v>73</v>
      </c>
    </row>
    <row r="153" spans="1:13" x14ac:dyDescent="0.25">
      <c r="A153" s="3" t="s">
        <v>185</v>
      </c>
      <c r="B153" s="3" t="s">
        <v>14</v>
      </c>
      <c r="C153" s="3" t="s">
        <v>15</v>
      </c>
      <c r="D153" s="3" t="s">
        <v>16</v>
      </c>
      <c r="E153" s="3" t="s">
        <v>17</v>
      </c>
      <c r="F153" s="3" t="s">
        <v>18</v>
      </c>
      <c r="G153" s="3" t="s">
        <v>142</v>
      </c>
      <c r="H153" s="5">
        <v>46099</v>
      </c>
      <c r="I153" s="6"/>
      <c r="J153" s="3" t="s">
        <v>27</v>
      </c>
      <c r="K153" s="6"/>
      <c r="L153" s="6"/>
      <c r="M153" s="3">
        <v>104</v>
      </c>
    </row>
    <row r="154" spans="1:13" x14ac:dyDescent="0.25">
      <c r="A154" s="3" t="s">
        <v>186</v>
      </c>
      <c r="B154" s="3" t="s">
        <v>14</v>
      </c>
      <c r="C154" s="3" t="s">
        <v>15</v>
      </c>
      <c r="D154" s="3" t="s">
        <v>16</v>
      </c>
      <c r="E154" s="3" t="s">
        <v>17</v>
      </c>
      <c r="F154" s="3" t="s">
        <v>18</v>
      </c>
      <c r="G154" s="3" t="s">
        <v>142</v>
      </c>
      <c r="H154" s="5">
        <v>45676</v>
      </c>
      <c r="I154" s="6"/>
      <c r="J154" s="3" t="s">
        <v>27</v>
      </c>
      <c r="K154" s="6"/>
      <c r="L154" s="6"/>
      <c r="M154" s="3">
        <v>527</v>
      </c>
    </row>
    <row r="155" spans="1:13" x14ac:dyDescent="0.25">
      <c r="A155" s="3" t="s">
        <v>187</v>
      </c>
      <c r="B155" s="3" t="s">
        <v>14</v>
      </c>
      <c r="C155" s="3" t="s">
        <v>15</v>
      </c>
      <c r="D155" s="3" t="s">
        <v>16</v>
      </c>
      <c r="E155" s="3" t="s">
        <v>17</v>
      </c>
      <c r="F155" s="3" t="s">
        <v>18</v>
      </c>
      <c r="G155" s="3" t="s">
        <v>142</v>
      </c>
      <c r="H155" s="5">
        <v>45827</v>
      </c>
      <c r="I155" s="6"/>
      <c r="J155" s="3" t="s">
        <v>27</v>
      </c>
      <c r="K155" s="6"/>
      <c r="L155" s="6"/>
      <c r="M155" s="3">
        <v>376</v>
      </c>
    </row>
    <row r="156" spans="1:13" x14ac:dyDescent="0.25">
      <c r="A156" s="3" t="s">
        <v>188</v>
      </c>
      <c r="B156" s="3" t="s">
        <v>14</v>
      </c>
      <c r="C156" s="3" t="s">
        <v>15</v>
      </c>
      <c r="D156" s="3" t="s">
        <v>16</v>
      </c>
      <c r="E156" s="3" t="s">
        <v>17</v>
      </c>
      <c r="F156" s="3" t="s">
        <v>18</v>
      </c>
      <c r="G156" s="3" t="s">
        <v>142</v>
      </c>
      <c r="H156" s="5">
        <v>46132</v>
      </c>
      <c r="I156" s="6"/>
      <c r="J156" s="3" t="s">
        <v>27</v>
      </c>
      <c r="K156" s="6"/>
      <c r="L156" s="6"/>
      <c r="M156" s="3">
        <v>71</v>
      </c>
    </row>
    <row r="157" spans="1:13" x14ac:dyDescent="0.25">
      <c r="A157" s="3" t="s">
        <v>189</v>
      </c>
      <c r="B157" s="3" t="s">
        <v>14</v>
      </c>
      <c r="C157" s="3" t="s">
        <v>15</v>
      </c>
      <c r="D157" s="3" t="s">
        <v>16</v>
      </c>
      <c r="E157" s="3" t="s">
        <v>17</v>
      </c>
      <c r="F157" s="3" t="s">
        <v>18</v>
      </c>
      <c r="G157" s="3" t="s">
        <v>142</v>
      </c>
      <c r="H157" s="5">
        <v>46101</v>
      </c>
      <c r="I157" s="6"/>
      <c r="J157" s="3" t="s">
        <v>27</v>
      </c>
      <c r="K157" s="6"/>
      <c r="L157" s="6"/>
      <c r="M157" s="3">
        <v>102</v>
      </c>
    </row>
    <row r="158" spans="1:13" x14ac:dyDescent="0.25">
      <c r="A158" s="3" t="s">
        <v>190</v>
      </c>
      <c r="B158" s="3" t="s">
        <v>14</v>
      </c>
      <c r="C158" s="3" t="s">
        <v>15</v>
      </c>
      <c r="D158" s="3" t="s">
        <v>16</v>
      </c>
      <c r="E158" s="3" t="s">
        <v>17</v>
      </c>
      <c r="F158" s="3" t="s">
        <v>18</v>
      </c>
      <c r="G158" s="3" t="s">
        <v>142</v>
      </c>
      <c r="H158" s="7">
        <v>45797</v>
      </c>
      <c r="I158" s="5">
        <v>46130</v>
      </c>
      <c r="J158" s="3" t="s">
        <v>20</v>
      </c>
      <c r="K158" s="3" t="s">
        <v>24</v>
      </c>
      <c r="L158" s="3" t="s">
        <v>44</v>
      </c>
      <c r="M158" s="3">
        <v>333</v>
      </c>
    </row>
    <row r="159" spans="1:13" x14ac:dyDescent="0.25">
      <c r="A159" s="3" t="s">
        <v>191</v>
      </c>
      <c r="B159" s="3" t="s">
        <v>14</v>
      </c>
      <c r="C159" s="3" t="s">
        <v>15</v>
      </c>
      <c r="D159" s="3" t="s">
        <v>16</v>
      </c>
      <c r="E159" s="3" t="s">
        <v>17</v>
      </c>
      <c r="F159" s="3" t="s">
        <v>18</v>
      </c>
      <c r="G159" s="3" t="s">
        <v>142</v>
      </c>
      <c r="H159" s="5">
        <v>46012</v>
      </c>
      <c r="I159" s="6"/>
      <c r="J159" s="3" t="s">
        <v>27</v>
      </c>
      <c r="K159" s="6"/>
      <c r="L159" s="6"/>
      <c r="M159" s="3">
        <v>191</v>
      </c>
    </row>
    <row r="160" spans="1:13" x14ac:dyDescent="0.25">
      <c r="A160" s="3" t="s">
        <v>192</v>
      </c>
      <c r="B160" s="3" t="s">
        <v>14</v>
      </c>
      <c r="C160" s="3" t="s">
        <v>15</v>
      </c>
      <c r="D160" s="3" t="s">
        <v>16</v>
      </c>
      <c r="E160" s="3" t="s">
        <v>17</v>
      </c>
      <c r="F160" s="3" t="s">
        <v>18</v>
      </c>
      <c r="G160" s="3" t="s">
        <v>142</v>
      </c>
      <c r="H160" s="5">
        <v>46043</v>
      </c>
      <c r="I160" s="7">
        <v>46163</v>
      </c>
      <c r="J160" s="3" t="s">
        <v>20</v>
      </c>
      <c r="K160" s="3" t="s">
        <v>24</v>
      </c>
      <c r="L160" s="3" t="s">
        <v>44</v>
      </c>
      <c r="M160" s="3">
        <v>120</v>
      </c>
    </row>
    <row r="161" spans="1:13" x14ac:dyDescent="0.25">
      <c r="A161" s="3" t="s">
        <v>193</v>
      </c>
      <c r="B161" s="3" t="s">
        <v>14</v>
      </c>
      <c r="C161" s="3" t="s">
        <v>15</v>
      </c>
      <c r="D161" s="3" t="s">
        <v>16</v>
      </c>
      <c r="E161" s="3" t="s">
        <v>17</v>
      </c>
      <c r="F161" s="3" t="s">
        <v>18</v>
      </c>
      <c r="G161" s="3" t="s">
        <v>142</v>
      </c>
      <c r="H161" s="5">
        <v>46134</v>
      </c>
      <c r="I161" s="8">
        <v>46148</v>
      </c>
      <c r="J161" s="3" t="s">
        <v>20</v>
      </c>
      <c r="K161" s="3" t="s">
        <v>24</v>
      </c>
      <c r="L161" s="3" t="s">
        <v>41</v>
      </c>
      <c r="M161" s="3">
        <v>14</v>
      </c>
    </row>
    <row r="162" spans="1:13" x14ac:dyDescent="0.25">
      <c r="A162" s="3" t="s">
        <v>194</v>
      </c>
      <c r="B162" s="3" t="s">
        <v>14</v>
      </c>
      <c r="C162" s="3" t="s">
        <v>15</v>
      </c>
      <c r="D162" s="3" t="s">
        <v>16</v>
      </c>
      <c r="E162" s="3" t="s">
        <v>17</v>
      </c>
      <c r="F162" s="3" t="s">
        <v>18</v>
      </c>
      <c r="G162" s="3" t="s">
        <v>142</v>
      </c>
      <c r="H162" s="5">
        <v>46135</v>
      </c>
      <c r="I162" s="6"/>
      <c r="J162" s="3" t="s">
        <v>27</v>
      </c>
      <c r="K162" s="6"/>
      <c r="L162" s="6"/>
      <c r="M162" s="3">
        <v>68</v>
      </c>
    </row>
    <row r="163" spans="1:13" x14ac:dyDescent="0.25">
      <c r="A163" s="3" t="s">
        <v>195</v>
      </c>
      <c r="B163" s="3" t="s">
        <v>14</v>
      </c>
      <c r="C163" s="3" t="s">
        <v>15</v>
      </c>
      <c r="D163" s="3" t="s">
        <v>16</v>
      </c>
      <c r="E163" s="3" t="s">
        <v>17</v>
      </c>
      <c r="F163" s="3" t="s">
        <v>18</v>
      </c>
      <c r="G163" s="3" t="s">
        <v>142</v>
      </c>
      <c r="H163" s="5">
        <v>46135</v>
      </c>
      <c r="I163" s="6"/>
      <c r="J163" s="3" t="s">
        <v>27</v>
      </c>
      <c r="K163" s="6"/>
      <c r="L163" s="6"/>
      <c r="M163" s="3">
        <v>68</v>
      </c>
    </row>
    <row r="164" spans="1:13" x14ac:dyDescent="0.25">
      <c r="A164" s="3" t="s">
        <v>196</v>
      </c>
      <c r="B164" s="3" t="s">
        <v>14</v>
      </c>
      <c r="C164" s="3" t="s">
        <v>15</v>
      </c>
      <c r="D164" s="3" t="s">
        <v>16</v>
      </c>
      <c r="E164" s="3" t="s">
        <v>17</v>
      </c>
      <c r="F164" s="3" t="s">
        <v>18</v>
      </c>
      <c r="G164" s="3" t="s">
        <v>142</v>
      </c>
      <c r="H164" s="5">
        <v>45831</v>
      </c>
      <c r="I164" s="8">
        <v>46151</v>
      </c>
      <c r="J164" s="3" t="s">
        <v>20</v>
      </c>
      <c r="K164" s="3" t="s">
        <v>24</v>
      </c>
      <c r="L164" s="3" t="s">
        <v>25</v>
      </c>
      <c r="M164" s="3">
        <v>320</v>
      </c>
    </row>
    <row r="165" spans="1:13" x14ac:dyDescent="0.25">
      <c r="A165" s="3" t="s">
        <v>197</v>
      </c>
      <c r="B165" s="3" t="s">
        <v>14</v>
      </c>
      <c r="C165" s="3" t="s">
        <v>15</v>
      </c>
      <c r="D165" s="3" t="s">
        <v>16</v>
      </c>
      <c r="E165" s="3" t="s">
        <v>17</v>
      </c>
      <c r="F165" s="3" t="s">
        <v>18</v>
      </c>
      <c r="G165" s="3" t="s">
        <v>142</v>
      </c>
      <c r="H165" s="5">
        <v>45923</v>
      </c>
      <c r="I165" s="5">
        <v>46134</v>
      </c>
      <c r="J165" s="3" t="s">
        <v>20</v>
      </c>
      <c r="K165" s="3" t="s">
        <v>21</v>
      </c>
      <c r="L165" s="3" t="s">
        <v>22</v>
      </c>
      <c r="M165" s="3">
        <v>211</v>
      </c>
    </row>
    <row r="166" spans="1:13" x14ac:dyDescent="0.25">
      <c r="A166" s="3" t="s">
        <v>198</v>
      </c>
      <c r="B166" s="3" t="s">
        <v>14</v>
      </c>
      <c r="C166" s="3" t="s">
        <v>15</v>
      </c>
      <c r="D166" s="3" t="s">
        <v>16</v>
      </c>
      <c r="E166" s="3" t="s">
        <v>17</v>
      </c>
      <c r="F166" s="3" t="s">
        <v>18</v>
      </c>
      <c r="G166" s="3" t="s">
        <v>142</v>
      </c>
      <c r="H166" s="5">
        <v>46136</v>
      </c>
      <c r="I166" s="7">
        <v>46167</v>
      </c>
      <c r="J166" s="3" t="s">
        <v>20</v>
      </c>
      <c r="K166" s="3" t="s">
        <v>24</v>
      </c>
      <c r="L166" s="3" t="s">
        <v>41</v>
      </c>
      <c r="M166" s="3">
        <v>31</v>
      </c>
    </row>
    <row r="167" spans="1:13" x14ac:dyDescent="0.25">
      <c r="A167" s="3" t="s">
        <v>199</v>
      </c>
      <c r="B167" s="3" t="s">
        <v>14</v>
      </c>
      <c r="C167" s="3" t="s">
        <v>15</v>
      </c>
      <c r="D167" s="3" t="s">
        <v>16</v>
      </c>
      <c r="E167" s="3" t="s">
        <v>17</v>
      </c>
      <c r="F167" s="3" t="s">
        <v>18</v>
      </c>
      <c r="G167" s="3" t="s">
        <v>142</v>
      </c>
      <c r="H167" s="5">
        <v>45862</v>
      </c>
      <c r="I167" s="7">
        <v>46163</v>
      </c>
      <c r="J167" s="3" t="s">
        <v>20</v>
      </c>
      <c r="K167" s="3" t="s">
        <v>24</v>
      </c>
      <c r="L167" s="3" t="s">
        <v>25</v>
      </c>
      <c r="M167" s="3">
        <v>301</v>
      </c>
    </row>
    <row r="168" spans="1:13" x14ac:dyDescent="0.25">
      <c r="A168" s="3" t="s">
        <v>200</v>
      </c>
      <c r="B168" s="3" t="s">
        <v>14</v>
      </c>
      <c r="C168" s="3" t="s">
        <v>15</v>
      </c>
      <c r="D168" s="3" t="s">
        <v>16</v>
      </c>
      <c r="E168" s="3" t="s">
        <v>17</v>
      </c>
      <c r="F168" s="3" t="s">
        <v>18</v>
      </c>
      <c r="G168" s="3" t="s">
        <v>142</v>
      </c>
      <c r="H168" s="5">
        <v>45682</v>
      </c>
      <c r="I168" s="6"/>
      <c r="J168" s="3" t="s">
        <v>27</v>
      </c>
      <c r="K168" s="6"/>
      <c r="L168" s="6"/>
      <c r="M168" s="3">
        <v>521</v>
      </c>
    </row>
    <row r="169" spans="1:13" x14ac:dyDescent="0.25">
      <c r="A169" s="3" t="s">
        <v>201</v>
      </c>
      <c r="B169" s="3" t="s">
        <v>14</v>
      </c>
      <c r="C169" s="3" t="s">
        <v>15</v>
      </c>
      <c r="D169" s="3" t="s">
        <v>16</v>
      </c>
      <c r="E169" s="3" t="s">
        <v>17</v>
      </c>
      <c r="F169" s="3" t="s">
        <v>18</v>
      </c>
      <c r="G169" s="3" t="s">
        <v>142</v>
      </c>
      <c r="H169" s="5">
        <v>46079</v>
      </c>
      <c r="I169" s="8">
        <v>46148</v>
      </c>
      <c r="J169" s="3" t="s">
        <v>20</v>
      </c>
      <c r="K169" s="3" t="s">
        <v>24</v>
      </c>
      <c r="L169" s="3" t="s">
        <v>44</v>
      </c>
      <c r="M169" s="3">
        <v>69</v>
      </c>
    </row>
    <row r="170" spans="1:13" x14ac:dyDescent="0.25">
      <c r="A170" s="3" t="s">
        <v>202</v>
      </c>
      <c r="B170" s="3" t="s">
        <v>14</v>
      </c>
      <c r="C170" s="3" t="s">
        <v>15</v>
      </c>
      <c r="D170" s="3" t="s">
        <v>16</v>
      </c>
      <c r="E170" s="3" t="s">
        <v>17</v>
      </c>
      <c r="F170" s="3" t="s">
        <v>18</v>
      </c>
      <c r="G170" s="3" t="s">
        <v>142</v>
      </c>
      <c r="H170" s="7">
        <v>45804</v>
      </c>
      <c r="I170" s="6"/>
      <c r="J170" s="3" t="s">
        <v>27</v>
      </c>
      <c r="K170" s="6"/>
      <c r="L170" s="6"/>
      <c r="M170" s="3">
        <v>399</v>
      </c>
    </row>
    <row r="171" spans="1:13" x14ac:dyDescent="0.25">
      <c r="A171" s="3" t="s">
        <v>203</v>
      </c>
      <c r="B171" s="3" t="s">
        <v>14</v>
      </c>
      <c r="C171" s="3" t="s">
        <v>15</v>
      </c>
      <c r="D171" s="3" t="s">
        <v>16</v>
      </c>
      <c r="E171" s="3" t="s">
        <v>17</v>
      </c>
      <c r="F171" s="3" t="s">
        <v>18</v>
      </c>
      <c r="G171" s="3" t="s">
        <v>142</v>
      </c>
      <c r="H171" s="5">
        <v>46140</v>
      </c>
      <c r="I171" s="4">
        <v>46181</v>
      </c>
      <c r="J171" s="3" t="s">
        <v>20</v>
      </c>
      <c r="K171" s="3" t="s">
        <v>21</v>
      </c>
      <c r="L171" s="3" t="s">
        <v>37</v>
      </c>
      <c r="M171" s="3">
        <v>41</v>
      </c>
    </row>
    <row r="172" spans="1:13" x14ac:dyDescent="0.25">
      <c r="A172" s="3" t="s">
        <v>204</v>
      </c>
      <c r="B172" s="3" t="s">
        <v>14</v>
      </c>
      <c r="C172" s="3" t="s">
        <v>15</v>
      </c>
      <c r="D172" s="3" t="s">
        <v>16</v>
      </c>
      <c r="E172" s="3" t="s">
        <v>17</v>
      </c>
      <c r="F172" s="3" t="s">
        <v>18</v>
      </c>
      <c r="G172" s="3" t="s">
        <v>142</v>
      </c>
      <c r="H172" s="5">
        <v>45989</v>
      </c>
      <c r="I172" s="7">
        <v>46163</v>
      </c>
      <c r="J172" s="3" t="s">
        <v>20</v>
      </c>
      <c r="K172" s="3" t="s">
        <v>24</v>
      </c>
      <c r="L172" s="3" t="s">
        <v>44</v>
      </c>
      <c r="M172" s="3">
        <v>174</v>
      </c>
    </row>
    <row r="173" spans="1:13" x14ac:dyDescent="0.25">
      <c r="A173" s="3" t="s">
        <v>205</v>
      </c>
      <c r="B173" s="3" t="s">
        <v>14</v>
      </c>
      <c r="C173" s="3" t="s">
        <v>15</v>
      </c>
      <c r="D173" s="3" t="s">
        <v>16</v>
      </c>
      <c r="E173" s="3" t="s">
        <v>17</v>
      </c>
      <c r="F173" s="3" t="s">
        <v>18</v>
      </c>
      <c r="G173" s="3" t="s">
        <v>142</v>
      </c>
      <c r="H173" s="7">
        <v>46171</v>
      </c>
      <c r="I173" s="7">
        <v>46171</v>
      </c>
      <c r="J173" s="3" t="s">
        <v>20</v>
      </c>
      <c r="K173" s="3" t="s">
        <v>21</v>
      </c>
      <c r="L173" s="3" t="s">
        <v>37</v>
      </c>
      <c r="M173" s="3">
        <v>0</v>
      </c>
    </row>
    <row r="174" spans="1:13" x14ac:dyDescent="0.25">
      <c r="A174" s="3" t="s">
        <v>206</v>
      </c>
      <c r="B174" s="3" t="s">
        <v>14</v>
      </c>
      <c r="C174" s="3" t="s">
        <v>15</v>
      </c>
      <c r="D174" s="3" t="s">
        <v>16</v>
      </c>
      <c r="E174" s="3" t="s">
        <v>17</v>
      </c>
      <c r="F174" s="3" t="s">
        <v>18</v>
      </c>
      <c r="G174" s="3" t="s">
        <v>142</v>
      </c>
      <c r="H174" s="5">
        <v>46142</v>
      </c>
      <c r="I174" s="5">
        <v>46142</v>
      </c>
      <c r="J174" s="3" t="s">
        <v>20</v>
      </c>
      <c r="K174" s="3" t="s">
        <v>21</v>
      </c>
      <c r="L174" s="3" t="s">
        <v>50</v>
      </c>
      <c r="M174" s="3">
        <v>0</v>
      </c>
    </row>
    <row r="175" spans="1:13" x14ac:dyDescent="0.25">
      <c r="A175" s="3" t="s">
        <v>207</v>
      </c>
      <c r="B175" s="3" t="s">
        <v>14</v>
      </c>
      <c r="C175" s="3" t="s">
        <v>15</v>
      </c>
      <c r="D175" s="3" t="s">
        <v>208</v>
      </c>
      <c r="E175" s="3" t="s">
        <v>209</v>
      </c>
      <c r="F175" s="3" t="s">
        <v>210</v>
      </c>
      <c r="G175" s="3" t="s">
        <v>19</v>
      </c>
      <c r="H175" s="4">
        <v>45748</v>
      </c>
      <c r="I175" s="6"/>
      <c r="J175" s="3" t="s">
        <v>27</v>
      </c>
      <c r="K175" s="6"/>
      <c r="L175" s="6"/>
      <c r="M175" s="3">
        <v>455</v>
      </c>
    </row>
    <row r="176" spans="1:13" x14ac:dyDescent="0.25">
      <c r="A176" s="3" t="s">
        <v>211</v>
      </c>
      <c r="B176" s="3" t="s">
        <v>14</v>
      </c>
      <c r="C176" s="3" t="s">
        <v>15</v>
      </c>
      <c r="D176" s="3" t="s">
        <v>208</v>
      </c>
      <c r="E176" s="3" t="s">
        <v>209</v>
      </c>
      <c r="F176" s="3" t="s">
        <v>210</v>
      </c>
      <c r="G176" s="3" t="s">
        <v>19</v>
      </c>
      <c r="H176" s="4">
        <v>46113</v>
      </c>
      <c r="I176" s="5">
        <v>46185</v>
      </c>
      <c r="J176" s="3" t="s">
        <v>20</v>
      </c>
      <c r="K176" s="3" t="s">
        <v>24</v>
      </c>
      <c r="L176" s="3" t="s">
        <v>44</v>
      </c>
      <c r="M176" s="3">
        <v>72</v>
      </c>
    </row>
    <row r="177" spans="1:13" x14ac:dyDescent="0.25">
      <c r="A177" s="3" t="s">
        <v>212</v>
      </c>
      <c r="B177" s="3" t="s">
        <v>14</v>
      </c>
      <c r="C177" s="3" t="s">
        <v>15</v>
      </c>
      <c r="D177" s="3" t="s">
        <v>208</v>
      </c>
      <c r="E177" s="3" t="s">
        <v>209</v>
      </c>
      <c r="F177" s="3" t="s">
        <v>210</v>
      </c>
      <c r="G177" s="3" t="s">
        <v>19</v>
      </c>
      <c r="H177" s="4">
        <v>46113</v>
      </c>
      <c r="I177" s="6"/>
      <c r="J177" s="3" t="s">
        <v>27</v>
      </c>
      <c r="K177" s="6"/>
      <c r="L177" s="6"/>
      <c r="M177" s="3">
        <v>90</v>
      </c>
    </row>
    <row r="178" spans="1:13" x14ac:dyDescent="0.25">
      <c r="A178" s="3" t="s">
        <v>213</v>
      </c>
      <c r="B178" s="3" t="s">
        <v>14</v>
      </c>
      <c r="C178" s="3" t="s">
        <v>15</v>
      </c>
      <c r="D178" s="3" t="s">
        <v>208</v>
      </c>
      <c r="E178" s="3" t="s">
        <v>209</v>
      </c>
      <c r="F178" s="3" t="s">
        <v>210</v>
      </c>
      <c r="G178" s="3" t="s">
        <v>19</v>
      </c>
      <c r="H178" s="4">
        <v>46113</v>
      </c>
      <c r="I178" s="5">
        <v>46135</v>
      </c>
      <c r="J178" s="3" t="s">
        <v>20</v>
      </c>
      <c r="K178" s="3" t="s">
        <v>21</v>
      </c>
      <c r="L178" s="3" t="s">
        <v>33</v>
      </c>
      <c r="M178" s="3">
        <v>22</v>
      </c>
    </row>
    <row r="179" spans="1:13" x14ac:dyDescent="0.25">
      <c r="A179" s="3" t="s">
        <v>214</v>
      </c>
      <c r="B179" s="3" t="s">
        <v>14</v>
      </c>
      <c r="C179" s="3" t="s">
        <v>15</v>
      </c>
      <c r="D179" s="3" t="s">
        <v>208</v>
      </c>
      <c r="E179" s="3" t="s">
        <v>209</v>
      </c>
      <c r="F179" s="3" t="s">
        <v>210</v>
      </c>
      <c r="G179" s="3" t="s">
        <v>19</v>
      </c>
      <c r="H179" s="4">
        <v>46113</v>
      </c>
      <c r="I179" s="5">
        <v>46199</v>
      </c>
      <c r="J179" s="3" t="s">
        <v>20</v>
      </c>
      <c r="K179" s="3" t="s">
        <v>24</v>
      </c>
      <c r="L179" s="3" t="s">
        <v>25</v>
      </c>
      <c r="M179" s="3">
        <v>86</v>
      </c>
    </row>
    <row r="180" spans="1:13" x14ac:dyDescent="0.25">
      <c r="A180" s="3" t="s">
        <v>215</v>
      </c>
      <c r="B180" s="3" t="s">
        <v>14</v>
      </c>
      <c r="C180" s="3" t="s">
        <v>15</v>
      </c>
      <c r="D180" s="3" t="s">
        <v>208</v>
      </c>
      <c r="E180" s="3" t="s">
        <v>209</v>
      </c>
      <c r="F180" s="3" t="s">
        <v>210</v>
      </c>
      <c r="G180" s="3" t="s">
        <v>19</v>
      </c>
      <c r="H180" s="4">
        <v>46113</v>
      </c>
      <c r="I180" s="6"/>
      <c r="J180" s="3" t="s">
        <v>27</v>
      </c>
      <c r="K180" s="6"/>
      <c r="L180" s="6"/>
      <c r="M180" s="3">
        <v>90</v>
      </c>
    </row>
    <row r="181" spans="1:13" x14ac:dyDescent="0.25">
      <c r="A181" s="3" t="s">
        <v>216</v>
      </c>
      <c r="B181" s="3" t="s">
        <v>14</v>
      </c>
      <c r="C181" s="3" t="s">
        <v>15</v>
      </c>
      <c r="D181" s="3" t="s">
        <v>208</v>
      </c>
      <c r="E181" s="3" t="s">
        <v>209</v>
      </c>
      <c r="F181" s="3" t="s">
        <v>210</v>
      </c>
      <c r="G181" s="3" t="s">
        <v>19</v>
      </c>
      <c r="H181" s="4">
        <v>46113</v>
      </c>
      <c r="I181" s="6"/>
      <c r="J181" s="3" t="s">
        <v>27</v>
      </c>
      <c r="K181" s="6"/>
      <c r="L181" s="6"/>
      <c r="M181" s="3">
        <v>90</v>
      </c>
    </row>
    <row r="182" spans="1:13" x14ac:dyDescent="0.25">
      <c r="A182" s="3" t="s">
        <v>217</v>
      </c>
      <c r="B182" s="3" t="s">
        <v>14</v>
      </c>
      <c r="C182" s="3" t="s">
        <v>15</v>
      </c>
      <c r="D182" s="3" t="s">
        <v>208</v>
      </c>
      <c r="E182" s="3" t="s">
        <v>209</v>
      </c>
      <c r="F182" s="3" t="s">
        <v>210</v>
      </c>
      <c r="G182" s="3" t="s">
        <v>19</v>
      </c>
      <c r="H182" s="4">
        <v>46113</v>
      </c>
      <c r="I182" s="5">
        <v>46199</v>
      </c>
      <c r="J182" s="3" t="s">
        <v>20</v>
      </c>
      <c r="K182" s="3" t="s">
        <v>24</v>
      </c>
      <c r="L182" s="3" t="s">
        <v>25</v>
      </c>
      <c r="M182" s="3">
        <v>86</v>
      </c>
    </row>
    <row r="183" spans="1:13" x14ac:dyDescent="0.25">
      <c r="A183" s="3" t="s">
        <v>218</v>
      </c>
      <c r="B183" s="3" t="s">
        <v>14</v>
      </c>
      <c r="C183" s="3" t="s">
        <v>15</v>
      </c>
      <c r="D183" s="3" t="s">
        <v>208</v>
      </c>
      <c r="E183" s="3" t="s">
        <v>209</v>
      </c>
      <c r="F183" s="3" t="s">
        <v>210</v>
      </c>
      <c r="G183" s="3" t="s">
        <v>19</v>
      </c>
      <c r="H183" s="4">
        <v>45870</v>
      </c>
      <c r="I183" s="5">
        <v>46200</v>
      </c>
      <c r="J183" s="3" t="s">
        <v>20</v>
      </c>
      <c r="K183" s="3" t="s">
        <v>24</v>
      </c>
      <c r="L183" s="3" t="s">
        <v>41</v>
      </c>
      <c r="M183" s="3">
        <v>330</v>
      </c>
    </row>
    <row r="184" spans="1:13" x14ac:dyDescent="0.25">
      <c r="A184" s="3" t="s">
        <v>219</v>
      </c>
      <c r="B184" s="3" t="s">
        <v>14</v>
      </c>
      <c r="C184" s="3" t="s">
        <v>15</v>
      </c>
      <c r="D184" s="3" t="s">
        <v>208</v>
      </c>
      <c r="E184" s="3" t="s">
        <v>209</v>
      </c>
      <c r="F184" s="3" t="s">
        <v>210</v>
      </c>
      <c r="G184" s="3" t="s">
        <v>19</v>
      </c>
      <c r="H184" s="4">
        <v>45870</v>
      </c>
      <c r="I184" s="5">
        <v>46123</v>
      </c>
      <c r="J184" s="3" t="s">
        <v>20</v>
      </c>
      <c r="K184" s="3" t="s">
        <v>24</v>
      </c>
      <c r="L184" s="3" t="s">
        <v>41</v>
      </c>
      <c r="M184" s="3">
        <v>253</v>
      </c>
    </row>
    <row r="185" spans="1:13" x14ac:dyDescent="0.25">
      <c r="A185" s="3" t="s">
        <v>220</v>
      </c>
      <c r="B185" s="3" t="s">
        <v>14</v>
      </c>
      <c r="C185" s="3" t="s">
        <v>15</v>
      </c>
      <c r="D185" s="3" t="s">
        <v>208</v>
      </c>
      <c r="E185" s="3" t="s">
        <v>209</v>
      </c>
      <c r="F185" s="3" t="s">
        <v>210</v>
      </c>
      <c r="G185" s="3" t="s">
        <v>19</v>
      </c>
      <c r="H185" s="4">
        <v>45870</v>
      </c>
      <c r="I185" s="7">
        <v>46156</v>
      </c>
      <c r="J185" s="3" t="s">
        <v>20</v>
      </c>
      <c r="K185" s="3" t="s">
        <v>24</v>
      </c>
      <c r="L185" s="3" t="s">
        <v>44</v>
      </c>
      <c r="M185" s="3">
        <v>286</v>
      </c>
    </row>
    <row r="186" spans="1:13" x14ac:dyDescent="0.25">
      <c r="A186" s="3" t="s">
        <v>221</v>
      </c>
      <c r="B186" s="3" t="s">
        <v>14</v>
      </c>
      <c r="C186" s="3" t="s">
        <v>15</v>
      </c>
      <c r="D186" s="3" t="s">
        <v>208</v>
      </c>
      <c r="E186" s="3" t="s">
        <v>209</v>
      </c>
      <c r="F186" s="3" t="s">
        <v>210</v>
      </c>
      <c r="G186" s="3" t="s">
        <v>19</v>
      </c>
      <c r="H186" s="4">
        <v>45689</v>
      </c>
      <c r="I186" s="7">
        <v>46170</v>
      </c>
      <c r="J186" s="3" t="s">
        <v>20</v>
      </c>
      <c r="K186" s="3" t="s">
        <v>24</v>
      </c>
      <c r="L186" s="3" t="s">
        <v>25</v>
      </c>
      <c r="M186" s="3">
        <v>481</v>
      </c>
    </row>
    <row r="187" spans="1:13" x14ac:dyDescent="0.25">
      <c r="A187" s="3" t="s">
        <v>222</v>
      </c>
      <c r="B187" s="3" t="s">
        <v>14</v>
      </c>
      <c r="C187" s="3" t="s">
        <v>15</v>
      </c>
      <c r="D187" s="3" t="s">
        <v>208</v>
      </c>
      <c r="E187" s="3" t="s">
        <v>209</v>
      </c>
      <c r="F187" s="3" t="s">
        <v>210</v>
      </c>
      <c r="G187" s="3" t="s">
        <v>19</v>
      </c>
      <c r="H187" s="4">
        <v>46023</v>
      </c>
      <c r="I187" s="5">
        <v>46122</v>
      </c>
      <c r="J187" s="3" t="s">
        <v>20</v>
      </c>
      <c r="K187" s="3" t="s">
        <v>24</v>
      </c>
      <c r="L187" s="3" t="s">
        <v>41</v>
      </c>
      <c r="M187" s="3">
        <v>99</v>
      </c>
    </row>
    <row r="188" spans="1:13" x14ac:dyDescent="0.25">
      <c r="A188" s="3" t="s">
        <v>223</v>
      </c>
      <c r="B188" s="3" t="s">
        <v>14</v>
      </c>
      <c r="C188" s="3" t="s">
        <v>15</v>
      </c>
      <c r="D188" s="3" t="s">
        <v>208</v>
      </c>
      <c r="E188" s="3" t="s">
        <v>209</v>
      </c>
      <c r="F188" s="3" t="s">
        <v>210</v>
      </c>
      <c r="G188" s="3" t="s">
        <v>19</v>
      </c>
      <c r="H188" s="4">
        <v>46174</v>
      </c>
      <c r="I188" s="5">
        <v>46192</v>
      </c>
      <c r="J188" s="3" t="s">
        <v>20</v>
      </c>
      <c r="K188" s="3" t="s">
        <v>21</v>
      </c>
      <c r="L188" s="3" t="s">
        <v>61</v>
      </c>
      <c r="M188" s="3">
        <v>18</v>
      </c>
    </row>
    <row r="189" spans="1:13" x14ac:dyDescent="0.25">
      <c r="A189" s="3" t="s">
        <v>224</v>
      </c>
      <c r="B189" s="3" t="s">
        <v>14</v>
      </c>
      <c r="C189" s="3" t="s">
        <v>15</v>
      </c>
      <c r="D189" s="3" t="s">
        <v>208</v>
      </c>
      <c r="E189" s="3" t="s">
        <v>209</v>
      </c>
      <c r="F189" s="3" t="s">
        <v>210</v>
      </c>
      <c r="G189" s="3" t="s">
        <v>19</v>
      </c>
      <c r="H189" s="4">
        <v>46174</v>
      </c>
      <c r="I189" s="5">
        <v>46200</v>
      </c>
      <c r="J189" s="3" t="s">
        <v>20</v>
      </c>
      <c r="K189" s="3" t="s">
        <v>21</v>
      </c>
      <c r="L189" s="3" t="s">
        <v>37</v>
      </c>
      <c r="M189" s="3">
        <v>26</v>
      </c>
    </row>
    <row r="190" spans="1:13" x14ac:dyDescent="0.25">
      <c r="A190" s="3" t="s">
        <v>225</v>
      </c>
      <c r="B190" s="3" t="s">
        <v>14</v>
      </c>
      <c r="C190" s="3" t="s">
        <v>15</v>
      </c>
      <c r="D190" s="3" t="s">
        <v>208</v>
      </c>
      <c r="E190" s="3" t="s">
        <v>209</v>
      </c>
      <c r="F190" s="3" t="s">
        <v>210</v>
      </c>
      <c r="G190" s="3" t="s">
        <v>19</v>
      </c>
      <c r="H190" s="4">
        <v>46174</v>
      </c>
      <c r="I190" s="6"/>
      <c r="J190" s="3" t="s">
        <v>27</v>
      </c>
      <c r="K190" s="6"/>
      <c r="L190" s="6"/>
      <c r="M190" s="3">
        <v>29</v>
      </c>
    </row>
    <row r="191" spans="1:13" x14ac:dyDescent="0.25">
      <c r="A191" s="3" t="s">
        <v>226</v>
      </c>
      <c r="B191" s="3" t="s">
        <v>14</v>
      </c>
      <c r="C191" s="3" t="s">
        <v>15</v>
      </c>
      <c r="D191" s="3" t="s">
        <v>208</v>
      </c>
      <c r="E191" s="3" t="s">
        <v>209</v>
      </c>
      <c r="F191" s="3" t="s">
        <v>210</v>
      </c>
      <c r="G191" s="3" t="s">
        <v>19</v>
      </c>
      <c r="H191" s="4">
        <v>46174</v>
      </c>
      <c r="I191" s="6"/>
      <c r="J191" s="3" t="s">
        <v>27</v>
      </c>
      <c r="K191" s="6"/>
      <c r="L191" s="6"/>
      <c r="M191" s="3">
        <v>29</v>
      </c>
    </row>
    <row r="192" spans="1:13" x14ac:dyDescent="0.25">
      <c r="A192" s="3" t="s">
        <v>227</v>
      </c>
      <c r="B192" s="3" t="s">
        <v>14</v>
      </c>
      <c r="C192" s="3" t="s">
        <v>15</v>
      </c>
      <c r="D192" s="3" t="s">
        <v>208</v>
      </c>
      <c r="E192" s="3" t="s">
        <v>209</v>
      </c>
      <c r="F192" s="3" t="s">
        <v>210</v>
      </c>
      <c r="G192" s="3" t="s">
        <v>19</v>
      </c>
      <c r="H192" s="8">
        <v>45778</v>
      </c>
      <c r="I192" s="5">
        <v>46128</v>
      </c>
      <c r="J192" s="3" t="s">
        <v>20</v>
      </c>
      <c r="K192" s="3" t="s">
        <v>24</v>
      </c>
      <c r="L192" s="3" t="s">
        <v>41</v>
      </c>
      <c r="M192" s="3">
        <v>350</v>
      </c>
    </row>
    <row r="193" spans="1:13" x14ac:dyDescent="0.25">
      <c r="A193" s="3" t="s">
        <v>228</v>
      </c>
      <c r="B193" s="3" t="s">
        <v>14</v>
      </c>
      <c r="C193" s="3" t="s">
        <v>15</v>
      </c>
      <c r="D193" s="3" t="s">
        <v>208</v>
      </c>
      <c r="E193" s="3" t="s">
        <v>209</v>
      </c>
      <c r="F193" s="3" t="s">
        <v>210</v>
      </c>
      <c r="G193" s="3" t="s">
        <v>19</v>
      </c>
      <c r="H193" s="8">
        <v>46143</v>
      </c>
      <c r="I193" s="7">
        <v>46168</v>
      </c>
      <c r="J193" s="3" t="s">
        <v>20</v>
      </c>
      <c r="K193" s="3" t="s">
        <v>21</v>
      </c>
      <c r="L193" s="3" t="s">
        <v>22</v>
      </c>
      <c r="M193" s="3">
        <v>25</v>
      </c>
    </row>
    <row r="194" spans="1:13" x14ac:dyDescent="0.25">
      <c r="A194" s="3" t="s">
        <v>229</v>
      </c>
      <c r="B194" s="3" t="s">
        <v>14</v>
      </c>
      <c r="C194" s="3" t="s">
        <v>15</v>
      </c>
      <c r="D194" s="3" t="s">
        <v>208</v>
      </c>
      <c r="E194" s="3" t="s">
        <v>209</v>
      </c>
      <c r="F194" s="3" t="s">
        <v>210</v>
      </c>
      <c r="G194" s="3" t="s">
        <v>19</v>
      </c>
      <c r="H194" s="8">
        <v>46143</v>
      </c>
      <c r="I194" s="8">
        <v>46149</v>
      </c>
      <c r="J194" s="3" t="s">
        <v>20</v>
      </c>
      <c r="K194" s="3" t="s">
        <v>21</v>
      </c>
      <c r="L194" s="3" t="s">
        <v>33</v>
      </c>
      <c r="M194" s="3">
        <v>6</v>
      </c>
    </row>
    <row r="195" spans="1:13" x14ac:dyDescent="0.25">
      <c r="A195" s="3" t="s">
        <v>230</v>
      </c>
      <c r="B195" s="3" t="s">
        <v>14</v>
      </c>
      <c r="C195" s="3" t="s">
        <v>15</v>
      </c>
      <c r="D195" s="3" t="s">
        <v>208</v>
      </c>
      <c r="E195" s="3" t="s">
        <v>209</v>
      </c>
      <c r="F195" s="3" t="s">
        <v>210</v>
      </c>
      <c r="G195" s="3" t="s">
        <v>19</v>
      </c>
      <c r="H195" s="8">
        <v>46143</v>
      </c>
      <c r="I195" s="8">
        <v>46149</v>
      </c>
      <c r="J195" s="3" t="s">
        <v>20</v>
      </c>
      <c r="K195" s="3" t="s">
        <v>21</v>
      </c>
      <c r="L195" s="3" t="s">
        <v>50</v>
      </c>
      <c r="M195" s="3">
        <v>6</v>
      </c>
    </row>
    <row r="196" spans="1:13" x14ac:dyDescent="0.25">
      <c r="A196" s="3" t="s">
        <v>231</v>
      </c>
      <c r="B196" s="3" t="s">
        <v>14</v>
      </c>
      <c r="C196" s="3" t="s">
        <v>15</v>
      </c>
      <c r="D196" s="3" t="s">
        <v>208</v>
      </c>
      <c r="E196" s="3" t="s">
        <v>209</v>
      </c>
      <c r="F196" s="3" t="s">
        <v>210</v>
      </c>
      <c r="G196" s="3" t="s">
        <v>19</v>
      </c>
      <c r="H196" s="4">
        <v>45962</v>
      </c>
      <c r="I196" s="5">
        <v>46140</v>
      </c>
      <c r="J196" s="3" t="s">
        <v>20</v>
      </c>
      <c r="K196" s="3" t="s">
        <v>24</v>
      </c>
      <c r="L196" s="3" t="s">
        <v>55</v>
      </c>
      <c r="M196" s="3">
        <v>178</v>
      </c>
    </row>
    <row r="197" spans="1:13" x14ac:dyDescent="0.25">
      <c r="A197" s="3" t="s">
        <v>232</v>
      </c>
      <c r="B197" s="3" t="s">
        <v>14</v>
      </c>
      <c r="C197" s="3" t="s">
        <v>15</v>
      </c>
      <c r="D197" s="3" t="s">
        <v>208</v>
      </c>
      <c r="E197" s="3" t="s">
        <v>209</v>
      </c>
      <c r="F197" s="3" t="s">
        <v>210</v>
      </c>
      <c r="G197" s="3" t="s">
        <v>19</v>
      </c>
      <c r="H197" s="4">
        <v>45901</v>
      </c>
      <c r="I197" s="5">
        <v>46140</v>
      </c>
      <c r="J197" s="3" t="s">
        <v>20</v>
      </c>
      <c r="K197" s="3" t="s">
        <v>24</v>
      </c>
      <c r="L197" s="3" t="s">
        <v>25</v>
      </c>
      <c r="M197" s="3">
        <v>239</v>
      </c>
    </row>
    <row r="198" spans="1:13" x14ac:dyDescent="0.25">
      <c r="A198" s="3" t="s">
        <v>233</v>
      </c>
      <c r="B198" s="3" t="s">
        <v>14</v>
      </c>
      <c r="C198" s="3" t="s">
        <v>15</v>
      </c>
      <c r="D198" s="3" t="s">
        <v>208</v>
      </c>
      <c r="E198" s="3" t="s">
        <v>209</v>
      </c>
      <c r="F198" s="3" t="s">
        <v>210</v>
      </c>
      <c r="G198" s="3" t="s">
        <v>19</v>
      </c>
      <c r="H198" s="4">
        <v>45901</v>
      </c>
      <c r="I198" s="6"/>
      <c r="J198" s="3" t="s">
        <v>27</v>
      </c>
      <c r="K198" s="6"/>
      <c r="L198" s="6"/>
      <c r="M198" s="3">
        <v>302</v>
      </c>
    </row>
    <row r="199" spans="1:13" x14ac:dyDescent="0.25">
      <c r="A199" s="3" t="s">
        <v>234</v>
      </c>
      <c r="B199" s="3" t="s">
        <v>14</v>
      </c>
      <c r="C199" s="3" t="s">
        <v>15</v>
      </c>
      <c r="D199" s="3" t="s">
        <v>208</v>
      </c>
      <c r="E199" s="3" t="s">
        <v>209</v>
      </c>
      <c r="F199" s="3" t="s">
        <v>210</v>
      </c>
      <c r="G199" s="3" t="s">
        <v>19</v>
      </c>
      <c r="H199" s="4">
        <v>46114</v>
      </c>
      <c r="I199" s="6"/>
      <c r="J199" s="3" t="s">
        <v>27</v>
      </c>
      <c r="K199" s="6"/>
      <c r="L199" s="6"/>
      <c r="M199" s="3">
        <v>89</v>
      </c>
    </row>
    <row r="200" spans="1:13" x14ac:dyDescent="0.25">
      <c r="A200" s="3" t="s">
        <v>235</v>
      </c>
      <c r="B200" s="3" t="s">
        <v>14</v>
      </c>
      <c r="C200" s="3" t="s">
        <v>15</v>
      </c>
      <c r="D200" s="3" t="s">
        <v>208</v>
      </c>
      <c r="E200" s="3" t="s">
        <v>209</v>
      </c>
      <c r="F200" s="3" t="s">
        <v>210</v>
      </c>
      <c r="G200" s="3" t="s">
        <v>19</v>
      </c>
      <c r="H200" s="4">
        <v>46114</v>
      </c>
      <c r="I200" s="7">
        <v>46167</v>
      </c>
      <c r="J200" s="3" t="s">
        <v>20</v>
      </c>
      <c r="K200" s="3" t="s">
        <v>24</v>
      </c>
      <c r="L200" s="3" t="s">
        <v>44</v>
      </c>
      <c r="M200" s="3">
        <v>53</v>
      </c>
    </row>
    <row r="201" spans="1:13" x14ac:dyDescent="0.25">
      <c r="A201" s="3" t="s">
        <v>236</v>
      </c>
      <c r="B201" s="3" t="s">
        <v>14</v>
      </c>
      <c r="C201" s="3" t="s">
        <v>15</v>
      </c>
      <c r="D201" s="3" t="s">
        <v>208</v>
      </c>
      <c r="E201" s="3" t="s">
        <v>209</v>
      </c>
      <c r="F201" s="3" t="s">
        <v>210</v>
      </c>
      <c r="G201" s="3" t="s">
        <v>19</v>
      </c>
      <c r="H201" s="4">
        <v>46114</v>
      </c>
      <c r="I201" s="5">
        <v>46122</v>
      </c>
      <c r="J201" s="3" t="s">
        <v>20</v>
      </c>
      <c r="K201" s="3" t="s">
        <v>21</v>
      </c>
      <c r="L201" s="3" t="s">
        <v>30</v>
      </c>
      <c r="M201" s="3">
        <v>8</v>
      </c>
    </row>
    <row r="202" spans="1:13" x14ac:dyDescent="0.25">
      <c r="A202" s="3" t="s">
        <v>237</v>
      </c>
      <c r="B202" s="3" t="s">
        <v>14</v>
      </c>
      <c r="C202" s="3" t="s">
        <v>15</v>
      </c>
      <c r="D202" s="3" t="s">
        <v>208</v>
      </c>
      <c r="E202" s="3" t="s">
        <v>209</v>
      </c>
      <c r="F202" s="3" t="s">
        <v>210</v>
      </c>
      <c r="G202" s="3" t="s">
        <v>19</v>
      </c>
      <c r="H202" s="4">
        <v>45993</v>
      </c>
      <c r="I202" s="5">
        <v>46127</v>
      </c>
      <c r="J202" s="3" t="s">
        <v>20</v>
      </c>
      <c r="K202" s="3" t="s">
        <v>24</v>
      </c>
      <c r="L202" s="3" t="s">
        <v>55</v>
      </c>
      <c r="M202" s="3">
        <v>134</v>
      </c>
    </row>
    <row r="203" spans="1:13" x14ac:dyDescent="0.25">
      <c r="A203" s="3" t="s">
        <v>238</v>
      </c>
      <c r="B203" s="3" t="s">
        <v>14</v>
      </c>
      <c r="C203" s="3" t="s">
        <v>15</v>
      </c>
      <c r="D203" s="3" t="s">
        <v>208</v>
      </c>
      <c r="E203" s="3" t="s">
        <v>209</v>
      </c>
      <c r="F203" s="3" t="s">
        <v>210</v>
      </c>
      <c r="G203" s="3" t="s">
        <v>19</v>
      </c>
      <c r="H203" s="4">
        <v>45690</v>
      </c>
      <c r="I203" s="5">
        <v>46184</v>
      </c>
      <c r="J203" s="3" t="s">
        <v>20</v>
      </c>
      <c r="K203" s="3" t="s">
        <v>24</v>
      </c>
      <c r="L203" s="3" t="s">
        <v>44</v>
      </c>
      <c r="M203" s="3">
        <v>494</v>
      </c>
    </row>
    <row r="204" spans="1:13" x14ac:dyDescent="0.25">
      <c r="A204" s="3" t="s">
        <v>239</v>
      </c>
      <c r="B204" s="3" t="s">
        <v>14</v>
      </c>
      <c r="C204" s="3" t="s">
        <v>15</v>
      </c>
      <c r="D204" s="3" t="s">
        <v>208</v>
      </c>
      <c r="E204" s="3" t="s">
        <v>209</v>
      </c>
      <c r="F204" s="3" t="s">
        <v>210</v>
      </c>
      <c r="G204" s="3" t="s">
        <v>19</v>
      </c>
      <c r="H204" s="4">
        <v>46175</v>
      </c>
      <c r="I204" s="4">
        <v>46175</v>
      </c>
      <c r="J204" s="3" t="s">
        <v>20</v>
      </c>
      <c r="K204" s="3" t="s">
        <v>21</v>
      </c>
      <c r="L204" s="3" t="s">
        <v>61</v>
      </c>
      <c r="M204" s="3">
        <v>0</v>
      </c>
    </row>
    <row r="205" spans="1:13" x14ac:dyDescent="0.25">
      <c r="A205" s="3" t="s">
        <v>240</v>
      </c>
      <c r="B205" s="3" t="s">
        <v>14</v>
      </c>
      <c r="C205" s="3" t="s">
        <v>15</v>
      </c>
      <c r="D205" s="3" t="s">
        <v>208</v>
      </c>
      <c r="E205" s="3" t="s">
        <v>209</v>
      </c>
      <c r="F205" s="3" t="s">
        <v>210</v>
      </c>
      <c r="G205" s="3" t="s">
        <v>19</v>
      </c>
      <c r="H205" s="4">
        <v>46083</v>
      </c>
      <c r="I205" s="6"/>
      <c r="J205" s="3" t="s">
        <v>27</v>
      </c>
      <c r="K205" s="6"/>
      <c r="L205" s="6"/>
      <c r="M205" s="3">
        <v>120</v>
      </c>
    </row>
    <row r="206" spans="1:13" x14ac:dyDescent="0.25">
      <c r="A206" s="3" t="s">
        <v>241</v>
      </c>
      <c r="B206" s="3" t="s">
        <v>14</v>
      </c>
      <c r="C206" s="3" t="s">
        <v>15</v>
      </c>
      <c r="D206" s="3" t="s">
        <v>208</v>
      </c>
      <c r="E206" s="3" t="s">
        <v>209</v>
      </c>
      <c r="F206" s="3" t="s">
        <v>210</v>
      </c>
      <c r="G206" s="3" t="s">
        <v>19</v>
      </c>
      <c r="H206" s="8">
        <v>46144</v>
      </c>
      <c r="I206" s="4">
        <v>46174</v>
      </c>
      <c r="J206" s="3" t="s">
        <v>20</v>
      </c>
      <c r="K206" s="3" t="s">
        <v>24</v>
      </c>
      <c r="L206" s="3" t="s">
        <v>44</v>
      </c>
      <c r="M206" s="3">
        <v>30</v>
      </c>
    </row>
    <row r="207" spans="1:13" x14ac:dyDescent="0.25">
      <c r="A207" s="3" t="s">
        <v>242</v>
      </c>
      <c r="B207" s="3" t="s">
        <v>14</v>
      </c>
      <c r="C207" s="3" t="s">
        <v>15</v>
      </c>
      <c r="D207" s="3" t="s">
        <v>208</v>
      </c>
      <c r="E207" s="3" t="s">
        <v>209</v>
      </c>
      <c r="F207" s="3" t="s">
        <v>210</v>
      </c>
      <c r="G207" s="3" t="s">
        <v>19</v>
      </c>
      <c r="H207" s="8">
        <v>46144</v>
      </c>
      <c r="I207" s="5">
        <v>46185</v>
      </c>
      <c r="J207" s="3" t="s">
        <v>20</v>
      </c>
      <c r="K207" s="3" t="s">
        <v>24</v>
      </c>
      <c r="L207" s="3" t="s">
        <v>55</v>
      </c>
      <c r="M207" s="3">
        <v>41</v>
      </c>
    </row>
    <row r="208" spans="1:13" x14ac:dyDescent="0.25">
      <c r="A208" s="3" t="s">
        <v>243</v>
      </c>
      <c r="B208" s="3" t="s">
        <v>14</v>
      </c>
      <c r="C208" s="3" t="s">
        <v>15</v>
      </c>
      <c r="D208" s="3" t="s">
        <v>208</v>
      </c>
      <c r="E208" s="3" t="s">
        <v>209</v>
      </c>
      <c r="F208" s="3" t="s">
        <v>210</v>
      </c>
      <c r="G208" s="3" t="s">
        <v>19</v>
      </c>
      <c r="H208" s="4">
        <v>46115</v>
      </c>
      <c r="I208" s="6"/>
      <c r="J208" s="3" t="s">
        <v>27</v>
      </c>
      <c r="K208" s="6"/>
      <c r="L208" s="6"/>
      <c r="M208" s="3">
        <v>88</v>
      </c>
    </row>
    <row r="209" spans="1:13" x14ac:dyDescent="0.25">
      <c r="A209" s="3" t="s">
        <v>244</v>
      </c>
      <c r="B209" s="3" t="s">
        <v>14</v>
      </c>
      <c r="C209" s="3" t="s">
        <v>15</v>
      </c>
      <c r="D209" s="3" t="s">
        <v>208</v>
      </c>
      <c r="E209" s="3" t="s">
        <v>209</v>
      </c>
      <c r="F209" s="3" t="s">
        <v>210</v>
      </c>
      <c r="G209" s="3" t="s">
        <v>19</v>
      </c>
      <c r="H209" s="4">
        <v>46115</v>
      </c>
      <c r="I209" s="4">
        <v>46115</v>
      </c>
      <c r="J209" s="3" t="s">
        <v>20</v>
      </c>
      <c r="K209" s="3" t="s">
        <v>21</v>
      </c>
      <c r="L209" s="3" t="s">
        <v>50</v>
      </c>
      <c r="M209" s="3">
        <v>0</v>
      </c>
    </row>
    <row r="210" spans="1:13" x14ac:dyDescent="0.25">
      <c r="A210" s="3" t="s">
        <v>245</v>
      </c>
      <c r="B210" s="3" t="s">
        <v>14</v>
      </c>
      <c r="C210" s="3" t="s">
        <v>15</v>
      </c>
      <c r="D210" s="3" t="s">
        <v>208</v>
      </c>
      <c r="E210" s="3" t="s">
        <v>209</v>
      </c>
      <c r="F210" s="3" t="s">
        <v>210</v>
      </c>
      <c r="G210" s="3" t="s">
        <v>19</v>
      </c>
      <c r="H210" s="4">
        <v>46115</v>
      </c>
      <c r="I210" s="4">
        <v>46120</v>
      </c>
      <c r="J210" s="3" t="s">
        <v>20</v>
      </c>
      <c r="K210" s="3" t="s">
        <v>21</v>
      </c>
      <c r="L210" s="3" t="s">
        <v>22</v>
      </c>
      <c r="M210" s="3">
        <v>5</v>
      </c>
    </row>
    <row r="211" spans="1:13" x14ac:dyDescent="0.25">
      <c r="A211" s="3" t="s">
        <v>246</v>
      </c>
      <c r="B211" s="3" t="s">
        <v>14</v>
      </c>
      <c r="C211" s="3" t="s">
        <v>15</v>
      </c>
      <c r="D211" s="3" t="s">
        <v>208</v>
      </c>
      <c r="E211" s="3" t="s">
        <v>209</v>
      </c>
      <c r="F211" s="3" t="s">
        <v>210</v>
      </c>
      <c r="G211" s="3" t="s">
        <v>19</v>
      </c>
      <c r="H211" s="4">
        <v>46056</v>
      </c>
      <c r="I211" s="6"/>
      <c r="J211" s="3" t="s">
        <v>27</v>
      </c>
      <c r="K211" s="6"/>
      <c r="L211" s="6"/>
      <c r="M211" s="3">
        <v>147</v>
      </c>
    </row>
    <row r="212" spans="1:13" x14ac:dyDescent="0.25">
      <c r="A212" s="3" t="s">
        <v>247</v>
      </c>
      <c r="B212" s="3" t="s">
        <v>14</v>
      </c>
      <c r="C212" s="3" t="s">
        <v>15</v>
      </c>
      <c r="D212" s="3" t="s">
        <v>208</v>
      </c>
      <c r="E212" s="3" t="s">
        <v>209</v>
      </c>
      <c r="F212" s="3" t="s">
        <v>210</v>
      </c>
      <c r="G212" s="3" t="s">
        <v>19</v>
      </c>
      <c r="H212" s="4">
        <v>46056</v>
      </c>
      <c r="I212" s="6"/>
      <c r="J212" s="3" t="s">
        <v>27</v>
      </c>
      <c r="K212" s="6"/>
      <c r="L212" s="6"/>
      <c r="M212" s="3">
        <v>147</v>
      </c>
    </row>
    <row r="213" spans="1:13" x14ac:dyDescent="0.25">
      <c r="A213" s="3" t="s">
        <v>248</v>
      </c>
      <c r="B213" s="3" t="s">
        <v>14</v>
      </c>
      <c r="C213" s="3" t="s">
        <v>15</v>
      </c>
      <c r="D213" s="3" t="s">
        <v>208</v>
      </c>
      <c r="E213" s="3" t="s">
        <v>209</v>
      </c>
      <c r="F213" s="3" t="s">
        <v>210</v>
      </c>
      <c r="G213" s="3" t="s">
        <v>19</v>
      </c>
      <c r="H213" s="4">
        <v>45660</v>
      </c>
      <c r="I213" s="5">
        <v>46122</v>
      </c>
      <c r="J213" s="3" t="s">
        <v>20</v>
      </c>
      <c r="K213" s="3" t="s">
        <v>21</v>
      </c>
      <c r="L213" s="3" t="s">
        <v>30</v>
      </c>
      <c r="M213" s="3">
        <v>462</v>
      </c>
    </row>
    <row r="214" spans="1:13" x14ac:dyDescent="0.25">
      <c r="A214" s="3" t="s">
        <v>249</v>
      </c>
      <c r="B214" s="3" t="s">
        <v>14</v>
      </c>
      <c r="C214" s="3" t="s">
        <v>15</v>
      </c>
      <c r="D214" s="3" t="s">
        <v>208</v>
      </c>
      <c r="E214" s="3" t="s">
        <v>209</v>
      </c>
      <c r="F214" s="3" t="s">
        <v>210</v>
      </c>
      <c r="G214" s="3" t="s">
        <v>19</v>
      </c>
      <c r="H214" s="4">
        <v>46025</v>
      </c>
      <c r="I214" s="6"/>
      <c r="J214" s="3" t="s">
        <v>27</v>
      </c>
      <c r="K214" s="6"/>
      <c r="L214" s="6"/>
      <c r="M214" s="3">
        <v>178</v>
      </c>
    </row>
    <row r="215" spans="1:13" x14ac:dyDescent="0.25">
      <c r="A215" s="3" t="s">
        <v>250</v>
      </c>
      <c r="B215" s="3" t="s">
        <v>14</v>
      </c>
      <c r="C215" s="3" t="s">
        <v>15</v>
      </c>
      <c r="D215" s="3" t="s">
        <v>208</v>
      </c>
      <c r="E215" s="3" t="s">
        <v>209</v>
      </c>
      <c r="F215" s="3" t="s">
        <v>210</v>
      </c>
      <c r="G215" s="3" t="s">
        <v>19</v>
      </c>
      <c r="H215" s="4">
        <v>46176</v>
      </c>
      <c r="I215" s="5">
        <v>46199</v>
      </c>
      <c r="J215" s="3" t="s">
        <v>20</v>
      </c>
      <c r="K215" s="3" t="s">
        <v>21</v>
      </c>
      <c r="L215" s="3" t="s">
        <v>61</v>
      </c>
      <c r="M215" s="3">
        <v>23</v>
      </c>
    </row>
    <row r="216" spans="1:13" x14ac:dyDescent="0.25">
      <c r="A216" s="3" t="s">
        <v>251</v>
      </c>
      <c r="B216" s="3" t="s">
        <v>14</v>
      </c>
      <c r="C216" s="3" t="s">
        <v>15</v>
      </c>
      <c r="D216" s="3" t="s">
        <v>208</v>
      </c>
      <c r="E216" s="3" t="s">
        <v>209</v>
      </c>
      <c r="F216" s="3" t="s">
        <v>210</v>
      </c>
      <c r="G216" s="3" t="s">
        <v>19</v>
      </c>
      <c r="H216" s="4">
        <v>46176</v>
      </c>
      <c r="I216" s="5">
        <v>46198</v>
      </c>
      <c r="J216" s="3" t="s">
        <v>20</v>
      </c>
      <c r="K216" s="3" t="s">
        <v>21</v>
      </c>
      <c r="L216" s="3" t="s">
        <v>61</v>
      </c>
      <c r="M216" s="3">
        <v>22</v>
      </c>
    </row>
    <row r="217" spans="1:13" x14ac:dyDescent="0.25">
      <c r="A217" s="3" t="s">
        <v>252</v>
      </c>
      <c r="B217" s="3" t="s">
        <v>14</v>
      </c>
      <c r="C217" s="3" t="s">
        <v>15</v>
      </c>
      <c r="D217" s="3" t="s">
        <v>208</v>
      </c>
      <c r="E217" s="3" t="s">
        <v>209</v>
      </c>
      <c r="F217" s="3" t="s">
        <v>210</v>
      </c>
      <c r="G217" s="3" t="s">
        <v>19</v>
      </c>
      <c r="H217" s="8">
        <v>45780</v>
      </c>
      <c r="I217" s="6"/>
      <c r="J217" s="3" t="s">
        <v>27</v>
      </c>
      <c r="K217" s="6"/>
      <c r="L217" s="6"/>
      <c r="M217" s="3">
        <v>423</v>
      </c>
    </row>
    <row r="218" spans="1:13" x14ac:dyDescent="0.25">
      <c r="A218" s="3" t="s">
        <v>253</v>
      </c>
      <c r="B218" s="3" t="s">
        <v>14</v>
      </c>
      <c r="C218" s="3" t="s">
        <v>15</v>
      </c>
      <c r="D218" s="3" t="s">
        <v>208</v>
      </c>
      <c r="E218" s="3" t="s">
        <v>209</v>
      </c>
      <c r="F218" s="3" t="s">
        <v>210</v>
      </c>
      <c r="G218" s="3" t="s">
        <v>19</v>
      </c>
      <c r="H218" s="8">
        <v>46145</v>
      </c>
      <c r="I218" s="7">
        <v>46169</v>
      </c>
      <c r="J218" s="3" t="s">
        <v>20</v>
      </c>
      <c r="K218" s="3" t="s">
        <v>21</v>
      </c>
      <c r="L218" s="3" t="s">
        <v>33</v>
      </c>
      <c r="M218" s="3">
        <v>24</v>
      </c>
    </row>
    <row r="219" spans="1:13" x14ac:dyDescent="0.25">
      <c r="A219" s="3" t="s">
        <v>254</v>
      </c>
      <c r="B219" s="3" t="s">
        <v>14</v>
      </c>
      <c r="C219" s="3" t="s">
        <v>15</v>
      </c>
      <c r="D219" s="3" t="s">
        <v>208</v>
      </c>
      <c r="E219" s="3" t="s">
        <v>209</v>
      </c>
      <c r="F219" s="3" t="s">
        <v>210</v>
      </c>
      <c r="G219" s="3" t="s">
        <v>19</v>
      </c>
      <c r="H219" s="8">
        <v>46145</v>
      </c>
      <c r="I219" s="5">
        <v>46196</v>
      </c>
      <c r="J219" s="3" t="s">
        <v>20</v>
      </c>
      <c r="K219" s="3" t="s">
        <v>24</v>
      </c>
      <c r="L219" s="3" t="s">
        <v>41</v>
      </c>
      <c r="M219" s="3">
        <v>51</v>
      </c>
    </row>
    <row r="220" spans="1:13" x14ac:dyDescent="0.25">
      <c r="A220" s="3" t="s">
        <v>255</v>
      </c>
      <c r="B220" s="3" t="s">
        <v>14</v>
      </c>
      <c r="C220" s="3" t="s">
        <v>15</v>
      </c>
      <c r="D220" s="3" t="s">
        <v>208</v>
      </c>
      <c r="E220" s="3" t="s">
        <v>209</v>
      </c>
      <c r="F220" s="3" t="s">
        <v>210</v>
      </c>
      <c r="G220" s="3" t="s">
        <v>19</v>
      </c>
      <c r="H220" s="4">
        <v>46026</v>
      </c>
      <c r="I220" s="8">
        <v>46145</v>
      </c>
      <c r="J220" s="3" t="s">
        <v>20</v>
      </c>
      <c r="K220" s="3" t="s">
        <v>24</v>
      </c>
      <c r="L220" s="3" t="s">
        <v>55</v>
      </c>
      <c r="M220" s="3">
        <v>119</v>
      </c>
    </row>
    <row r="221" spans="1:13" x14ac:dyDescent="0.25">
      <c r="A221" s="3" t="s">
        <v>256</v>
      </c>
      <c r="B221" s="3" t="s">
        <v>14</v>
      </c>
      <c r="C221" s="3" t="s">
        <v>15</v>
      </c>
      <c r="D221" s="3" t="s">
        <v>208</v>
      </c>
      <c r="E221" s="3" t="s">
        <v>209</v>
      </c>
      <c r="F221" s="3" t="s">
        <v>210</v>
      </c>
      <c r="G221" s="3" t="s">
        <v>19</v>
      </c>
      <c r="H221" s="4">
        <v>46177</v>
      </c>
      <c r="I221" s="5">
        <v>46185</v>
      </c>
      <c r="J221" s="3" t="s">
        <v>20</v>
      </c>
      <c r="K221" s="3" t="s">
        <v>21</v>
      </c>
      <c r="L221" s="3" t="s">
        <v>30</v>
      </c>
      <c r="M221" s="3">
        <v>8</v>
      </c>
    </row>
    <row r="222" spans="1:13" x14ac:dyDescent="0.25">
      <c r="A222" s="3" t="s">
        <v>257</v>
      </c>
      <c r="B222" s="3" t="s">
        <v>14</v>
      </c>
      <c r="C222" s="3" t="s">
        <v>15</v>
      </c>
      <c r="D222" s="3" t="s">
        <v>208</v>
      </c>
      <c r="E222" s="3" t="s">
        <v>209</v>
      </c>
      <c r="F222" s="3" t="s">
        <v>210</v>
      </c>
      <c r="G222" s="3" t="s">
        <v>19</v>
      </c>
      <c r="H222" s="4">
        <v>46177</v>
      </c>
      <c r="I222" s="5">
        <v>46202</v>
      </c>
      <c r="J222" s="3" t="s">
        <v>20</v>
      </c>
      <c r="K222" s="3" t="s">
        <v>21</v>
      </c>
      <c r="L222" s="3" t="s">
        <v>33</v>
      </c>
      <c r="M222" s="3">
        <v>25</v>
      </c>
    </row>
    <row r="223" spans="1:13" x14ac:dyDescent="0.25">
      <c r="A223" s="3" t="s">
        <v>258</v>
      </c>
      <c r="B223" s="3" t="s">
        <v>14</v>
      </c>
      <c r="C223" s="3" t="s">
        <v>15</v>
      </c>
      <c r="D223" s="3" t="s">
        <v>208</v>
      </c>
      <c r="E223" s="3" t="s">
        <v>209</v>
      </c>
      <c r="F223" s="3" t="s">
        <v>210</v>
      </c>
      <c r="G223" s="3" t="s">
        <v>19</v>
      </c>
      <c r="H223" s="4">
        <v>46177</v>
      </c>
      <c r="I223" s="4">
        <v>46180</v>
      </c>
      <c r="J223" s="3" t="s">
        <v>20</v>
      </c>
      <c r="K223" s="3" t="s">
        <v>21</v>
      </c>
      <c r="L223" s="3" t="s">
        <v>22</v>
      </c>
      <c r="M223" s="3">
        <v>3</v>
      </c>
    </row>
    <row r="224" spans="1:13" x14ac:dyDescent="0.25">
      <c r="A224" s="3" t="s">
        <v>259</v>
      </c>
      <c r="B224" s="3" t="s">
        <v>14</v>
      </c>
      <c r="C224" s="3" t="s">
        <v>15</v>
      </c>
      <c r="D224" s="3" t="s">
        <v>208</v>
      </c>
      <c r="E224" s="3" t="s">
        <v>209</v>
      </c>
      <c r="F224" s="3" t="s">
        <v>210</v>
      </c>
      <c r="G224" s="3" t="s">
        <v>19</v>
      </c>
      <c r="H224" s="4">
        <v>46177</v>
      </c>
      <c r="I224" s="6"/>
      <c r="J224" s="3" t="s">
        <v>27</v>
      </c>
      <c r="K224" s="6"/>
      <c r="L224" s="6"/>
      <c r="M224" s="3">
        <v>26</v>
      </c>
    </row>
    <row r="225" spans="1:13" x14ac:dyDescent="0.25">
      <c r="A225" s="3" t="s">
        <v>260</v>
      </c>
      <c r="B225" s="3" t="s">
        <v>14</v>
      </c>
      <c r="C225" s="3" t="s">
        <v>15</v>
      </c>
      <c r="D225" s="3" t="s">
        <v>208</v>
      </c>
      <c r="E225" s="3" t="s">
        <v>209</v>
      </c>
      <c r="F225" s="3" t="s">
        <v>210</v>
      </c>
      <c r="G225" s="3" t="s">
        <v>19</v>
      </c>
      <c r="H225" s="4">
        <v>45720</v>
      </c>
      <c r="I225" s="5">
        <v>46123</v>
      </c>
      <c r="J225" s="3" t="s">
        <v>20</v>
      </c>
      <c r="K225" s="3" t="s">
        <v>24</v>
      </c>
      <c r="L225" s="3" t="s">
        <v>44</v>
      </c>
      <c r="M225" s="3">
        <v>403</v>
      </c>
    </row>
    <row r="226" spans="1:13" x14ac:dyDescent="0.25">
      <c r="A226" s="3" t="s">
        <v>261</v>
      </c>
      <c r="B226" s="3" t="s">
        <v>14</v>
      </c>
      <c r="C226" s="3" t="s">
        <v>15</v>
      </c>
      <c r="D226" s="3" t="s">
        <v>208</v>
      </c>
      <c r="E226" s="3" t="s">
        <v>209</v>
      </c>
      <c r="F226" s="3" t="s">
        <v>210</v>
      </c>
      <c r="G226" s="3" t="s">
        <v>19</v>
      </c>
      <c r="H226" s="8">
        <v>46146</v>
      </c>
      <c r="I226" s="7">
        <v>46170</v>
      </c>
      <c r="J226" s="3" t="s">
        <v>20</v>
      </c>
      <c r="K226" s="3" t="s">
        <v>21</v>
      </c>
      <c r="L226" s="3" t="s">
        <v>37</v>
      </c>
      <c r="M226" s="3">
        <v>24</v>
      </c>
    </row>
    <row r="227" spans="1:13" x14ac:dyDescent="0.25">
      <c r="A227" s="3" t="s">
        <v>262</v>
      </c>
      <c r="B227" s="3" t="s">
        <v>14</v>
      </c>
      <c r="C227" s="3" t="s">
        <v>15</v>
      </c>
      <c r="D227" s="3" t="s">
        <v>208</v>
      </c>
      <c r="E227" s="3" t="s">
        <v>209</v>
      </c>
      <c r="F227" s="3" t="s">
        <v>210</v>
      </c>
      <c r="G227" s="3" t="s">
        <v>19</v>
      </c>
      <c r="H227" s="8">
        <v>46146</v>
      </c>
      <c r="I227" s="6"/>
      <c r="J227" s="3" t="s">
        <v>27</v>
      </c>
      <c r="K227" s="6"/>
      <c r="L227" s="6"/>
      <c r="M227" s="3">
        <v>57</v>
      </c>
    </row>
    <row r="228" spans="1:13" x14ac:dyDescent="0.25">
      <c r="A228" s="3" t="s">
        <v>263</v>
      </c>
      <c r="B228" s="3" t="s">
        <v>14</v>
      </c>
      <c r="C228" s="3" t="s">
        <v>15</v>
      </c>
      <c r="D228" s="3" t="s">
        <v>208</v>
      </c>
      <c r="E228" s="3" t="s">
        <v>209</v>
      </c>
      <c r="F228" s="3" t="s">
        <v>210</v>
      </c>
      <c r="G228" s="3" t="s">
        <v>19</v>
      </c>
      <c r="H228" s="8">
        <v>46146</v>
      </c>
      <c r="I228" s="5">
        <v>46197</v>
      </c>
      <c r="J228" s="3" t="s">
        <v>20</v>
      </c>
      <c r="K228" s="3" t="s">
        <v>24</v>
      </c>
      <c r="L228" s="3" t="s">
        <v>55</v>
      </c>
      <c r="M228" s="3">
        <v>51</v>
      </c>
    </row>
    <row r="229" spans="1:13" x14ac:dyDescent="0.25">
      <c r="A229" s="3" t="s">
        <v>264</v>
      </c>
      <c r="B229" s="3" t="s">
        <v>14</v>
      </c>
      <c r="C229" s="3" t="s">
        <v>15</v>
      </c>
      <c r="D229" s="3" t="s">
        <v>208</v>
      </c>
      <c r="E229" s="3" t="s">
        <v>209</v>
      </c>
      <c r="F229" s="3" t="s">
        <v>210</v>
      </c>
      <c r="G229" s="3" t="s">
        <v>19</v>
      </c>
      <c r="H229" s="4">
        <v>45934</v>
      </c>
      <c r="I229" s="8">
        <v>46143</v>
      </c>
      <c r="J229" s="3" t="s">
        <v>20</v>
      </c>
      <c r="K229" s="3" t="s">
        <v>24</v>
      </c>
      <c r="L229" s="3" t="s">
        <v>25</v>
      </c>
      <c r="M229" s="3">
        <v>209</v>
      </c>
    </row>
    <row r="230" spans="1:13" x14ac:dyDescent="0.25">
      <c r="A230" s="3" t="s">
        <v>265</v>
      </c>
      <c r="B230" s="3" t="s">
        <v>14</v>
      </c>
      <c r="C230" s="3" t="s">
        <v>15</v>
      </c>
      <c r="D230" s="3" t="s">
        <v>208</v>
      </c>
      <c r="E230" s="3" t="s">
        <v>209</v>
      </c>
      <c r="F230" s="3" t="s">
        <v>210</v>
      </c>
      <c r="G230" s="3" t="s">
        <v>19</v>
      </c>
      <c r="H230" s="4">
        <v>46117</v>
      </c>
      <c r="I230" s="6"/>
      <c r="J230" s="3" t="s">
        <v>27</v>
      </c>
      <c r="K230" s="6"/>
      <c r="L230" s="6"/>
      <c r="M230" s="3">
        <v>86</v>
      </c>
    </row>
    <row r="231" spans="1:13" x14ac:dyDescent="0.25">
      <c r="A231" s="3" t="s">
        <v>266</v>
      </c>
      <c r="B231" s="3" t="s">
        <v>14</v>
      </c>
      <c r="C231" s="3" t="s">
        <v>15</v>
      </c>
      <c r="D231" s="3" t="s">
        <v>208</v>
      </c>
      <c r="E231" s="3" t="s">
        <v>209</v>
      </c>
      <c r="F231" s="3" t="s">
        <v>210</v>
      </c>
      <c r="G231" s="3" t="s">
        <v>19</v>
      </c>
      <c r="H231" s="4">
        <v>46117</v>
      </c>
      <c r="I231" s="4">
        <v>46121</v>
      </c>
      <c r="J231" s="3" t="s">
        <v>20</v>
      </c>
      <c r="K231" s="3" t="s">
        <v>21</v>
      </c>
      <c r="L231" s="3" t="s">
        <v>30</v>
      </c>
      <c r="M231" s="3">
        <v>4</v>
      </c>
    </row>
    <row r="232" spans="1:13" x14ac:dyDescent="0.25">
      <c r="A232" s="3" t="s">
        <v>267</v>
      </c>
      <c r="B232" s="3" t="s">
        <v>14</v>
      </c>
      <c r="C232" s="3" t="s">
        <v>15</v>
      </c>
      <c r="D232" s="3" t="s">
        <v>208</v>
      </c>
      <c r="E232" s="3" t="s">
        <v>209</v>
      </c>
      <c r="F232" s="3" t="s">
        <v>210</v>
      </c>
      <c r="G232" s="3" t="s">
        <v>19</v>
      </c>
      <c r="H232" s="4">
        <v>46178</v>
      </c>
      <c r="I232" s="6"/>
      <c r="J232" s="3" t="s">
        <v>27</v>
      </c>
      <c r="K232" s="6"/>
      <c r="L232" s="6"/>
      <c r="M232" s="3">
        <v>25</v>
      </c>
    </row>
    <row r="233" spans="1:13" x14ac:dyDescent="0.25">
      <c r="A233" s="3" t="s">
        <v>268</v>
      </c>
      <c r="B233" s="3" t="s">
        <v>14</v>
      </c>
      <c r="C233" s="3" t="s">
        <v>15</v>
      </c>
      <c r="D233" s="3" t="s">
        <v>208</v>
      </c>
      <c r="E233" s="3" t="s">
        <v>209</v>
      </c>
      <c r="F233" s="3" t="s">
        <v>210</v>
      </c>
      <c r="G233" s="3" t="s">
        <v>19</v>
      </c>
      <c r="H233" s="4">
        <v>46178</v>
      </c>
      <c r="I233" s="5">
        <v>46189</v>
      </c>
      <c r="J233" s="3" t="s">
        <v>20</v>
      </c>
      <c r="K233" s="3" t="s">
        <v>21</v>
      </c>
      <c r="L233" s="3" t="s">
        <v>22</v>
      </c>
      <c r="M233" s="3">
        <v>11</v>
      </c>
    </row>
    <row r="234" spans="1:13" x14ac:dyDescent="0.25">
      <c r="A234" s="3" t="s">
        <v>269</v>
      </c>
      <c r="B234" s="3" t="s">
        <v>14</v>
      </c>
      <c r="C234" s="3" t="s">
        <v>15</v>
      </c>
      <c r="D234" s="3" t="s">
        <v>208</v>
      </c>
      <c r="E234" s="3" t="s">
        <v>209</v>
      </c>
      <c r="F234" s="3" t="s">
        <v>210</v>
      </c>
      <c r="G234" s="3" t="s">
        <v>19</v>
      </c>
      <c r="H234" s="4">
        <v>46178</v>
      </c>
      <c r="I234" s="4">
        <v>46178</v>
      </c>
      <c r="J234" s="3" t="s">
        <v>20</v>
      </c>
      <c r="K234" s="3" t="s">
        <v>21</v>
      </c>
      <c r="L234" s="3" t="s">
        <v>37</v>
      </c>
      <c r="M234" s="3">
        <v>0</v>
      </c>
    </row>
    <row r="235" spans="1:13" x14ac:dyDescent="0.25">
      <c r="A235" s="3" t="s">
        <v>270</v>
      </c>
      <c r="B235" s="3" t="s">
        <v>14</v>
      </c>
      <c r="C235" s="3" t="s">
        <v>15</v>
      </c>
      <c r="D235" s="3" t="s">
        <v>208</v>
      </c>
      <c r="E235" s="3" t="s">
        <v>209</v>
      </c>
      <c r="F235" s="3" t="s">
        <v>210</v>
      </c>
      <c r="G235" s="3" t="s">
        <v>19</v>
      </c>
      <c r="H235" s="8">
        <v>45782</v>
      </c>
      <c r="I235" s="5">
        <v>46127</v>
      </c>
      <c r="J235" s="3" t="s">
        <v>20</v>
      </c>
      <c r="K235" s="3" t="s">
        <v>21</v>
      </c>
      <c r="L235" s="3" t="s">
        <v>30</v>
      </c>
      <c r="M235" s="3">
        <v>345</v>
      </c>
    </row>
    <row r="236" spans="1:13" x14ac:dyDescent="0.25">
      <c r="A236" s="3" t="s">
        <v>271</v>
      </c>
      <c r="B236" s="3" t="s">
        <v>14</v>
      </c>
      <c r="C236" s="3" t="s">
        <v>15</v>
      </c>
      <c r="D236" s="3" t="s">
        <v>208</v>
      </c>
      <c r="E236" s="3" t="s">
        <v>209</v>
      </c>
      <c r="F236" s="3" t="s">
        <v>210</v>
      </c>
      <c r="G236" s="3" t="s">
        <v>19</v>
      </c>
      <c r="H236" s="8">
        <v>46147</v>
      </c>
      <c r="I236" s="6"/>
      <c r="J236" s="3" t="s">
        <v>27</v>
      </c>
      <c r="K236" s="6"/>
      <c r="L236" s="6"/>
      <c r="M236" s="3">
        <v>56</v>
      </c>
    </row>
    <row r="237" spans="1:13" x14ac:dyDescent="0.25">
      <c r="A237" s="3" t="s">
        <v>272</v>
      </c>
      <c r="B237" s="3" t="s">
        <v>14</v>
      </c>
      <c r="C237" s="3" t="s">
        <v>15</v>
      </c>
      <c r="D237" s="3" t="s">
        <v>208</v>
      </c>
      <c r="E237" s="3" t="s">
        <v>209</v>
      </c>
      <c r="F237" s="3" t="s">
        <v>210</v>
      </c>
      <c r="G237" s="3" t="s">
        <v>19</v>
      </c>
      <c r="H237" s="8">
        <v>46147</v>
      </c>
      <c r="I237" s="7">
        <v>46155</v>
      </c>
      <c r="J237" s="3" t="s">
        <v>20</v>
      </c>
      <c r="K237" s="3" t="s">
        <v>21</v>
      </c>
      <c r="L237" s="3" t="s">
        <v>22</v>
      </c>
      <c r="M237" s="3">
        <v>8</v>
      </c>
    </row>
    <row r="238" spans="1:13" x14ac:dyDescent="0.25">
      <c r="A238" s="3" t="s">
        <v>273</v>
      </c>
      <c r="B238" s="3" t="s">
        <v>14</v>
      </c>
      <c r="C238" s="3" t="s">
        <v>15</v>
      </c>
      <c r="D238" s="3" t="s">
        <v>208</v>
      </c>
      <c r="E238" s="3" t="s">
        <v>209</v>
      </c>
      <c r="F238" s="3" t="s">
        <v>210</v>
      </c>
      <c r="G238" s="3" t="s">
        <v>19</v>
      </c>
      <c r="H238" s="8">
        <v>46147</v>
      </c>
      <c r="I238" s="5">
        <v>46194</v>
      </c>
      <c r="J238" s="3" t="s">
        <v>20</v>
      </c>
      <c r="K238" s="3" t="s">
        <v>24</v>
      </c>
      <c r="L238" s="3" t="s">
        <v>25</v>
      </c>
      <c r="M238" s="3">
        <v>47</v>
      </c>
    </row>
    <row r="239" spans="1:13" x14ac:dyDescent="0.25">
      <c r="A239" s="3" t="s">
        <v>274</v>
      </c>
      <c r="B239" s="3" t="s">
        <v>14</v>
      </c>
      <c r="C239" s="3" t="s">
        <v>15</v>
      </c>
      <c r="D239" s="3" t="s">
        <v>208</v>
      </c>
      <c r="E239" s="3" t="s">
        <v>209</v>
      </c>
      <c r="F239" s="3" t="s">
        <v>210</v>
      </c>
      <c r="G239" s="3" t="s">
        <v>19</v>
      </c>
      <c r="H239" s="8">
        <v>46147</v>
      </c>
      <c r="I239" s="8">
        <v>46147</v>
      </c>
      <c r="J239" s="3" t="s">
        <v>20</v>
      </c>
      <c r="K239" s="3" t="s">
        <v>21</v>
      </c>
      <c r="L239" s="3" t="s">
        <v>33</v>
      </c>
      <c r="M239" s="3">
        <v>0</v>
      </c>
    </row>
    <row r="240" spans="1:13" x14ac:dyDescent="0.25">
      <c r="A240" s="3" t="s">
        <v>275</v>
      </c>
      <c r="B240" s="3" t="s">
        <v>14</v>
      </c>
      <c r="C240" s="3" t="s">
        <v>15</v>
      </c>
      <c r="D240" s="3" t="s">
        <v>208</v>
      </c>
      <c r="E240" s="3" t="s">
        <v>209</v>
      </c>
      <c r="F240" s="3" t="s">
        <v>210</v>
      </c>
      <c r="G240" s="3" t="s">
        <v>19</v>
      </c>
      <c r="H240" s="8">
        <v>46147</v>
      </c>
      <c r="I240" s="6"/>
      <c r="J240" s="3" t="s">
        <v>27</v>
      </c>
      <c r="K240" s="6"/>
      <c r="L240" s="6"/>
      <c r="M240" s="3">
        <v>56</v>
      </c>
    </row>
    <row r="241" spans="1:13" x14ac:dyDescent="0.25">
      <c r="A241" s="3" t="s">
        <v>276</v>
      </c>
      <c r="B241" s="3" t="s">
        <v>14</v>
      </c>
      <c r="C241" s="3" t="s">
        <v>15</v>
      </c>
      <c r="D241" s="3" t="s">
        <v>208</v>
      </c>
      <c r="E241" s="3" t="s">
        <v>209</v>
      </c>
      <c r="F241" s="3" t="s">
        <v>210</v>
      </c>
      <c r="G241" s="3" t="s">
        <v>19</v>
      </c>
      <c r="H241" s="4">
        <v>45935</v>
      </c>
      <c r="I241" s="4">
        <v>46115</v>
      </c>
      <c r="J241" s="3" t="s">
        <v>20</v>
      </c>
      <c r="K241" s="3" t="s">
        <v>24</v>
      </c>
      <c r="L241" s="3" t="s">
        <v>41</v>
      </c>
      <c r="M241" s="3">
        <v>180</v>
      </c>
    </row>
    <row r="242" spans="1:13" x14ac:dyDescent="0.25">
      <c r="A242" s="3" t="s">
        <v>277</v>
      </c>
      <c r="B242" s="3" t="s">
        <v>14</v>
      </c>
      <c r="C242" s="3" t="s">
        <v>15</v>
      </c>
      <c r="D242" s="3" t="s">
        <v>208</v>
      </c>
      <c r="E242" s="3" t="s">
        <v>209</v>
      </c>
      <c r="F242" s="3" t="s">
        <v>210</v>
      </c>
      <c r="G242" s="3" t="s">
        <v>19</v>
      </c>
      <c r="H242" s="4">
        <v>46118</v>
      </c>
      <c r="I242" s="6"/>
      <c r="J242" s="3" t="s">
        <v>27</v>
      </c>
      <c r="K242" s="6"/>
      <c r="L242" s="6"/>
      <c r="M242" s="3">
        <v>85</v>
      </c>
    </row>
    <row r="243" spans="1:13" x14ac:dyDescent="0.25">
      <c r="A243" s="3" t="s">
        <v>278</v>
      </c>
      <c r="B243" s="3" t="s">
        <v>14</v>
      </c>
      <c r="C243" s="3" t="s">
        <v>15</v>
      </c>
      <c r="D243" s="3" t="s">
        <v>208</v>
      </c>
      <c r="E243" s="3" t="s">
        <v>209</v>
      </c>
      <c r="F243" s="3" t="s">
        <v>210</v>
      </c>
      <c r="G243" s="3" t="s">
        <v>19</v>
      </c>
      <c r="H243" s="4">
        <v>46118</v>
      </c>
      <c r="I243" s="8">
        <v>46144</v>
      </c>
      <c r="J243" s="3" t="s">
        <v>20</v>
      </c>
      <c r="K243" s="3" t="s">
        <v>24</v>
      </c>
      <c r="L243" s="3" t="s">
        <v>41</v>
      </c>
      <c r="M243" s="3">
        <v>26</v>
      </c>
    </row>
    <row r="244" spans="1:13" x14ac:dyDescent="0.25">
      <c r="A244" s="3" t="s">
        <v>279</v>
      </c>
      <c r="B244" s="3" t="s">
        <v>14</v>
      </c>
      <c r="C244" s="3" t="s">
        <v>15</v>
      </c>
      <c r="D244" s="3" t="s">
        <v>208</v>
      </c>
      <c r="E244" s="3" t="s">
        <v>209</v>
      </c>
      <c r="F244" s="3" t="s">
        <v>210</v>
      </c>
      <c r="G244" s="3" t="s">
        <v>19</v>
      </c>
      <c r="H244" s="4">
        <v>45875</v>
      </c>
      <c r="I244" s="6"/>
      <c r="J244" s="3" t="s">
        <v>27</v>
      </c>
      <c r="K244" s="6"/>
      <c r="L244" s="6"/>
      <c r="M244" s="3">
        <v>328</v>
      </c>
    </row>
    <row r="245" spans="1:13" x14ac:dyDescent="0.25">
      <c r="A245" s="3" t="s">
        <v>280</v>
      </c>
      <c r="B245" s="3" t="s">
        <v>14</v>
      </c>
      <c r="C245" s="3" t="s">
        <v>15</v>
      </c>
      <c r="D245" s="3" t="s">
        <v>208</v>
      </c>
      <c r="E245" s="3" t="s">
        <v>209</v>
      </c>
      <c r="F245" s="3" t="s">
        <v>210</v>
      </c>
      <c r="G245" s="3" t="s">
        <v>19</v>
      </c>
      <c r="H245" s="4">
        <v>46179</v>
      </c>
      <c r="I245" s="5">
        <v>46203</v>
      </c>
      <c r="J245" s="3" t="s">
        <v>20</v>
      </c>
      <c r="K245" s="3" t="s">
        <v>21</v>
      </c>
      <c r="L245" s="3" t="s">
        <v>50</v>
      </c>
      <c r="M245" s="3">
        <v>24</v>
      </c>
    </row>
    <row r="246" spans="1:13" x14ac:dyDescent="0.25">
      <c r="A246" s="3" t="s">
        <v>281</v>
      </c>
      <c r="B246" s="3" t="s">
        <v>14</v>
      </c>
      <c r="C246" s="3" t="s">
        <v>15</v>
      </c>
      <c r="D246" s="3" t="s">
        <v>208</v>
      </c>
      <c r="E246" s="3" t="s">
        <v>209</v>
      </c>
      <c r="F246" s="3" t="s">
        <v>210</v>
      </c>
      <c r="G246" s="3" t="s">
        <v>19</v>
      </c>
      <c r="H246" s="4">
        <v>46179</v>
      </c>
      <c r="I246" s="5">
        <v>46202</v>
      </c>
      <c r="J246" s="3" t="s">
        <v>20</v>
      </c>
      <c r="K246" s="3" t="s">
        <v>21</v>
      </c>
      <c r="L246" s="3" t="s">
        <v>33</v>
      </c>
      <c r="M246" s="3">
        <v>23</v>
      </c>
    </row>
    <row r="247" spans="1:13" x14ac:dyDescent="0.25">
      <c r="A247" s="3" t="s">
        <v>282</v>
      </c>
      <c r="B247" s="3" t="s">
        <v>14</v>
      </c>
      <c r="C247" s="3" t="s">
        <v>15</v>
      </c>
      <c r="D247" s="3" t="s">
        <v>208</v>
      </c>
      <c r="E247" s="3" t="s">
        <v>209</v>
      </c>
      <c r="F247" s="3" t="s">
        <v>210</v>
      </c>
      <c r="G247" s="3" t="s">
        <v>19</v>
      </c>
      <c r="H247" s="8">
        <v>46148</v>
      </c>
      <c r="I247" s="6"/>
      <c r="J247" s="3" t="s">
        <v>27</v>
      </c>
      <c r="K247" s="6"/>
      <c r="L247" s="6"/>
      <c r="M247" s="3">
        <v>55</v>
      </c>
    </row>
    <row r="248" spans="1:13" x14ac:dyDescent="0.25">
      <c r="A248" s="3" t="s">
        <v>283</v>
      </c>
      <c r="B248" s="3" t="s">
        <v>14</v>
      </c>
      <c r="C248" s="3" t="s">
        <v>15</v>
      </c>
      <c r="D248" s="3" t="s">
        <v>208</v>
      </c>
      <c r="E248" s="3" t="s">
        <v>209</v>
      </c>
      <c r="F248" s="3" t="s">
        <v>210</v>
      </c>
      <c r="G248" s="3" t="s">
        <v>19</v>
      </c>
      <c r="H248" s="4">
        <v>45906</v>
      </c>
      <c r="I248" s="5">
        <v>46141</v>
      </c>
      <c r="J248" s="3" t="s">
        <v>20</v>
      </c>
      <c r="K248" s="3" t="s">
        <v>24</v>
      </c>
      <c r="L248" s="3" t="s">
        <v>41</v>
      </c>
      <c r="M248" s="3">
        <v>235</v>
      </c>
    </row>
    <row r="249" spans="1:13" x14ac:dyDescent="0.25">
      <c r="A249" s="3" t="s">
        <v>284</v>
      </c>
      <c r="B249" s="3" t="s">
        <v>14</v>
      </c>
      <c r="C249" s="3" t="s">
        <v>15</v>
      </c>
      <c r="D249" s="3" t="s">
        <v>208</v>
      </c>
      <c r="E249" s="3" t="s">
        <v>209</v>
      </c>
      <c r="F249" s="3" t="s">
        <v>210</v>
      </c>
      <c r="G249" s="3" t="s">
        <v>19</v>
      </c>
      <c r="H249" s="4">
        <v>46119</v>
      </c>
      <c r="I249" s="7">
        <v>46171</v>
      </c>
      <c r="J249" s="3" t="s">
        <v>20</v>
      </c>
      <c r="K249" s="3" t="s">
        <v>24</v>
      </c>
      <c r="L249" s="3" t="s">
        <v>25</v>
      </c>
      <c r="M249" s="3">
        <v>52</v>
      </c>
    </row>
    <row r="250" spans="1:13" x14ac:dyDescent="0.25">
      <c r="A250" s="3" t="s">
        <v>285</v>
      </c>
      <c r="B250" s="3" t="s">
        <v>14</v>
      </c>
      <c r="C250" s="3" t="s">
        <v>15</v>
      </c>
      <c r="D250" s="3" t="s">
        <v>208</v>
      </c>
      <c r="E250" s="3" t="s">
        <v>209</v>
      </c>
      <c r="F250" s="3" t="s">
        <v>210</v>
      </c>
      <c r="G250" s="3" t="s">
        <v>19</v>
      </c>
      <c r="H250" s="4">
        <v>46119</v>
      </c>
      <c r="I250" s="5">
        <v>46142</v>
      </c>
      <c r="J250" s="3" t="s">
        <v>20</v>
      </c>
      <c r="K250" s="3" t="s">
        <v>21</v>
      </c>
      <c r="L250" s="3" t="s">
        <v>22</v>
      </c>
      <c r="M250" s="3">
        <v>23</v>
      </c>
    </row>
    <row r="251" spans="1:13" x14ac:dyDescent="0.25">
      <c r="A251" s="3" t="s">
        <v>286</v>
      </c>
      <c r="B251" s="3" t="s">
        <v>14</v>
      </c>
      <c r="C251" s="3" t="s">
        <v>15</v>
      </c>
      <c r="D251" s="3" t="s">
        <v>208</v>
      </c>
      <c r="E251" s="3" t="s">
        <v>209</v>
      </c>
      <c r="F251" s="3" t="s">
        <v>210</v>
      </c>
      <c r="G251" s="3" t="s">
        <v>19</v>
      </c>
      <c r="H251" s="4">
        <v>45876</v>
      </c>
      <c r="I251" s="4">
        <v>46178</v>
      </c>
      <c r="J251" s="3" t="s">
        <v>20</v>
      </c>
      <c r="K251" s="3" t="s">
        <v>24</v>
      </c>
      <c r="L251" s="3" t="s">
        <v>55</v>
      </c>
      <c r="M251" s="3">
        <v>302</v>
      </c>
    </row>
    <row r="252" spans="1:13" x14ac:dyDescent="0.25">
      <c r="A252" s="3" t="s">
        <v>287</v>
      </c>
      <c r="B252" s="3" t="s">
        <v>14</v>
      </c>
      <c r="C252" s="3" t="s">
        <v>15</v>
      </c>
      <c r="D252" s="3" t="s">
        <v>208</v>
      </c>
      <c r="E252" s="3" t="s">
        <v>209</v>
      </c>
      <c r="F252" s="3" t="s">
        <v>210</v>
      </c>
      <c r="G252" s="3" t="s">
        <v>19</v>
      </c>
      <c r="H252" s="4">
        <v>45695</v>
      </c>
      <c r="I252" s="4">
        <v>46120</v>
      </c>
      <c r="J252" s="3" t="s">
        <v>20</v>
      </c>
      <c r="K252" s="3" t="s">
        <v>24</v>
      </c>
      <c r="L252" s="3" t="s">
        <v>55</v>
      </c>
      <c r="M252" s="3">
        <v>425</v>
      </c>
    </row>
    <row r="253" spans="1:13" x14ac:dyDescent="0.25">
      <c r="A253" s="3" t="s">
        <v>288</v>
      </c>
      <c r="B253" s="3" t="s">
        <v>14</v>
      </c>
      <c r="C253" s="3" t="s">
        <v>15</v>
      </c>
      <c r="D253" s="3" t="s">
        <v>208</v>
      </c>
      <c r="E253" s="3" t="s">
        <v>209</v>
      </c>
      <c r="F253" s="3" t="s">
        <v>210</v>
      </c>
      <c r="G253" s="3" t="s">
        <v>19</v>
      </c>
      <c r="H253" s="4">
        <v>46180</v>
      </c>
      <c r="I253" s="4">
        <v>46180</v>
      </c>
      <c r="J253" s="3" t="s">
        <v>20</v>
      </c>
      <c r="K253" s="3" t="s">
        <v>21</v>
      </c>
      <c r="L253" s="3" t="s">
        <v>33</v>
      </c>
      <c r="M253" s="3">
        <v>0</v>
      </c>
    </row>
    <row r="254" spans="1:13" x14ac:dyDescent="0.25">
      <c r="A254" s="3" t="s">
        <v>289</v>
      </c>
      <c r="B254" s="3" t="s">
        <v>14</v>
      </c>
      <c r="C254" s="3" t="s">
        <v>15</v>
      </c>
      <c r="D254" s="3" t="s">
        <v>208</v>
      </c>
      <c r="E254" s="3" t="s">
        <v>209</v>
      </c>
      <c r="F254" s="3" t="s">
        <v>210</v>
      </c>
      <c r="G254" s="3" t="s">
        <v>19</v>
      </c>
      <c r="H254" s="4">
        <v>46180</v>
      </c>
      <c r="I254" s="6"/>
      <c r="J254" s="3" t="s">
        <v>27</v>
      </c>
      <c r="K254" s="6"/>
      <c r="L254" s="6"/>
      <c r="M254" s="3">
        <v>23</v>
      </c>
    </row>
    <row r="255" spans="1:13" x14ac:dyDescent="0.25">
      <c r="A255" s="3" t="s">
        <v>290</v>
      </c>
      <c r="B255" s="3" t="s">
        <v>14</v>
      </c>
      <c r="C255" s="3" t="s">
        <v>15</v>
      </c>
      <c r="D255" s="3" t="s">
        <v>208</v>
      </c>
      <c r="E255" s="3" t="s">
        <v>209</v>
      </c>
      <c r="F255" s="3" t="s">
        <v>210</v>
      </c>
      <c r="G255" s="3" t="s">
        <v>19</v>
      </c>
      <c r="H255" s="4">
        <v>46088</v>
      </c>
      <c r="I255" s="6"/>
      <c r="J255" s="3" t="s">
        <v>27</v>
      </c>
      <c r="K255" s="6"/>
      <c r="L255" s="6"/>
      <c r="M255" s="3">
        <v>115</v>
      </c>
    </row>
    <row r="256" spans="1:13" x14ac:dyDescent="0.25">
      <c r="A256" s="3" t="s">
        <v>291</v>
      </c>
      <c r="B256" s="3" t="s">
        <v>14</v>
      </c>
      <c r="C256" s="3" t="s">
        <v>15</v>
      </c>
      <c r="D256" s="3" t="s">
        <v>208</v>
      </c>
      <c r="E256" s="3" t="s">
        <v>209</v>
      </c>
      <c r="F256" s="3" t="s">
        <v>210</v>
      </c>
      <c r="G256" s="3" t="s">
        <v>19</v>
      </c>
      <c r="H256" s="8">
        <v>45784</v>
      </c>
      <c r="I256" s="5">
        <v>46188</v>
      </c>
      <c r="J256" s="3" t="s">
        <v>20</v>
      </c>
      <c r="K256" s="3" t="s">
        <v>24</v>
      </c>
      <c r="L256" s="3" t="s">
        <v>55</v>
      </c>
      <c r="M256" s="3">
        <v>404</v>
      </c>
    </row>
    <row r="257" spans="1:13" x14ac:dyDescent="0.25">
      <c r="A257" s="3" t="s">
        <v>292</v>
      </c>
      <c r="B257" s="3" t="s">
        <v>14</v>
      </c>
      <c r="C257" s="3" t="s">
        <v>15</v>
      </c>
      <c r="D257" s="3" t="s">
        <v>208</v>
      </c>
      <c r="E257" s="3" t="s">
        <v>209</v>
      </c>
      <c r="F257" s="3" t="s">
        <v>210</v>
      </c>
      <c r="G257" s="3" t="s">
        <v>19</v>
      </c>
      <c r="H257" s="8">
        <v>46149</v>
      </c>
      <c r="I257" s="7">
        <v>46169</v>
      </c>
      <c r="J257" s="3" t="s">
        <v>20</v>
      </c>
      <c r="K257" s="3" t="s">
        <v>21</v>
      </c>
      <c r="L257" s="3" t="s">
        <v>61</v>
      </c>
      <c r="M257" s="3">
        <v>20</v>
      </c>
    </row>
    <row r="258" spans="1:13" x14ac:dyDescent="0.25">
      <c r="A258" s="3" t="s">
        <v>293</v>
      </c>
      <c r="B258" s="3" t="s">
        <v>14</v>
      </c>
      <c r="C258" s="3" t="s">
        <v>15</v>
      </c>
      <c r="D258" s="3" t="s">
        <v>208</v>
      </c>
      <c r="E258" s="3" t="s">
        <v>209</v>
      </c>
      <c r="F258" s="3" t="s">
        <v>210</v>
      </c>
      <c r="G258" s="3" t="s">
        <v>19</v>
      </c>
      <c r="H258" s="8">
        <v>46149</v>
      </c>
      <c r="I258" s="7">
        <v>46157</v>
      </c>
      <c r="J258" s="3" t="s">
        <v>20</v>
      </c>
      <c r="K258" s="3" t="s">
        <v>21</v>
      </c>
      <c r="L258" s="3" t="s">
        <v>61</v>
      </c>
      <c r="M258" s="3">
        <v>8</v>
      </c>
    </row>
    <row r="259" spans="1:13" x14ac:dyDescent="0.25">
      <c r="A259" s="3" t="s">
        <v>294</v>
      </c>
      <c r="B259" s="3" t="s">
        <v>14</v>
      </c>
      <c r="C259" s="3" t="s">
        <v>15</v>
      </c>
      <c r="D259" s="3" t="s">
        <v>208</v>
      </c>
      <c r="E259" s="3" t="s">
        <v>209</v>
      </c>
      <c r="F259" s="3" t="s">
        <v>210</v>
      </c>
      <c r="G259" s="3" t="s">
        <v>19</v>
      </c>
      <c r="H259" s="8">
        <v>46149</v>
      </c>
      <c r="I259" s="6"/>
      <c r="J259" s="3" t="s">
        <v>27</v>
      </c>
      <c r="K259" s="6"/>
      <c r="L259" s="6"/>
      <c r="M259" s="3">
        <v>54</v>
      </c>
    </row>
    <row r="260" spans="1:13" x14ac:dyDescent="0.25">
      <c r="A260" s="3" t="s">
        <v>295</v>
      </c>
      <c r="B260" s="3" t="s">
        <v>14</v>
      </c>
      <c r="C260" s="3" t="s">
        <v>15</v>
      </c>
      <c r="D260" s="3" t="s">
        <v>208</v>
      </c>
      <c r="E260" s="3" t="s">
        <v>209</v>
      </c>
      <c r="F260" s="3" t="s">
        <v>210</v>
      </c>
      <c r="G260" s="3" t="s">
        <v>19</v>
      </c>
      <c r="H260" s="4">
        <v>46120</v>
      </c>
      <c r="I260" s="7">
        <v>46169</v>
      </c>
      <c r="J260" s="3" t="s">
        <v>20</v>
      </c>
      <c r="K260" s="3" t="s">
        <v>24</v>
      </c>
      <c r="L260" s="3" t="s">
        <v>41</v>
      </c>
      <c r="M260" s="3">
        <v>49</v>
      </c>
    </row>
    <row r="261" spans="1:13" x14ac:dyDescent="0.25">
      <c r="A261" s="3" t="s">
        <v>296</v>
      </c>
      <c r="B261" s="3" t="s">
        <v>14</v>
      </c>
      <c r="C261" s="3" t="s">
        <v>15</v>
      </c>
      <c r="D261" s="3" t="s">
        <v>208</v>
      </c>
      <c r="E261" s="3" t="s">
        <v>209</v>
      </c>
      <c r="F261" s="3" t="s">
        <v>210</v>
      </c>
      <c r="G261" s="3" t="s">
        <v>19</v>
      </c>
      <c r="H261" s="4">
        <v>46120</v>
      </c>
      <c r="I261" s="8">
        <v>46145</v>
      </c>
      <c r="J261" s="3" t="s">
        <v>20</v>
      </c>
      <c r="K261" s="3" t="s">
        <v>24</v>
      </c>
      <c r="L261" s="3" t="s">
        <v>55</v>
      </c>
      <c r="M261" s="3">
        <v>25</v>
      </c>
    </row>
    <row r="262" spans="1:13" x14ac:dyDescent="0.25">
      <c r="A262" s="3" t="s">
        <v>297</v>
      </c>
      <c r="B262" s="3" t="s">
        <v>14</v>
      </c>
      <c r="C262" s="3" t="s">
        <v>15</v>
      </c>
      <c r="D262" s="3" t="s">
        <v>208</v>
      </c>
      <c r="E262" s="3" t="s">
        <v>209</v>
      </c>
      <c r="F262" s="3" t="s">
        <v>210</v>
      </c>
      <c r="G262" s="3" t="s">
        <v>19</v>
      </c>
      <c r="H262" s="4">
        <v>46120</v>
      </c>
      <c r="I262" s="8">
        <v>46145</v>
      </c>
      <c r="J262" s="3" t="s">
        <v>20</v>
      </c>
      <c r="K262" s="3" t="s">
        <v>24</v>
      </c>
      <c r="L262" s="3" t="s">
        <v>41</v>
      </c>
      <c r="M262" s="3">
        <v>25</v>
      </c>
    </row>
    <row r="263" spans="1:13" x14ac:dyDescent="0.25">
      <c r="A263" s="3" t="s">
        <v>298</v>
      </c>
      <c r="B263" s="3" t="s">
        <v>14</v>
      </c>
      <c r="C263" s="3" t="s">
        <v>15</v>
      </c>
      <c r="D263" s="3" t="s">
        <v>208</v>
      </c>
      <c r="E263" s="3" t="s">
        <v>209</v>
      </c>
      <c r="F263" s="3" t="s">
        <v>210</v>
      </c>
      <c r="G263" s="3" t="s">
        <v>19</v>
      </c>
      <c r="H263" s="4">
        <v>45999</v>
      </c>
      <c r="I263" s="6"/>
      <c r="J263" s="3" t="s">
        <v>27</v>
      </c>
      <c r="K263" s="6"/>
      <c r="L263" s="6"/>
      <c r="M263" s="3">
        <v>204</v>
      </c>
    </row>
    <row r="264" spans="1:13" x14ac:dyDescent="0.25">
      <c r="A264" s="3" t="s">
        <v>299</v>
      </c>
      <c r="B264" s="3" t="s">
        <v>14</v>
      </c>
      <c r="C264" s="3" t="s">
        <v>15</v>
      </c>
      <c r="D264" s="3" t="s">
        <v>208</v>
      </c>
      <c r="E264" s="3" t="s">
        <v>209</v>
      </c>
      <c r="F264" s="3" t="s">
        <v>210</v>
      </c>
      <c r="G264" s="3" t="s">
        <v>19</v>
      </c>
      <c r="H264" s="4">
        <v>46181</v>
      </c>
      <c r="I264" s="6"/>
      <c r="J264" s="3" t="s">
        <v>27</v>
      </c>
      <c r="K264" s="6"/>
      <c r="L264" s="6"/>
      <c r="M264" s="3">
        <v>22</v>
      </c>
    </row>
    <row r="265" spans="1:13" x14ac:dyDescent="0.25">
      <c r="A265" s="3" t="s">
        <v>300</v>
      </c>
      <c r="B265" s="3" t="s">
        <v>14</v>
      </c>
      <c r="C265" s="3" t="s">
        <v>15</v>
      </c>
      <c r="D265" s="3" t="s">
        <v>208</v>
      </c>
      <c r="E265" s="3" t="s">
        <v>209</v>
      </c>
      <c r="F265" s="3" t="s">
        <v>210</v>
      </c>
      <c r="G265" s="3" t="s">
        <v>19</v>
      </c>
      <c r="H265" s="4">
        <v>46181</v>
      </c>
      <c r="I265" s="6"/>
      <c r="J265" s="3" t="s">
        <v>27</v>
      </c>
      <c r="K265" s="6"/>
      <c r="L265" s="6"/>
      <c r="M265" s="3">
        <v>22</v>
      </c>
    </row>
    <row r="266" spans="1:13" x14ac:dyDescent="0.25">
      <c r="A266" s="3" t="s">
        <v>301</v>
      </c>
      <c r="B266" s="3" t="s">
        <v>14</v>
      </c>
      <c r="C266" s="3" t="s">
        <v>15</v>
      </c>
      <c r="D266" s="3" t="s">
        <v>208</v>
      </c>
      <c r="E266" s="3" t="s">
        <v>209</v>
      </c>
      <c r="F266" s="3" t="s">
        <v>210</v>
      </c>
      <c r="G266" s="3" t="s">
        <v>19</v>
      </c>
      <c r="H266" s="8">
        <v>45785</v>
      </c>
      <c r="I266" s="5">
        <v>46136</v>
      </c>
      <c r="J266" s="3" t="s">
        <v>20</v>
      </c>
      <c r="K266" s="3" t="s">
        <v>24</v>
      </c>
      <c r="L266" s="3" t="s">
        <v>44</v>
      </c>
      <c r="M266" s="3">
        <v>351</v>
      </c>
    </row>
    <row r="267" spans="1:13" x14ac:dyDescent="0.25">
      <c r="A267" s="3" t="s">
        <v>302</v>
      </c>
      <c r="B267" s="3" t="s">
        <v>14</v>
      </c>
      <c r="C267" s="3" t="s">
        <v>15</v>
      </c>
      <c r="D267" s="3" t="s">
        <v>208</v>
      </c>
      <c r="E267" s="3" t="s">
        <v>209</v>
      </c>
      <c r="F267" s="3" t="s">
        <v>210</v>
      </c>
      <c r="G267" s="3" t="s">
        <v>19</v>
      </c>
      <c r="H267" s="8">
        <v>46150</v>
      </c>
      <c r="I267" s="6"/>
      <c r="J267" s="3" t="s">
        <v>27</v>
      </c>
      <c r="K267" s="6"/>
      <c r="L267" s="6"/>
      <c r="M267" s="3">
        <v>53</v>
      </c>
    </row>
    <row r="268" spans="1:13" x14ac:dyDescent="0.25">
      <c r="A268" s="3" t="s">
        <v>303</v>
      </c>
      <c r="B268" s="3" t="s">
        <v>14</v>
      </c>
      <c r="C268" s="3" t="s">
        <v>15</v>
      </c>
      <c r="D268" s="3" t="s">
        <v>208</v>
      </c>
      <c r="E268" s="3" t="s">
        <v>209</v>
      </c>
      <c r="F268" s="3" t="s">
        <v>210</v>
      </c>
      <c r="G268" s="3" t="s">
        <v>19</v>
      </c>
      <c r="H268" s="8">
        <v>46150</v>
      </c>
      <c r="I268" s="6"/>
      <c r="J268" s="3" t="s">
        <v>27</v>
      </c>
      <c r="K268" s="6"/>
      <c r="L268" s="6"/>
      <c r="M268" s="3">
        <v>53</v>
      </c>
    </row>
    <row r="269" spans="1:13" x14ac:dyDescent="0.25">
      <c r="A269" s="3" t="s">
        <v>304</v>
      </c>
      <c r="B269" s="3" t="s">
        <v>14</v>
      </c>
      <c r="C269" s="3" t="s">
        <v>15</v>
      </c>
      <c r="D269" s="3" t="s">
        <v>208</v>
      </c>
      <c r="E269" s="3" t="s">
        <v>209</v>
      </c>
      <c r="F269" s="3" t="s">
        <v>210</v>
      </c>
      <c r="G269" s="3" t="s">
        <v>19</v>
      </c>
      <c r="H269" s="8">
        <v>46150</v>
      </c>
      <c r="I269" s="6"/>
      <c r="J269" s="3" t="s">
        <v>27</v>
      </c>
      <c r="K269" s="6"/>
      <c r="L269" s="6"/>
      <c r="M269" s="3">
        <v>53</v>
      </c>
    </row>
    <row r="270" spans="1:13" x14ac:dyDescent="0.25">
      <c r="A270" s="3" t="s">
        <v>305</v>
      </c>
      <c r="B270" s="3" t="s">
        <v>14</v>
      </c>
      <c r="C270" s="3" t="s">
        <v>15</v>
      </c>
      <c r="D270" s="3" t="s">
        <v>208</v>
      </c>
      <c r="E270" s="3" t="s">
        <v>209</v>
      </c>
      <c r="F270" s="3" t="s">
        <v>210</v>
      </c>
      <c r="G270" s="3" t="s">
        <v>19</v>
      </c>
      <c r="H270" s="4">
        <v>45938</v>
      </c>
      <c r="I270" s="5">
        <v>46137</v>
      </c>
      <c r="J270" s="3" t="s">
        <v>20</v>
      </c>
      <c r="K270" s="3" t="s">
        <v>24</v>
      </c>
      <c r="L270" s="3" t="s">
        <v>44</v>
      </c>
      <c r="M270" s="3">
        <v>199</v>
      </c>
    </row>
    <row r="271" spans="1:13" x14ac:dyDescent="0.25">
      <c r="A271" s="3" t="s">
        <v>306</v>
      </c>
      <c r="B271" s="3" t="s">
        <v>14</v>
      </c>
      <c r="C271" s="3" t="s">
        <v>15</v>
      </c>
      <c r="D271" s="3" t="s">
        <v>208</v>
      </c>
      <c r="E271" s="3" t="s">
        <v>209</v>
      </c>
      <c r="F271" s="3" t="s">
        <v>210</v>
      </c>
      <c r="G271" s="3" t="s">
        <v>19</v>
      </c>
      <c r="H271" s="4">
        <v>46121</v>
      </c>
      <c r="I271" s="4">
        <v>46180</v>
      </c>
      <c r="J271" s="3" t="s">
        <v>20</v>
      </c>
      <c r="K271" s="3" t="s">
        <v>24</v>
      </c>
      <c r="L271" s="3" t="s">
        <v>25</v>
      </c>
      <c r="M271" s="3">
        <v>59</v>
      </c>
    </row>
    <row r="272" spans="1:13" x14ac:dyDescent="0.25">
      <c r="A272" s="3" t="s">
        <v>307</v>
      </c>
      <c r="B272" s="3" t="s">
        <v>14</v>
      </c>
      <c r="C272" s="3" t="s">
        <v>15</v>
      </c>
      <c r="D272" s="3" t="s">
        <v>208</v>
      </c>
      <c r="E272" s="3" t="s">
        <v>209</v>
      </c>
      <c r="F272" s="3" t="s">
        <v>210</v>
      </c>
      <c r="G272" s="3" t="s">
        <v>19</v>
      </c>
      <c r="H272" s="4">
        <v>46121</v>
      </c>
      <c r="I272" s="5">
        <v>46139</v>
      </c>
      <c r="J272" s="3" t="s">
        <v>20</v>
      </c>
      <c r="K272" s="3" t="s">
        <v>21</v>
      </c>
      <c r="L272" s="3" t="s">
        <v>37</v>
      </c>
      <c r="M272" s="3">
        <v>18</v>
      </c>
    </row>
    <row r="273" spans="1:13" x14ac:dyDescent="0.25">
      <c r="A273" s="3" t="s">
        <v>308</v>
      </c>
      <c r="B273" s="3" t="s">
        <v>14</v>
      </c>
      <c r="C273" s="3" t="s">
        <v>15</v>
      </c>
      <c r="D273" s="3" t="s">
        <v>208</v>
      </c>
      <c r="E273" s="3" t="s">
        <v>209</v>
      </c>
      <c r="F273" s="3" t="s">
        <v>210</v>
      </c>
      <c r="G273" s="3" t="s">
        <v>19</v>
      </c>
      <c r="H273" s="4">
        <v>46121</v>
      </c>
      <c r="I273" s="7">
        <v>46166</v>
      </c>
      <c r="J273" s="3" t="s">
        <v>20</v>
      </c>
      <c r="K273" s="3" t="s">
        <v>24</v>
      </c>
      <c r="L273" s="3" t="s">
        <v>44</v>
      </c>
      <c r="M273" s="3">
        <v>45</v>
      </c>
    </row>
    <row r="274" spans="1:13" x14ac:dyDescent="0.25">
      <c r="A274" s="3" t="s">
        <v>309</v>
      </c>
      <c r="B274" s="3" t="s">
        <v>14</v>
      </c>
      <c r="C274" s="3" t="s">
        <v>15</v>
      </c>
      <c r="D274" s="3" t="s">
        <v>208</v>
      </c>
      <c r="E274" s="3" t="s">
        <v>209</v>
      </c>
      <c r="F274" s="3" t="s">
        <v>210</v>
      </c>
      <c r="G274" s="3" t="s">
        <v>19</v>
      </c>
      <c r="H274" s="4">
        <v>46121</v>
      </c>
      <c r="I274" s="7">
        <v>46157</v>
      </c>
      <c r="J274" s="3" t="s">
        <v>20</v>
      </c>
      <c r="K274" s="3" t="s">
        <v>24</v>
      </c>
      <c r="L274" s="3" t="s">
        <v>55</v>
      </c>
      <c r="M274" s="3">
        <v>36</v>
      </c>
    </row>
    <row r="275" spans="1:13" x14ac:dyDescent="0.25">
      <c r="A275" s="3" t="s">
        <v>310</v>
      </c>
      <c r="B275" s="3" t="s">
        <v>14</v>
      </c>
      <c r="C275" s="3" t="s">
        <v>15</v>
      </c>
      <c r="D275" s="3" t="s">
        <v>208</v>
      </c>
      <c r="E275" s="3" t="s">
        <v>209</v>
      </c>
      <c r="F275" s="3" t="s">
        <v>210</v>
      </c>
      <c r="G275" s="3" t="s">
        <v>19</v>
      </c>
      <c r="H275" s="4">
        <v>45697</v>
      </c>
      <c r="I275" s="7">
        <v>46154</v>
      </c>
      <c r="J275" s="3" t="s">
        <v>20</v>
      </c>
      <c r="K275" s="3" t="s">
        <v>24</v>
      </c>
      <c r="L275" s="3" t="s">
        <v>25</v>
      </c>
      <c r="M275" s="3">
        <v>457</v>
      </c>
    </row>
    <row r="276" spans="1:13" x14ac:dyDescent="0.25">
      <c r="A276" s="3" t="s">
        <v>311</v>
      </c>
      <c r="B276" s="3" t="s">
        <v>14</v>
      </c>
      <c r="C276" s="3" t="s">
        <v>15</v>
      </c>
      <c r="D276" s="3" t="s">
        <v>208</v>
      </c>
      <c r="E276" s="3" t="s">
        <v>209</v>
      </c>
      <c r="F276" s="3" t="s">
        <v>210</v>
      </c>
      <c r="G276" s="3" t="s">
        <v>19</v>
      </c>
      <c r="H276" s="4">
        <v>46182</v>
      </c>
      <c r="I276" s="5">
        <v>46184</v>
      </c>
      <c r="J276" s="3" t="s">
        <v>20</v>
      </c>
      <c r="K276" s="3" t="s">
        <v>21</v>
      </c>
      <c r="L276" s="3" t="s">
        <v>33</v>
      </c>
      <c r="M276" s="3">
        <v>2</v>
      </c>
    </row>
    <row r="277" spans="1:13" x14ac:dyDescent="0.25">
      <c r="A277" s="3" t="s">
        <v>312</v>
      </c>
      <c r="B277" s="3" t="s">
        <v>14</v>
      </c>
      <c r="C277" s="3" t="s">
        <v>15</v>
      </c>
      <c r="D277" s="3" t="s">
        <v>208</v>
      </c>
      <c r="E277" s="3" t="s">
        <v>209</v>
      </c>
      <c r="F277" s="3" t="s">
        <v>210</v>
      </c>
      <c r="G277" s="3" t="s">
        <v>19</v>
      </c>
      <c r="H277" s="4">
        <v>46182</v>
      </c>
      <c r="I277" s="6"/>
      <c r="J277" s="3" t="s">
        <v>27</v>
      </c>
      <c r="K277" s="6"/>
      <c r="L277" s="6"/>
      <c r="M277" s="3">
        <v>21</v>
      </c>
    </row>
    <row r="278" spans="1:13" x14ac:dyDescent="0.25">
      <c r="A278" s="3" t="s">
        <v>313</v>
      </c>
      <c r="B278" s="3" t="s">
        <v>14</v>
      </c>
      <c r="C278" s="3" t="s">
        <v>15</v>
      </c>
      <c r="D278" s="3" t="s">
        <v>208</v>
      </c>
      <c r="E278" s="3" t="s">
        <v>209</v>
      </c>
      <c r="F278" s="3" t="s">
        <v>210</v>
      </c>
      <c r="G278" s="3" t="s">
        <v>19</v>
      </c>
      <c r="H278" s="4">
        <v>46182</v>
      </c>
      <c r="I278" s="6"/>
      <c r="J278" s="3" t="s">
        <v>27</v>
      </c>
      <c r="K278" s="6"/>
      <c r="L278" s="6"/>
      <c r="M278" s="3">
        <v>21</v>
      </c>
    </row>
    <row r="279" spans="1:13" x14ac:dyDescent="0.25">
      <c r="A279" s="3" t="s">
        <v>314</v>
      </c>
      <c r="B279" s="3" t="s">
        <v>14</v>
      </c>
      <c r="C279" s="3" t="s">
        <v>15</v>
      </c>
      <c r="D279" s="3" t="s">
        <v>208</v>
      </c>
      <c r="E279" s="3" t="s">
        <v>209</v>
      </c>
      <c r="F279" s="3" t="s">
        <v>210</v>
      </c>
      <c r="G279" s="3" t="s">
        <v>19</v>
      </c>
      <c r="H279" s="8">
        <v>46151</v>
      </c>
      <c r="I279" s="8">
        <v>46151</v>
      </c>
      <c r="J279" s="3" t="s">
        <v>20</v>
      </c>
      <c r="K279" s="3" t="s">
        <v>21</v>
      </c>
      <c r="L279" s="3" t="s">
        <v>30</v>
      </c>
      <c r="M279" s="3">
        <v>0</v>
      </c>
    </row>
    <row r="280" spans="1:13" x14ac:dyDescent="0.25">
      <c r="A280" s="3" t="s">
        <v>315</v>
      </c>
      <c r="B280" s="3" t="s">
        <v>14</v>
      </c>
      <c r="C280" s="3" t="s">
        <v>15</v>
      </c>
      <c r="D280" s="3" t="s">
        <v>208</v>
      </c>
      <c r="E280" s="3" t="s">
        <v>209</v>
      </c>
      <c r="F280" s="3" t="s">
        <v>210</v>
      </c>
      <c r="G280" s="3" t="s">
        <v>19</v>
      </c>
      <c r="H280" s="8">
        <v>46151</v>
      </c>
      <c r="I280" s="6"/>
      <c r="J280" s="3" t="s">
        <v>27</v>
      </c>
      <c r="K280" s="6"/>
      <c r="L280" s="6"/>
      <c r="M280" s="3">
        <v>52</v>
      </c>
    </row>
    <row r="281" spans="1:13" x14ac:dyDescent="0.25">
      <c r="A281" s="3" t="s">
        <v>316</v>
      </c>
      <c r="B281" s="3" t="s">
        <v>14</v>
      </c>
      <c r="C281" s="3" t="s">
        <v>15</v>
      </c>
      <c r="D281" s="3" t="s">
        <v>208</v>
      </c>
      <c r="E281" s="3" t="s">
        <v>209</v>
      </c>
      <c r="F281" s="3" t="s">
        <v>210</v>
      </c>
      <c r="G281" s="3" t="s">
        <v>19</v>
      </c>
      <c r="H281" s="8">
        <v>46151</v>
      </c>
      <c r="I281" s="6"/>
      <c r="J281" s="3" t="s">
        <v>27</v>
      </c>
      <c r="K281" s="6"/>
      <c r="L281" s="6"/>
      <c r="M281" s="3">
        <v>52</v>
      </c>
    </row>
    <row r="282" spans="1:13" x14ac:dyDescent="0.25">
      <c r="A282" s="3" t="s">
        <v>317</v>
      </c>
      <c r="B282" s="3" t="s">
        <v>14</v>
      </c>
      <c r="C282" s="3" t="s">
        <v>15</v>
      </c>
      <c r="D282" s="3" t="s">
        <v>208</v>
      </c>
      <c r="E282" s="3" t="s">
        <v>209</v>
      </c>
      <c r="F282" s="3" t="s">
        <v>210</v>
      </c>
      <c r="G282" s="3" t="s">
        <v>19</v>
      </c>
      <c r="H282" s="8">
        <v>46151</v>
      </c>
      <c r="I282" s="6"/>
      <c r="J282" s="3" t="s">
        <v>27</v>
      </c>
      <c r="K282" s="6"/>
      <c r="L282" s="6"/>
      <c r="M282" s="3">
        <v>52</v>
      </c>
    </row>
    <row r="283" spans="1:13" x14ac:dyDescent="0.25">
      <c r="A283" s="3" t="s">
        <v>318</v>
      </c>
      <c r="B283" s="3" t="s">
        <v>14</v>
      </c>
      <c r="C283" s="3" t="s">
        <v>15</v>
      </c>
      <c r="D283" s="3" t="s">
        <v>208</v>
      </c>
      <c r="E283" s="3" t="s">
        <v>209</v>
      </c>
      <c r="F283" s="3" t="s">
        <v>210</v>
      </c>
      <c r="G283" s="3" t="s">
        <v>19</v>
      </c>
      <c r="H283" s="4">
        <v>45970</v>
      </c>
      <c r="I283" s="7">
        <v>46156</v>
      </c>
      <c r="J283" s="3" t="s">
        <v>20</v>
      </c>
      <c r="K283" s="3" t="s">
        <v>24</v>
      </c>
      <c r="L283" s="3" t="s">
        <v>41</v>
      </c>
      <c r="M283" s="3">
        <v>186</v>
      </c>
    </row>
    <row r="284" spans="1:13" x14ac:dyDescent="0.25">
      <c r="A284" s="3" t="s">
        <v>319</v>
      </c>
      <c r="B284" s="3" t="s">
        <v>14</v>
      </c>
      <c r="C284" s="3" t="s">
        <v>15</v>
      </c>
      <c r="D284" s="3" t="s">
        <v>208</v>
      </c>
      <c r="E284" s="3" t="s">
        <v>209</v>
      </c>
      <c r="F284" s="3" t="s">
        <v>210</v>
      </c>
      <c r="G284" s="3" t="s">
        <v>19</v>
      </c>
      <c r="H284" s="5">
        <v>45757</v>
      </c>
      <c r="I284" s="6"/>
      <c r="J284" s="3" t="s">
        <v>27</v>
      </c>
      <c r="K284" s="6"/>
      <c r="L284" s="6"/>
      <c r="M284" s="3">
        <v>446</v>
      </c>
    </row>
    <row r="285" spans="1:13" x14ac:dyDescent="0.25">
      <c r="A285" s="3" t="s">
        <v>320</v>
      </c>
      <c r="B285" s="3" t="s">
        <v>14</v>
      </c>
      <c r="C285" s="3" t="s">
        <v>15</v>
      </c>
      <c r="D285" s="3" t="s">
        <v>208</v>
      </c>
      <c r="E285" s="3" t="s">
        <v>209</v>
      </c>
      <c r="F285" s="3" t="s">
        <v>210</v>
      </c>
      <c r="G285" s="3" t="s">
        <v>19</v>
      </c>
      <c r="H285" s="5">
        <v>46122</v>
      </c>
      <c r="I285" s="6"/>
      <c r="J285" s="3" t="s">
        <v>27</v>
      </c>
      <c r="K285" s="6"/>
      <c r="L285" s="6"/>
      <c r="M285" s="3">
        <v>81</v>
      </c>
    </row>
    <row r="286" spans="1:13" x14ac:dyDescent="0.25">
      <c r="A286" s="3" t="s">
        <v>321</v>
      </c>
      <c r="B286" s="3" t="s">
        <v>14</v>
      </c>
      <c r="C286" s="3" t="s">
        <v>15</v>
      </c>
      <c r="D286" s="3" t="s">
        <v>208</v>
      </c>
      <c r="E286" s="3" t="s">
        <v>209</v>
      </c>
      <c r="F286" s="3" t="s">
        <v>210</v>
      </c>
      <c r="G286" s="3" t="s">
        <v>19</v>
      </c>
      <c r="H286" s="5">
        <v>46183</v>
      </c>
      <c r="I286" s="5">
        <v>46191</v>
      </c>
      <c r="J286" s="3" t="s">
        <v>20</v>
      </c>
      <c r="K286" s="3" t="s">
        <v>21</v>
      </c>
      <c r="L286" s="3" t="s">
        <v>50</v>
      </c>
      <c r="M286" s="3">
        <v>8</v>
      </c>
    </row>
    <row r="287" spans="1:13" x14ac:dyDescent="0.25">
      <c r="A287" s="3" t="s">
        <v>322</v>
      </c>
      <c r="B287" s="3" t="s">
        <v>14</v>
      </c>
      <c r="C287" s="3" t="s">
        <v>15</v>
      </c>
      <c r="D287" s="3" t="s">
        <v>208</v>
      </c>
      <c r="E287" s="3" t="s">
        <v>209</v>
      </c>
      <c r="F287" s="3" t="s">
        <v>210</v>
      </c>
      <c r="G287" s="3" t="s">
        <v>19</v>
      </c>
      <c r="H287" s="5">
        <v>46183</v>
      </c>
      <c r="I287" s="5">
        <v>46188</v>
      </c>
      <c r="J287" s="3" t="s">
        <v>20</v>
      </c>
      <c r="K287" s="3" t="s">
        <v>21</v>
      </c>
      <c r="L287" s="3" t="s">
        <v>33</v>
      </c>
      <c r="M287" s="3">
        <v>5</v>
      </c>
    </row>
    <row r="288" spans="1:13" x14ac:dyDescent="0.25">
      <c r="A288" s="3" t="s">
        <v>323</v>
      </c>
      <c r="B288" s="3" t="s">
        <v>14</v>
      </c>
      <c r="C288" s="3" t="s">
        <v>15</v>
      </c>
      <c r="D288" s="3" t="s">
        <v>208</v>
      </c>
      <c r="E288" s="3" t="s">
        <v>209</v>
      </c>
      <c r="F288" s="3" t="s">
        <v>210</v>
      </c>
      <c r="G288" s="3" t="s">
        <v>19</v>
      </c>
      <c r="H288" s="5">
        <v>46183</v>
      </c>
      <c r="I288" s="6"/>
      <c r="J288" s="3" t="s">
        <v>27</v>
      </c>
      <c r="K288" s="6"/>
      <c r="L288" s="6"/>
      <c r="M288" s="3">
        <v>20</v>
      </c>
    </row>
    <row r="289" spans="1:13" x14ac:dyDescent="0.25">
      <c r="A289" s="3" t="s">
        <v>324</v>
      </c>
      <c r="B289" s="3" t="s">
        <v>14</v>
      </c>
      <c r="C289" s="3" t="s">
        <v>15</v>
      </c>
      <c r="D289" s="3" t="s">
        <v>208</v>
      </c>
      <c r="E289" s="3" t="s">
        <v>209</v>
      </c>
      <c r="F289" s="3" t="s">
        <v>210</v>
      </c>
      <c r="G289" s="3" t="s">
        <v>19</v>
      </c>
      <c r="H289" s="5">
        <v>45726</v>
      </c>
      <c r="I289" s="6"/>
      <c r="J289" s="3" t="s">
        <v>27</v>
      </c>
      <c r="K289" s="6"/>
      <c r="L289" s="6"/>
      <c r="M289" s="3">
        <v>477</v>
      </c>
    </row>
    <row r="290" spans="1:13" x14ac:dyDescent="0.25">
      <c r="A290" s="3" t="s">
        <v>325</v>
      </c>
      <c r="B290" s="3" t="s">
        <v>14</v>
      </c>
      <c r="C290" s="3" t="s">
        <v>15</v>
      </c>
      <c r="D290" s="3" t="s">
        <v>208</v>
      </c>
      <c r="E290" s="3" t="s">
        <v>209</v>
      </c>
      <c r="F290" s="3" t="s">
        <v>210</v>
      </c>
      <c r="G290" s="3" t="s">
        <v>19</v>
      </c>
      <c r="H290" s="7">
        <v>46152</v>
      </c>
      <c r="I290" s="4">
        <v>46176</v>
      </c>
      <c r="J290" s="3" t="s">
        <v>20</v>
      </c>
      <c r="K290" s="3" t="s">
        <v>24</v>
      </c>
      <c r="L290" s="3" t="s">
        <v>41</v>
      </c>
      <c r="M290" s="3">
        <v>24</v>
      </c>
    </row>
    <row r="291" spans="1:13" x14ac:dyDescent="0.25">
      <c r="A291" s="3" t="s">
        <v>326</v>
      </c>
      <c r="B291" s="3" t="s">
        <v>14</v>
      </c>
      <c r="C291" s="3" t="s">
        <v>15</v>
      </c>
      <c r="D291" s="3" t="s">
        <v>208</v>
      </c>
      <c r="E291" s="3" t="s">
        <v>209</v>
      </c>
      <c r="F291" s="3" t="s">
        <v>210</v>
      </c>
      <c r="G291" s="3" t="s">
        <v>19</v>
      </c>
      <c r="H291" s="7">
        <v>46152</v>
      </c>
      <c r="I291" s="7">
        <v>46154</v>
      </c>
      <c r="J291" s="3" t="s">
        <v>20</v>
      </c>
      <c r="K291" s="3" t="s">
        <v>21</v>
      </c>
      <c r="L291" s="3" t="s">
        <v>37</v>
      </c>
      <c r="M291" s="3">
        <v>2</v>
      </c>
    </row>
    <row r="292" spans="1:13" x14ac:dyDescent="0.25">
      <c r="A292" s="3" t="s">
        <v>327</v>
      </c>
      <c r="B292" s="3" t="s">
        <v>14</v>
      </c>
      <c r="C292" s="3" t="s">
        <v>15</v>
      </c>
      <c r="D292" s="3" t="s">
        <v>208</v>
      </c>
      <c r="E292" s="3" t="s">
        <v>209</v>
      </c>
      <c r="F292" s="3" t="s">
        <v>210</v>
      </c>
      <c r="G292" s="3" t="s">
        <v>19</v>
      </c>
      <c r="H292" s="7">
        <v>46152</v>
      </c>
      <c r="I292" s="6"/>
      <c r="J292" s="3" t="s">
        <v>27</v>
      </c>
      <c r="K292" s="6"/>
      <c r="L292" s="6"/>
      <c r="M292" s="3">
        <v>51</v>
      </c>
    </row>
    <row r="293" spans="1:13" x14ac:dyDescent="0.25">
      <c r="A293" s="3" t="s">
        <v>328</v>
      </c>
      <c r="B293" s="3" t="s">
        <v>14</v>
      </c>
      <c r="C293" s="3" t="s">
        <v>15</v>
      </c>
      <c r="D293" s="3" t="s">
        <v>208</v>
      </c>
      <c r="E293" s="3" t="s">
        <v>209</v>
      </c>
      <c r="F293" s="3" t="s">
        <v>210</v>
      </c>
      <c r="G293" s="3" t="s">
        <v>19</v>
      </c>
      <c r="H293" s="7">
        <v>46152</v>
      </c>
      <c r="I293" s="7">
        <v>46173</v>
      </c>
      <c r="J293" s="3" t="s">
        <v>20</v>
      </c>
      <c r="K293" s="3" t="s">
        <v>21</v>
      </c>
      <c r="L293" s="3" t="s">
        <v>22</v>
      </c>
      <c r="M293" s="3">
        <v>21</v>
      </c>
    </row>
    <row r="294" spans="1:13" x14ac:dyDescent="0.25">
      <c r="A294" s="3" t="s">
        <v>329</v>
      </c>
      <c r="B294" s="3" t="s">
        <v>14</v>
      </c>
      <c r="C294" s="3" t="s">
        <v>15</v>
      </c>
      <c r="D294" s="3" t="s">
        <v>208</v>
      </c>
      <c r="E294" s="3" t="s">
        <v>209</v>
      </c>
      <c r="F294" s="3" t="s">
        <v>210</v>
      </c>
      <c r="G294" s="3" t="s">
        <v>19</v>
      </c>
      <c r="H294" s="7">
        <v>46152</v>
      </c>
      <c r="I294" s="4">
        <v>46174</v>
      </c>
      <c r="J294" s="3" t="s">
        <v>20</v>
      </c>
      <c r="K294" s="3" t="s">
        <v>24</v>
      </c>
      <c r="L294" s="3" t="s">
        <v>44</v>
      </c>
      <c r="M294" s="3">
        <v>22</v>
      </c>
    </row>
    <row r="295" spans="1:13" x14ac:dyDescent="0.25">
      <c r="A295" s="3" t="s">
        <v>330</v>
      </c>
      <c r="B295" s="3" t="s">
        <v>14</v>
      </c>
      <c r="C295" s="3" t="s">
        <v>15</v>
      </c>
      <c r="D295" s="3" t="s">
        <v>208</v>
      </c>
      <c r="E295" s="3" t="s">
        <v>209</v>
      </c>
      <c r="F295" s="3" t="s">
        <v>210</v>
      </c>
      <c r="G295" s="3" t="s">
        <v>19</v>
      </c>
      <c r="H295" s="5">
        <v>45971</v>
      </c>
      <c r="I295" s="5">
        <v>46196</v>
      </c>
      <c r="J295" s="3" t="s">
        <v>20</v>
      </c>
      <c r="K295" s="3" t="s">
        <v>24</v>
      </c>
      <c r="L295" s="3" t="s">
        <v>25</v>
      </c>
      <c r="M295" s="3">
        <v>225</v>
      </c>
    </row>
    <row r="296" spans="1:13" x14ac:dyDescent="0.25">
      <c r="A296" s="3" t="s">
        <v>331</v>
      </c>
      <c r="B296" s="3" t="s">
        <v>14</v>
      </c>
      <c r="C296" s="3" t="s">
        <v>15</v>
      </c>
      <c r="D296" s="3" t="s">
        <v>208</v>
      </c>
      <c r="E296" s="3" t="s">
        <v>209</v>
      </c>
      <c r="F296" s="3" t="s">
        <v>210</v>
      </c>
      <c r="G296" s="3" t="s">
        <v>19</v>
      </c>
      <c r="H296" s="5">
        <v>46123</v>
      </c>
      <c r="I296" s="6"/>
      <c r="J296" s="3" t="s">
        <v>27</v>
      </c>
      <c r="K296" s="6"/>
      <c r="L296" s="6"/>
      <c r="M296" s="3">
        <v>80</v>
      </c>
    </row>
    <row r="297" spans="1:13" x14ac:dyDescent="0.25">
      <c r="A297" s="3" t="s">
        <v>332</v>
      </c>
      <c r="B297" s="3" t="s">
        <v>14</v>
      </c>
      <c r="C297" s="3" t="s">
        <v>15</v>
      </c>
      <c r="D297" s="3" t="s">
        <v>208</v>
      </c>
      <c r="E297" s="3" t="s">
        <v>209</v>
      </c>
      <c r="F297" s="3" t="s">
        <v>210</v>
      </c>
      <c r="G297" s="3" t="s">
        <v>19</v>
      </c>
      <c r="H297" s="5">
        <v>46123</v>
      </c>
      <c r="I297" s="5">
        <v>46185</v>
      </c>
      <c r="J297" s="3" t="s">
        <v>20</v>
      </c>
      <c r="K297" s="3" t="s">
        <v>24</v>
      </c>
      <c r="L297" s="3" t="s">
        <v>44</v>
      </c>
      <c r="M297" s="3">
        <v>62</v>
      </c>
    </row>
    <row r="298" spans="1:13" x14ac:dyDescent="0.25">
      <c r="A298" s="3" t="s">
        <v>333</v>
      </c>
      <c r="B298" s="3" t="s">
        <v>14</v>
      </c>
      <c r="C298" s="3" t="s">
        <v>15</v>
      </c>
      <c r="D298" s="3" t="s">
        <v>208</v>
      </c>
      <c r="E298" s="3" t="s">
        <v>209</v>
      </c>
      <c r="F298" s="3" t="s">
        <v>210</v>
      </c>
      <c r="G298" s="3" t="s">
        <v>19</v>
      </c>
      <c r="H298" s="5">
        <v>46123</v>
      </c>
      <c r="I298" s="5">
        <v>46132</v>
      </c>
      <c r="J298" s="3" t="s">
        <v>20</v>
      </c>
      <c r="K298" s="3" t="s">
        <v>21</v>
      </c>
      <c r="L298" s="3" t="s">
        <v>30</v>
      </c>
      <c r="M298" s="3">
        <v>9</v>
      </c>
    </row>
    <row r="299" spans="1:13" x14ac:dyDescent="0.25">
      <c r="A299" s="3" t="s">
        <v>334</v>
      </c>
      <c r="B299" s="3" t="s">
        <v>14</v>
      </c>
      <c r="C299" s="3" t="s">
        <v>15</v>
      </c>
      <c r="D299" s="3" t="s">
        <v>208</v>
      </c>
      <c r="E299" s="3" t="s">
        <v>209</v>
      </c>
      <c r="F299" s="3" t="s">
        <v>210</v>
      </c>
      <c r="G299" s="3" t="s">
        <v>19</v>
      </c>
      <c r="H299" s="5">
        <v>46123</v>
      </c>
      <c r="I299" s="5">
        <v>46123</v>
      </c>
      <c r="J299" s="3" t="s">
        <v>20</v>
      </c>
      <c r="K299" s="3" t="s">
        <v>21</v>
      </c>
      <c r="L299" s="3" t="s">
        <v>22</v>
      </c>
      <c r="M299" s="3">
        <v>0</v>
      </c>
    </row>
    <row r="300" spans="1:13" x14ac:dyDescent="0.25">
      <c r="A300" s="3" t="s">
        <v>335</v>
      </c>
      <c r="B300" s="3" t="s">
        <v>14</v>
      </c>
      <c r="C300" s="3" t="s">
        <v>15</v>
      </c>
      <c r="D300" s="3" t="s">
        <v>208</v>
      </c>
      <c r="E300" s="3" t="s">
        <v>209</v>
      </c>
      <c r="F300" s="3" t="s">
        <v>210</v>
      </c>
      <c r="G300" s="3" t="s">
        <v>19</v>
      </c>
      <c r="H300" s="5">
        <v>45699</v>
      </c>
      <c r="I300" s="5">
        <v>46142</v>
      </c>
      <c r="J300" s="3" t="s">
        <v>20</v>
      </c>
      <c r="K300" s="3" t="s">
        <v>24</v>
      </c>
      <c r="L300" s="3" t="s">
        <v>44</v>
      </c>
      <c r="M300" s="3">
        <v>443</v>
      </c>
    </row>
    <row r="301" spans="1:13" x14ac:dyDescent="0.25">
      <c r="A301" s="3" t="s">
        <v>336</v>
      </c>
      <c r="B301" s="3" t="s">
        <v>14</v>
      </c>
      <c r="C301" s="3" t="s">
        <v>15</v>
      </c>
      <c r="D301" s="3" t="s">
        <v>208</v>
      </c>
      <c r="E301" s="3" t="s">
        <v>209</v>
      </c>
      <c r="F301" s="3" t="s">
        <v>210</v>
      </c>
      <c r="G301" s="3" t="s">
        <v>19</v>
      </c>
      <c r="H301" s="5">
        <v>46184</v>
      </c>
      <c r="I301" s="5">
        <v>46200</v>
      </c>
      <c r="J301" s="3" t="s">
        <v>20</v>
      </c>
      <c r="K301" s="3" t="s">
        <v>21</v>
      </c>
      <c r="L301" s="3" t="s">
        <v>61</v>
      </c>
      <c r="M301" s="3">
        <v>16</v>
      </c>
    </row>
    <row r="302" spans="1:13" x14ac:dyDescent="0.25">
      <c r="A302" s="3" t="s">
        <v>337</v>
      </c>
      <c r="B302" s="3" t="s">
        <v>14</v>
      </c>
      <c r="C302" s="3" t="s">
        <v>15</v>
      </c>
      <c r="D302" s="3" t="s">
        <v>208</v>
      </c>
      <c r="E302" s="3" t="s">
        <v>209</v>
      </c>
      <c r="F302" s="3" t="s">
        <v>210</v>
      </c>
      <c r="G302" s="3" t="s">
        <v>19</v>
      </c>
      <c r="H302" s="5">
        <v>46184</v>
      </c>
      <c r="I302" s="6"/>
      <c r="J302" s="3" t="s">
        <v>27</v>
      </c>
      <c r="K302" s="6"/>
      <c r="L302" s="6"/>
      <c r="M302" s="3">
        <v>19</v>
      </c>
    </row>
    <row r="303" spans="1:13" x14ac:dyDescent="0.25">
      <c r="A303" s="3" t="s">
        <v>338</v>
      </c>
      <c r="B303" s="3" t="s">
        <v>14</v>
      </c>
      <c r="C303" s="3" t="s">
        <v>15</v>
      </c>
      <c r="D303" s="3" t="s">
        <v>208</v>
      </c>
      <c r="E303" s="3" t="s">
        <v>209</v>
      </c>
      <c r="F303" s="3" t="s">
        <v>210</v>
      </c>
      <c r="G303" s="3" t="s">
        <v>19</v>
      </c>
      <c r="H303" s="5">
        <v>46092</v>
      </c>
      <c r="I303" s="5">
        <v>46185</v>
      </c>
      <c r="J303" s="3" t="s">
        <v>20</v>
      </c>
      <c r="K303" s="3" t="s">
        <v>24</v>
      </c>
      <c r="L303" s="3" t="s">
        <v>25</v>
      </c>
      <c r="M303" s="3">
        <v>93</v>
      </c>
    </row>
    <row r="304" spans="1:13" x14ac:dyDescent="0.25">
      <c r="A304" s="3" t="s">
        <v>339</v>
      </c>
      <c r="B304" s="3" t="s">
        <v>14</v>
      </c>
      <c r="C304" s="3" t="s">
        <v>15</v>
      </c>
      <c r="D304" s="3" t="s">
        <v>208</v>
      </c>
      <c r="E304" s="3" t="s">
        <v>209</v>
      </c>
      <c r="F304" s="3" t="s">
        <v>210</v>
      </c>
      <c r="G304" s="3" t="s">
        <v>19</v>
      </c>
      <c r="H304" s="7">
        <v>46153</v>
      </c>
      <c r="I304" s="7">
        <v>46173</v>
      </c>
      <c r="J304" s="3" t="s">
        <v>20</v>
      </c>
      <c r="K304" s="3" t="s">
        <v>21</v>
      </c>
      <c r="L304" s="3" t="s">
        <v>37</v>
      </c>
      <c r="M304" s="3">
        <v>20</v>
      </c>
    </row>
    <row r="305" spans="1:13" x14ac:dyDescent="0.25">
      <c r="A305" s="3" t="s">
        <v>340</v>
      </c>
      <c r="B305" s="3" t="s">
        <v>14</v>
      </c>
      <c r="C305" s="3" t="s">
        <v>15</v>
      </c>
      <c r="D305" s="3" t="s">
        <v>208</v>
      </c>
      <c r="E305" s="3" t="s">
        <v>209</v>
      </c>
      <c r="F305" s="3" t="s">
        <v>210</v>
      </c>
      <c r="G305" s="3" t="s">
        <v>19</v>
      </c>
      <c r="H305" s="7">
        <v>46153</v>
      </c>
      <c r="I305" s="6"/>
      <c r="J305" s="3" t="s">
        <v>27</v>
      </c>
      <c r="K305" s="6"/>
      <c r="L305" s="6"/>
      <c r="M305" s="3">
        <v>50</v>
      </c>
    </row>
    <row r="306" spans="1:13" x14ac:dyDescent="0.25">
      <c r="A306" s="3" t="s">
        <v>341</v>
      </c>
      <c r="B306" s="3" t="s">
        <v>14</v>
      </c>
      <c r="C306" s="3" t="s">
        <v>15</v>
      </c>
      <c r="D306" s="3" t="s">
        <v>208</v>
      </c>
      <c r="E306" s="3" t="s">
        <v>209</v>
      </c>
      <c r="F306" s="3" t="s">
        <v>210</v>
      </c>
      <c r="G306" s="3" t="s">
        <v>19</v>
      </c>
      <c r="H306" s="5">
        <v>45911</v>
      </c>
      <c r="I306" s="5">
        <v>46135</v>
      </c>
      <c r="J306" s="3" t="s">
        <v>20</v>
      </c>
      <c r="K306" s="3" t="s">
        <v>24</v>
      </c>
      <c r="L306" s="3" t="s">
        <v>41</v>
      </c>
      <c r="M306" s="3">
        <v>224</v>
      </c>
    </row>
    <row r="307" spans="1:13" x14ac:dyDescent="0.25">
      <c r="A307" s="3" t="s">
        <v>342</v>
      </c>
      <c r="B307" s="3" t="s">
        <v>14</v>
      </c>
      <c r="C307" s="3" t="s">
        <v>15</v>
      </c>
      <c r="D307" s="3" t="s">
        <v>208</v>
      </c>
      <c r="E307" s="3" t="s">
        <v>209</v>
      </c>
      <c r="F307" s="3" t="s">
        <v>210</v>
      </c>
      <c r="G307" s="3" t="s">
        <v>19</v>
      </c>
      <c r="H307" s="5">
        <v>46124</v>
      </c>
      <c r="I307" s="6"/>
      <c r="J307" s="3" t="s">
        <v>27</v>
      </c>
      <c r="K307" s="6"/>
      <c r="L307" s="6"/>
      <c r="M307" s="3">
        <v>79</v>
      </c>
    </row>
    <row r="308" spans="1:13" x14ac:dyDescent="0.25">
      <c r="A308" s="3" t="s">
        <v>343</v>
      </c>
      <c r="B308" s="3" t="s">
        <v>14</v>
      </c>
      <c r="C308" s="3" t="s">
        <v>15</v>
      </c>
      <c r="D308" s="3" t="s">
        <v>208</v>
      </c>
      <c r="E308" s="3" t="s">
        <v>209</v>
      </c>
      <c r="F308" s="3" t="s">
        <v>210</v>
      </c>
      <c r="G308" s="3" t="s">
        <v>19</v>
      </c>
      <c r="H308" s="5">
        <v>46124</v>
      </c>
      <c r="I308" s="5">
        <v>46124</v>
      </c>
      <c r="J308" s="3" t="s">
        <v>20</v>
      </c>
      <c r="K308" s="3" t="s">
        <v>21</v>
      </c>
      <c r="L308" s="3" t="s">
        <v>30</v>
      </c>
      <c r="M308" s="3">
        <v>0</v>
      </c>
    </row>
    <row r="309" spans="1:13" x14ac:dyDescent="0.25">
      <c r="A309" s="3" t="s">
        <v>344</v>
      </c>
      <c r="B309" s="3" t="s">
        <v>14</v>
      </c>
      <c r="C309" s="3" t="s">
        <v>15</v>
      </c>
      <c r="D309" s="3" t="s">
        <v>208</v>
      </c>
      <c r="E309" s="3" t="s">
        <v>209</v>
      </c>
      <c r="F309" s="3" t="s">
        <v>210</v>
      </c>
      <c r="G309" s="3" t="s">
        <v>19</v>
      </c>
      <c r="H309" s="5">
        <v>45820</v>
      </c>
      <c r="I309" s="8">
        <v>46147</v>
      </c>
      <c r="J309" s="3" t="s">
        <v>20</v>
      </c>
      <c r="K309" s="3" t="s">
        <v>24</v>
      </c>
      <c r="L309" s="3" t="s">
        <v>41</v>
      </c>
      <c r="M309" s="3">
        <v>327</v>
      </c>
    </row>
    <row r="310" spans="1:13" x14ac:dyDescent="0.25">
      <c r="A310" s="3" t="s">
        <v>345</v>
      </c>
      <c r="B310" s="3" t="s">
        <v>14</v>
      </c>
      <c r="C310" s="3" t="s">
        <v>15</v>
      </c>
      <c r="D310" s="3" t="s">
        <v>208</v>
      </c>
      <c r="E310" s="3" t="s">
        <v>209</v>
      </c>
      <c r="F310" s="3" t="s">
        <v>210</v>
      </c>
      <c r="G310" s="3" t="s">
        <v>19</v>
      </c>
      <c r="H310" s="5">
        <v>46185</v>
      </c>
      <c r="I310" s="5">
        <v>46202</v>
      </c>
      <c r="J310" s="3" t="s">
        <v>20</v>
      </c>
      <c r="K310" s="3" t="s">
        <v>21</v>
      </c>
      <c r="L310" s="3" t="s">
        <v>22</v>
      </c>
      <c r="M310" s="3">
        <v>17</v>
      </c>
    </row>
    <row r="311" spans="1:13" x14ac:dyDescent="0.25">
      <c r="A311" s="3" t="s">
        <v>346</v>
      </c>
      <c r="B311" s="3" t="s">
        <v>14</v>
      </c>
      <c r="C311" s="3" t="s">
        <v>15</v>
      </c>
      <c r="D311" s="3" t="s">
        <v>208</v>
      </c>
      <c r="E311" s="3" t="s">
        <v>209</v>
      </c>
      <c r="F311" s="3" t="s">
        <v>210</v>
      </c>
      <c r="G311" s="3" t="s">
        <v>19</v>
      </c>
      <c r="H311" s="5">
        <v>46185</v>
      </c>
      <c r="I311" s="5">
        <v>46201</v>
      </c>
      <c r="J311" s="3" t="s">
        <v>20</v>
      </c>
      <c r="K311" s="3" t="s">
        <v>21</v>
      </c>
      <c r="L311" s="3" t="s">
        <v>50</v>
      </c>
      <c r="M311" s="3">
        <v>16</v>
      </c>
    </row>
    <row r="312" spans="1:13" x14ac:dyDescent="0.25">
      <c r="A312" s="3" t="s">
        <v>347</v>
      </c>
      <c r="B312" s="3" t="s">
        <v>14</v>
      </c>
      <c r="C312" s="3" t="s">
        <v>15</v>
      </c>
      <c r="D312" s="3" t="s">
        <v>208</v>
      </c>
      <c r="E312" s="3" t="s">
        <v>209</v>
      </c>
      <c r="F312" s="3" t="s">
        <v>210</v>
      </c>
      <c r="G312" s="3" t="s">
        <v>19</v>
      </c>
      <c r="H312" s="5">
        <v>46185</v>
      </c>
      <c r="I312" s="5">
        <v>46185</v>
      </c>
      <c r="J312" s="3" t="s">
        <v>20</v>
      </c>
      <c r="K312" s="3" t="s">
        <v>21</v>
      </c>
      <c r="L312" s="3" t="s">
        <v>22</v>
      </c>
      <c r="M312" s="3">
        <v>0</v>
      </c>
    </row>
    <row r="313" spans="1:13" x14ac:dyDescent="0.25">
      <c r="A313" s="3" t="s">
        <v>348</v>
      </c>
      <c r="B313" s="3" t="s">
        <v>14</v>
      </c>
      <c r="C313" s="3" t="s">
        <v>15</v>
      </c>
      <c r="D313" s="3" t="s">
        <v>208</v>
      </c>
      <c r="E313" s="3" t="s">
        <v>209</v>
      </c>
      <c r="F313" s="3" t="s">
        <v>210</v>
      </c>
      <c r="G313" s="3" t="s">
        <v>19</v>
      </c>
      <c r="H313" s="5">
        <v>46185</v>
      </c>
      <c r="I313" s="6"/>
      <c r="J313" s="3" t="s">
        <v>27</v>
      </c>
      <c r="K313" s="6"/>
      <c r="L313" s="6"/>
      <c r="M313" s="3">
        <v>18</v>
      </c>
    </row>
    <row r="314" spans="1:13" x14ac:dyDescent="0.25">
      <c r="A314" s="3" t="s">
        <v>349</v>
      </c>
      <c r="B314" s="3" t="s">
        <v>14</v>
      </c>
      <c r="C314" s="3" t="s">
        <v>15</v>
      </c>
      <c r="D314" s="3" t="s">
        <v>208</v>
      </c>
      <c r="E314" s="3" t="s">
        <v>209</v>
      </c>
      <c r="F314" s="3" t="s">
        <v>210</v>
      </c>
      <c r="G314" s="3" t="s">
        <v>19</v>
      </c>
      <c r="H314" s="5">
        <v>46185</v>
      </c>
      <c r="I314" s="6"/>
      <c r="J314" s="3" t="s">
        <v>27</v>
      </c>
      <c r="K314" s="6"/>
      <c r="L314" s="6"/>
      <c r="M314" s="3">
        <v>18</v>
      </c>
    </row>
    <row r="315" spans="1:13" x14ac:dyDescent="0.25">
      <c r="A315" s="3" t="s">
        <v>350</v>
      </c>
      <c r="B315" s="3" t="s">
        <v>14</v>
      </c>
      <c r="C315" s="3" t="s">
        <v>15</v>
      </c>
      <c r="D315" s="3" t="s">
        <v>208</v>
      </c>
      <c r="E315" s="3" t="s">
        <v>209</v>
      </c>
      <c r="F315" s="3" t="s">
        <v>210</v>
      </c>
      <c r="G315" s="3" t="s">
        <v>19</v>
      </c>
      <c r="H315" s="5">
        <v>45728</v>
      </c>
      <c r="I315" s="6"/>
      <c r="J315" s="3" t="s">
        <v>27</v>
      </c>
      <c r="K315" s="6"/>
      <c r="L315" s="6"/>
      <c r="M315" s="3">
        <v>475</v>
      </c>
    </row>
    <row r="316" spans="1:13" x14ac:dyDescent="0.25">
      <c r="A316" s="3" t="s">
        <v>351</v>
      </c>
      <c r="B316" s="3" t="s">
        <v>14</v>
      </c>
      <c r="C316" s="3" t="s">
        <v>15</v>
      </c>
      <c r="D316" s="3" t="s">
        <v>208</v>
      </c>
      <c r="E316" s="3" t="s">
        <v>209</v>
      </c>
      <c r="F316" s="3" t="s">
        <v>210</v>
      </c>
      <c r="G316" s="3" t="s">
        <v>19</v>
      </c>
      <c r="H316" s="5">
        <v>46093</v>
      </c>
      <c r="I316" s="5">
        <v>46185</v>
      </c>
      <c r="J316" s="3" t="s">
        <v>20</v>
      </c>
      <c r="K316" s="3" t="s">
        <v>24</v>
      </c>
      <c r="L316" s="3" t="s">
        <v>25</v>
      </c>
      <c r="M316" s="3">
        <v>92</v>
      </c>
    </row>
    <row r="317" spans="1:13" x14ac:dyDescent="0.25">
      <c r="A317" s="3" t="s">
        <v>352</v>
      </c>
      <c r="B317" s="3" t="s">
        <v>14</v>
      </c>
      <c r="C317" s="3" t="s">
        <v>15</v>
      </c>
      <c r="D317" s="3" t="s">
        <v>208</v>
      </c>
      <c r="E317" s="3" t="s">
        <v>209</v>
      </c>
      <c r="F317" s="3" t="s">
        <v>210</v>
      </c>
      <c r="G317" s="3" t="s">
        <v>19</v>
      </c>
      <c r="H317" s="7">
        <v>46154</v>
      </c>
      <c r="I317" s="6"/>
      <c r="J317" s="3" t="s">
        <v>27</v>
      </c>
      <c r="K317" s="6"/>
      <c r="L317" s="6"/>
      <c r="M317" s="3">
        <v>49</v>
      </c>
    </row>
    <row r="318" spans="1:13" x14ac:dyDescent="0.25">
      <c r="A318" s="3" t="s">
        <v>353</v>
      </c>
      <c r="B318" s="3" t="s">
        <v>14</v>
      </c>
      <c r="C318" s="3" t="s">
        <v>15</v>
      </c>
      <c r="D318" s="3" t="s">
        <v>208</v>
      </c>
      <c r="E318" s="3" t="s">
        <v>209</v>
      </c>
      <c r="F318" s="3" t="s">
        <v>210</v>
      </c>
      <c r="G318" s="3" t="s">
        <v>19</v>
      </c>
      <c r="H318" s="7">
        <v>46154</v>
      </c>
      <c r="I318" s="7">
        <v>46154</v>
      </c>
      <c r="J318" s="3" t="s">
        <v>20</v>
      </c>
      <c r="K318" s="3" t="s">
        <v>21</v>
      </c>
      <c r="L318" s="3" t="s">
        <v>30</v>
      </c>
      <c r="M318" s="3">
        <v>0</v>
      </c>
    </row>
    <row r="319" spans="1:13" x14ac:dyDescent="0.25">
      <c r="A319" s="3" t="s">
        <v>354</v>
      </c>
      <c r="B319" s="3" t="s">
        <v>14</v>
      </c>
      <c r="C319" s="3" t="s">
        <v>15</v>
      </c>
      <c r="D319" s="3" t="s">
        <v>208</v>
      </c>
      <c r="E319" s="3" t="s">
        <v>209</v>
      </c>
      <c r="F319" s="3" t="s">
        <v>210</v>
      </c>
      <c r="G319" s="3" t="s">
        <v>19</v>
      </c>
      <c r="H319" s="5">
        <v>46125</v>
      </c>
      <c r="I319" s="7">
        <v>46173</v>
      </c>
      <c r="J319" s="3" t="s">
        <v>20</v>
      </c>
      <c r="K319" s="3" t="s">
        <v>24</v>
      </c>
      <c r="L319" s="3" t="s">
        <v>55</v>
      </c>
      <c r="M319" s="3">
        <v>48</v>
      </c>
    </row>
    <row r="320" spans="1:13" x14ac:dyDescent="0.25">
      <c r="A320" s="3" t="s">
        <v>355</v>
      </c>
      <c r="B320" s="3" t="s">
        <v>14</v>
      </c>
      <c r="C320" s="3" t="s">
        <v>15</v>
      </c>
      <c r="D320" s="3" t="s">
        <v>208</v>
      </c>
      <c r="E320" s="3" t="s">
        <v>209</v>
      </c>
      <c r="F320" s="3" t="s">
        <v>210</v>
      </c>
      <c r="G320" s="3" t="s">
        <v>19</v>
      </c>
      <c r="H320" s="5">
        <v>46125</v>
      </c>
      <c r="I320" s="8">
        <v>46151</v>
      </c>
      <c r="J320" s="3" t="s">
        <v>20</v>
      </c>
      <c r="K320" s="3" t="s">
        <v>24</v>
      </c>
      <c r="L320" s="3" t="s">
        <v>44</v>
      </c>
      <c r="M320" s="3">
        <v>26</v>
      </c>
    </row>
    <row r="321" spans="1:13" x14ac:dyDescent="0.25">
      <c r="A321" s="3" t="s">
        <v>356</v>
      </c>
      <c r="B321" s="3" t="s">
        <v>14</v>
      </c>
      <c r="C321" s="3" t="s">
        <v>15</v>
      </c>
      <c r="D321" s="3" t="s">
        <v>208</v>
      </c>
      <c r="E321" s="3" t="s">
        <v>209</v>
      </c>
      <c r="F321" s="3" t="s">
        <v>210</v>
      </c>
      <c r="G321" s="3" t="s">
        <v>19</v>
      </c>
      <c r="H321" s="5">
        <v>46125</v>
      </c>
      <c r="I321" s="6"/>
      <c r="J321" s="3" t="s">
        <v>27</v>
      </c>
      <c r="K321" s="6"/>
      <c r="L321" s="6"/>
      <c r="M321" s="3">
        <v>78</v>
      </c>
    </row>
    <row r="322" spans="1:13" x14ac:dyDescent="0.25">
      <c r="A322" s="3" t="s">
        <v>357</v>
      </c>
      <c r="B322" s="3" t="s">
        <v>14</v>
      </c>
      <c r="C322" s="3" t="s">
        <v>15</v>
      </c>
      <c r="D322" s="3" t="s">
        <v>208</v>
      </c>
      <c r="E322" s="3" t="s">
        <v>209</v>
      </c>
      <c r="F322" s="3" t="s">
        <v>210</v>
      </c>
      <c r="G322" s="3" t="s">
        <v>19</v>
      </c>
      <c r="H322" s="5">
        <v>46125</v>
      </c>
      <c r="I322" s="5">
        <v>46126</v>
      </c>
      <c r="J322" s="3" t="s">
        <v>20</v>
      </c>
      <c r="K322" s="3" t="s">
        <v>21</v>
      </c>
      <c r="L322" s="3" t="s">
        <v>50</v>
      </c>
      <c r="M322" s="3">
        <v>1</v>
      </c>
    </row>
    <row r="323" spans="1:13" x14ac:dyDescent="0.25">
      <c r="A323" s="3" t="s">
        <v>358</v>
      </c>
      <c r="B323" s="3" t="s">
        <v>14</v>
      </c>
      <c r="C323" s="3" t="s">
        <v>15</v>
      </c>
      <c r="D323" s="3" t="s">
        <v>208</v>
      </c>
      <c r="E323" s="3" t="s">
        <v>209</v>
      </c>
      <c r="F323" s="3" t="s">
        <v>210</v>
      </c>
      <c r="G323" s="3" t="s">
        <v>19</v>
      </c>
      <c r="H323" s="5">
        <v>46125</v>
      </c>
      <c r="I323" s="5">
        <v>46197</v>
      </c>
      <c r="J323" s="3" t="s">
        <v>20</v>
      </c>
      <c r="K323" s="3" t="s">
        <v>24</v>
      </c>
      <c r="L323" s="3" t="s">
        <v>55</v>
      </c>
      <c r="M323" s="3">
        <v>72</v>
      </c>
    </row>
    <row r="324" spans="1:13" x14ac:dyDescent="0.25">
      <c r="A324" s="3" t="s">
        <v>359</v>
      </c>
      <c r="B324" s="3" t="s">
        <v>14</v>
      </c>
      <c r="C324" s="3" t="s">
        <v>15</v>
      </c>
      <c r="D324" s="3" t="s">
        <v>208</v>
      </c>
      <c r="E324" s="3" t="s">
        <v>209</v>
      </c>
      <c r="F324" s="3" t="s">
        <v>210</v>
      </c>
      <c r="G324" s="3" t="s">
        <v>19</v>
      </c>
      <c r="H324" s="5">
        <v>46125</v>
      </c>
      <c r="I324" s="5">
        <v>46125</v>
      </c>
      <c r="J324" s="3" t="s">
        <v>20</v>
      </c>
      <c r="K324" s="3" t="s">
        <v>21</v>
      </c>
      <c r="L324" s="3" t="s">
        <v>37</v>
      </c>
      <c r="M324" s="3">
        <v>0</v>
      </c>
    </row>
    <row r="325" spans="1:13" x14ac:dyDescent="0.25">
      <c r="A325" s="3" t="s">
        <v>360</v>
      </c>
      <c r="B325" s="3" t="s">
        <v>14</v>
      </c>
      <c r="C325" s="3" t="s">
        <v>15</v>
      </c>
      <c r="D325" s="3" t="s">
        <v>208</v>
      </c>
      <c r="E325" s="3" t="s">
        <v>209</v>
      </c>
      <c r="F325" s="3" t="s">
        <v>210</v>
      </c>
      <c r="G325" s="3" t="s">
        <v>19</v>
      </c>
      <c r="H325" s="5">
        <v>46125</v>
      </c>
      <c r="I325" s="5">
        <v>46140</v>
      </c>
      <c r="J325" s="3" t="s">
        <v>20</v>
      </c>
      <c r="K325" s="3" t="s">
        <v>21</v>
      </c>
      <c r="L325" s="3" t="s">
        <v>61</v>
      </c>
      <c r="M325" s="3">
        <v>15</v>
      </c>
    </row>
    <row r="326" spans="1:13" x14ac:dyDescent="0.25">
      <c r="A326" s="3" t="s">
        <v>361</v>
      </c>
      <c r="B326" s="3" t="s">
        <v>14</v>
      </c>
      <c r="C326" s="3" t="s">
        <v>15</v>
      </c>
      <c r="D326" s="3" t="s">
        <v>208</v>
      </c>
      <c r="E326" s="3" t="s">
        <v>209</v>
      </c>
      <c r="F326" s="3" t="s">
        <v>210</v>
      </c>
      <c r="G326" s="3" t="s">
        <v>19</v>
      </c>
      <c r="H326" s="5">
        <v>46125</v>
      </c>
      <c r="I326" s="6"/>
      <c r="J326" s="3" t="s">
        <v>27</v>
      </c>
      <c r="K326" s="6"/>
      <c r="L326" s="6"/>
      <c r="M326" s="3">
        <v>78</v>
      </c>
    </row>
    <row r="327" spans="1:13" x14ac:dyDescent="0.25">
      <c r="A327" s="3" t="s">
        <v>362</v>
      </c>
      <c r="B327" s="3" t="s">
        <v>14</v>
      </c>
      <c r="C327" s="3" t="s">
        <v>15</v>
      </c>
      <c r="D327" s="3" t="s">
        <v>208</v>
      </c>
      <c r="E327" s="3" t="s">
        <v>209</v>
      </c>
      <c r="F327" s="3" t="s">
        <v>210</v>
      </c>
      <c r="G327" s="3" t="s">
        <v>19</v>
      </c>
      <c r="H327" s="5">
        <v>45821</v>
      </c>
      <c r="I327" s="6"/>
      <c r="J327" s="3" t="s">
        <v>27</v>
      </c>
      <c r="K327" s="6"/>
      <c r="L327" s="6"/>
      <c r="M327" s="3">
        <v>382</v>
      </c>
    </row>
    <row r="328" spans="1:13" x14ac:dyDescent="0.25">
      <c r="A328" s="3" t="s">
        <v>363</v>
      </c>
      <c r="B328" s="3" t="s">
        <v>14</v>
      </c>
      <c r="C328" s="3" t="s">
        <v>15</v>
      </c>
      <c r="D328" s="3" t="s">
        <v>208</v>
      </c>
      <c r="E328" s="3" t="s">
        <v>209</v>
      </c>
      <c r="F328" s="3" t="s">
        <v>210</v>
      </c>
      <c r="G328" s="3" t="s">
        <v>19</v>
      </c>
      <c r="H328" s="5">
        <v>46186</v>
      </c>
      <c r="I328" s="5">
        <v>46200</v>
      </c>
      <c r="J328" s="3" t="s">
        <v>20</v>
      </c>
      <c r="K328" s="3" t="s">
        <v>21</v>
      </c>
      <c r="L328" s="3" t="s">
        <v>30</v>
      </c>
      <c r="M328" s="3">
        <v>14</v>
      </c>
    </row>
    <row r="329" spans="1:13" x14ac:dyDescent="0.25">
      <c r="A329" s="3" t="s">
        <v>364</v>
      </c>
      <c r="B329" s="3" t="s">
        <v>14</v>
      </c>
      <c r="C329" s="3" t="s">
        <v>15</v>
      </c>
      <c r="D329" s="3" t="s">
        <v>208</v>
      </c>
      <c r="E329" s="3" t="s">
        <v>209</v>
      </c>
      <c r="F329" s="3" t="s">
        <v>210</v>
      </c>
      <c r="G329" s="3" t="s">
        <v>19</v>
      </c>
      <c r="H329" s="5">
        <v>46186</v>
      </c>
      <c r="I329" s="5">
        <v>46196</v>
      </c>
      <c r="J329" s="3" t="s">
        <v>20</v>
      </c>
      <c r="K329" s="3" t="s">
        <v>21</v>
      </c>
      <c r="L329" s="3" t="s">
        <v>33</v>
      </c>
      <c r="M329" s="3">
        <v>10</v>
      </c>
    </row>
    <row r="330" spans="1:13" x14ac:dyDescent="0.25">
      <c r="A330" s="3" t="s">
        <v>365</v>
      </c>
      <c r="B330" s="3" t="s">
        <v>14</v>
      </c>
      <c r="C330" s="3" t="s">
        <v>15</v>
      </c>
      <c r="D330" s="3" t="s">
        <v>208</v>
      </c>
      <c r="E330" s="3" t="s">
        <v>209</v>
      </c>
      <c r="F330" s="3" t="s">
        <v>210</v>
      </c>
      <c r="G330" s="3" t="s">
        <v>19</v>
      </c>
      <c r="H330" s="7">
        <v>45790</v>
      </c>
      <c r="I330" s="6"/>
      <c r="J330" s="3" t="s">
        <v>27</v>
      </c>
      <c r="K330" s="6"/>
      <c r="L330" s="6"/>
      <c r="M330" s="3">
        <v>413</v>
      </c>
    </row>
    <row r="331" spans="1:13" x14ac:dyDescent="0.25">
      <c r="A331" s="3" t="s">
        <v>366</v>
      </c>
      <c r="B331" s="3" t="s">
        <v>14</v>
      </c>
      <c r="C331" s="3" t="s">
        <v>15</v>
      </c>
      <c r="D331" s="3" t="s">
        <v>208</v>
      </c>
      <c r="E331" s="3" t="s">
        <v>209</v>
      </c>
      <c r="F331" s="3" t="s">
        <v>210</v>
      </c>
      <c r="G331" s="3" t="s">
        <v>19</v>
      </c>
      <c r="H331" s="7">
        <v>46155</v>
      </c>
      <c r="I331" s="6"/>
      <c r="J331" s="3" t="s">
        <v>27</v>
      </c>
      <c r="K331" s="6"/>
      <c r="L331" s="6"/>
      <c r="M331" s="3">
        <v>48</v>
      </c>
    </row>
    <row r="332" spans="1:13" x14ac:dyDescent="0.25">
      <c r="A332" s="3" t="s">
        <v>367</v>
      </c>
      <c r="B332" s="3" t="s">
        <v>14</v>
      </c>
      <c r="C332" s="3" t="s">
        <v>15</v>
      </c>
      <c r="D332" s="3" t="s">
        <v>208</v>
      </c>
      <c r="E332" s="3" t="s">
        <v>209</v>
      </c>
      <c r="F332" s="3" t="s">
        <v>210</v>
      </c>
      <c r="G332" s="3" t="s">
        <v>19</v>
      </c>
      <c r="H332" s="5">
        <v>45943</v>
      </c>
      <c r="I332" s="8">
        <v>46146</v>
      </c>
      <c r="J332" s="3" t="s">
        <v>20</v>
      </c>
      <c r="K332" s="3" t="s">
        <v>24</v>
      </c>
      <c r="L332" s="3" t="s">
        <v>44</v>
      </c>
      <c r="M332" s="3">
        <v>203</v>
      </c>
    </row>
    <row r="333" spans="1:13" x14ac:dyDescent="0.25">
      <c r="A333" s="3" t="s">
        <v>368</v>
      </c>
      <c r="B333" s="3" t="s">
        <v>14</v>
      </c>
      <c r="C333" s="3" t="s">
        <v>15</v>
      </c>
      <c r="D333" s="3" t="s">
        <v>208</v>
      </c>
      <c r="E333" s="3" t="s">
        <v>209</v>
      </c>
      <c r="F333" s="3" t="s">
        <v>210</v>
      </c>
      <c r="G333" s="3" t="s">
        <v>19</v>
      </c>
      <c r="H333" s="5">
        <v>46126</v>
      </c>
      <c r="I333" s="5">
        <v>46133</v>
      </c>
      <c r="J333" s="3" t="s">
        <v>20</v>
      </c>
      <c r="K333" s="3" t="s">
        <v>21</v>
      </c>
      <c r="L333" s="3" t="s">
        <v>37</v>
      </c>
      <c r="M333" s="3">
        <v>7</v>
      </c>
    </row>
    <row r="334" spans="1:13" x14ac:dyDescent="0.25">
      <c r="A334" s="3" t="s">
        <v>369</v>
      </c>
      <c r="B334" s="3" t="s">
        <v>14</v>
      </c>
      <c r="C334" s="3" t="s">
        <v>15</v>
      </c>
      <c r="D334" s="3" t="s">
        <v>208</v>
      </c>
      <c r="E334" s="3" t="s">
        <v>209</v>
      </c>
      <c r="F334" s="3" t="s">
        <v>210</v>
      </c>
      <c r="G334" s="3" t="s">
        <v>19</v>
      </c>
      <c r="H334" s="5">
        <v>46126</v>
      </c>
      <c r="I334" s="7">
        <v>46161</v>
      </c>
      <c r="J334" s="3" t="s">
        <v>20</v>
      </c>
      <c r="K334" s="3" t="s">
        <v>21</v>
      </c>
      <c r="L334" s="3" t="s">
        <v>22</v>
      </c>
      <c r="M334" s="3">
        <v>35</v>
      </c>
    </row>
    <row r="335" spans="1:13" x14ac:dyDescent="0.25">
      <c r="A335" s="3" t="s">
        <v>370</v>
      </c>
      <c r="B335" s="3" t="s">
        <v>14</v>
      </c>
      <c r="C335" s="3" t="s">
        <v>15</v>
      </c>
      <c r="D335" s="3" t="s">
        <v>208</v>
      </c>
      <c r="E335" s="3" t="s">
        <v>209</v>
      </c>
      <c r="F335" s="3" t="s">
        <v>210</v>
      </c>
      <c r="G335" s="3" t="s">
        <v>19</v>
      </c>
      <c r="H335" s="5">
        <v>46126</v>
      </c>
      <c r="I335" s="4">
        <v>46175</v>
      </c>
      <c r="J335" s="3" t="s">
        <v>20</v>
      </c>
      <c r="K335" s="3" t="s">
        <v>24</v>
      </c>
      <c r="L335" s="3" t="s">
        <v>41</v>
      </c>
      <c r="M335" s="3">
        <v>49</v>
      </c>
    </row>
    <row r="336" spans="1:13" x14ac:dyDescent="0.25">
      <c r="A336" s="3" t="s">
        <v>371</v>
      </c>
      <c r="B336" s="3" t="s">
        <v>14</v>
      </c>
      <c r="C336" s="3" t="s">
        <v>15</v>
      </c>
      <c r="D336" s="3" t="s">
        <v>208</v>
      </c>
      <c r="E336" s="3" t="s">
        <v>209</v>
      </c>
      <c r="F336" s="3" t="s">
        <v>210</v>
      </c>
      <c r="G336" s="3" t="s">
        <v>19</v>
      </c>
      <c r="H336" s="5">
        <v>46126</v>
      </c>
      <c r="I336" s="5">
        <v>46131</v>
      </c>
      <c r="J336" s="3" t="s">
        <v>20</v>
      </c>
      <c r="K336" s="3" t="s">
        <v>21</v>
      </c>
      <c r="L336" s="3" t="s">
        <v>30</v>
      </c>
      <c r="M336" s="3">
        <v>5</v>
      </c>
    </row>
    <row r="337" spans="1:13" x14ac:dyDescent="0.25">
      <c r="A337" s="3" t="s">
        <v>372</v>
      </c>
      <c r="B337" s="3" t="s">
        <v>14</v>
      </c>
      <c r="C337" s="3" t="s">
        <v>15</v>
      </c>
      <c r="D337" s="3" t="s">
        <v>208</v>
      </c>
      <c r="E337" s="3" t="s">
        <v>209</v>
      </c>
      <c r="F337" s="3" t="s">
        <v>210</v>
      </c>
      <c r="G337" s="3" t="s">
        <v>19</v>
      </c>
      <c r="H337" s="5">
        <v>46126</v>
      </c>
      <c r="I337" s="6"/>
      <c r="J337" s="3" t="s">
        <v>27</v>
      </c>
      <c r="K337" s="6"/>
      <c r="L337" s="6"/>
      <c r="M337" s="3">
        <v>77</v>
      </c>
    </row>
    <row r="338" spans="1:13" x14ac:dyDescent="0.25">
      <c r="A338" s="3" t="s">
        <v>373</v>
      </c>
      <c r="B338" s="3" t="s">
        <v>14</v>
      </c>
      <c r="C338" s="3" t="s">
        <v>15</v>
      </c>
      <c r="D338" s="3" t="s">
        <v>208</v>
      </c>
      <c r="E338" s="3" t="s">
        <v>209</v>
      </c>
      <c r="F338" s="3" t="s">
        <v>210</v>
      </c>
      <c r="G338" s="3" t="s">
        <v>19</v>
      </c>
      <c r="H338" s="5">
        <v>45883</v>
      </c>
      <c r="I338" s="7">
        <v>46153</v>
      </c>
      <c r="J338" s="3" t="s">
        <v>20</v>
      </c>
      <c r="K338" s="3" t="s">
        <v>24</v>
      </c>
      <c r="L338" s="3" t="s">
        <v>44</v>
      </c>
      <c r="M338" s="3">
        <v>270</v>
      </c>
    </row>
    <row r="339" spans="1:13" x14ac:dyDescent="0.25">
      <c r="A339" s="3" t="s">
        <v>374</v>
      </c>
      <c r="B339" s="3" t="s">
        <v>14</v>
      </c>
      <c r="C339" s="3" t="s">
        <v>15</v>
      </c>
      <c r="D339" s="3" t="s">
        <v>208</v>
      </c>
      <c r="E339" s="3" t="s">
        <v>209</v>
      </c>
      <c r="F339" s="3" t="s">
        <v>210</v>
      </c>
      <c r="G339" s="3" t="s">
        <v>19</v>
      </c>
      <c r="H339" s="5">
        <v>46187</v>
      </c>
      <c r="I339" s="5">
        <v>46198</v>
      </c>
      <c r="J339" s="3" t="s">
        <v>20</v>
      </c>
      <c r="K339" s="3" t="s">
        <v>21</v>
      </c>
      <c r="L339" s="3" t="s">
        <v>37</v>
      </c>
      <c r="M339" s="3">
        <v>11</v>
      </c>
    </row>
    <row r="340" spans="1:13" x14ac:dyDescent="0.25">
      <c r="A340" s="3" t="s">
        <v>375</v>
      </c>
      <c r="B340" s="3" t="s">
        <v>14</v>
      </c>
      <c r="C340" s="3" t="s">
        <v>15</v>
      </c>
      <c r="D340" s="3" t="s">
        <v>208</v>
      </c>
      <c r="E340" s="3" t="s">
        <v>209</v>
      </c>
      <c r="F340" s="3" t="s">
        <v>210</v>
      </c>
      <c r="G340" s="3" t="s">
        <v>19</v>
      </c>
      <c r="H340" s="5">
        <v>46187</v>
      </c>
      <c r="I340" s="6"/>
      <c r="J340" s="3" t="s">
        <v>27</v>
      </c>
      <c r="K340" s="6"/>
      <c r="L340" s="6"/>
      <c r="M340" s="3">
        <v>16</v>
      </c>
    </row>
    <row r="341" spans="1:13" x14ac:dyDescent="0.25">
      <c r="A341" s="3" t="s">
        <v>376</v>
      </c>
      <c r="B341" s="3" t="s">
        <v>14</v>
      </c>
      <c r="C341" s="3" t="s">
        <v>15</v>
      </c>
      <c r="D341" s="3" t="s">
        <v>208</v>
      </c>
      <c r="E341" s="3" t="s">
        <v>209</v>
      </c>
      <c r="F341" s="3" t="s">
        <v>210</v>
      </c>
      <c r="G341" s="3" t="s">
        <v>19</v>
      </c>
      <c r="H341" s="5">
        <v>46187</v>
      </c>
      <c r="I341" s="5">
        <v>46187</v>
      </c>
      <c r="J341" s="3" t="s">
        <v>20</v>
      </c>
      <c r="K341" s="3" t="s">
        <v>21</v>
      </c>
      <c r="L341" s="3" t="s">
        <v>30</v>
      </c>
      <c r="M341" s="3">
        <v>0</v>
      </c>
    </row>
    <row r="342" spans="1:13" x14ac:dyDescent="0.25">
      <c r="A342" s="3" t="s">
        <v>377</v>
      </c>
      <c r="B342" s="3" t="s">
        <v>14</v>
      </c>
      <c r="C342" s="3" t="s">
        <v>15</v>
      </c>
      <c r="D342" s="3" t="s">
        <v>208</v>
      </c>
      <c r="E342" s="3" t="s">
        <v>209</v>
      </c>
      <c r="F342" s="3" t="s">
        <v>210</v>
      </c>
      <c r="G342" s="3" t="s">
        <v>19</v>
      </c>
      <c r="H342" s="5">
        <v>46187</v>
      </c>
      <c r="I342" s="5">
        <v>46187</v>
      </c>
      <c r="J342" s="3" t="s">
        <v>20</v>
      </c>
      <c r="K342" s="3" t="s">
        <v>21</v>
      </c>
      <c r="L342" s="3" t="s">
        <v>30</v>
      </c>
      <c r="M342" s="3">
        <v>0</v>
      </c>
    </row>
    <row r="343" spans="1:13" x14ac:dyDescent="0.25">
      <c r="A343" s="3" t="s">
        <v>378</v>
      </c>
      <c r="B343" s="3" t="s">
        <v>14</v>
      </c>
      <c r="C343" s="3" t="s">
        <v>15</v>
      </c>
      <c r="D343" s="3" t="s">
        <v>208</v>
      </c>
      <c r="E343" s="3" t="s">
        <v>209</v>
      </c>
      <c r="F343" s="3" t="s">
        <v>210</v>
      </c>
      <c r="G343" s="3" t="s">
        <v>19</v>
      </c>
      <c r="H343" s="7">
        <v>46156</v>
      </c>
      <c r="I343" s="5">
        <v>46185</v>
      </c>
      <c r="J343" s="3" t="s">
        <v>20</v>
      </c>
      <c r="K343" s="3" t="s">
        <v>24</v>
      </c>
      <c r="L343" s="3" t="s">
        <v>25</v>
      </c>
      <c r="M343" s="3">
        <v>29</v>
      </c>
    </row>
    <row r="344" spans="1:13" x14ac:dyDescent="0.25">
      <c r="A344" s="3" t="s">
        <v>379</v>
      </c>
      <c r="B344" s="3" t="s">
        <v>14</v>
      </c>
      <c r="C344" s="3" t="s">
        <v>15</v>
      </c>
      <c r="D344" s="3" t="s">
        <v>208</v>
      </c>
      <c r="E344" s="3" t="s">
        <v>209</v>
      </c>
      <c r="F344" s="3" t="s">
        <v>210</v>
      </c>
      <c r="G344" s="3" t="s">
        <v>19</v>
      </c>
      <c r="H344" s="7">
        <v>46156</v>
      </c>
      <c r="I344" s="7">
        <v>46156</v>
      </c>
      <c r="J344" s="3" t="s">
        <v>20</v>
      </c>
      <c r="K344" s="3" t="s">
        <v>21</v>
      </c>
      <c r="L344" s="3" t="s">
        <v>30</v>
      </c>
      <c r="M344" s="3">
        <v>0</v>
      </c>
    </row>
    <row r="345" spans="1:13" x14ac:dyDescent="0.25">
      <c r="A345" s="3" t="s">
        <v>380</v>
      </c>
      <c r="B345" s="3" t="s">
        <v>14</v>
      </c>
      <c r="C345" s="3" t="s">
        <v>15</v>
      </c>
      <c r="D345" s="3" t="s">
        <v>208</v>
      </c>
      <c r="E345" s="3" t="s">
        <v>209</v>
      </c>
      <c r="F345" s="3" t="s">
        <v>210</v>
      </c>
      <c r="G345" s="3" t="s">
        <v>19</v>
      </c>
      <c r="H345" s="7">
        <v>46156</v>
      </c>
      <c r="I345" s="7">
        <v>46156</v>
      </c>
      <c r="J345" s="3" t="s">
        <v>20</v>
      </c>
      <c r="K345" s="3" t="s">
        <v>21</v>
      </c>
      <c r="L345" s="3" t="s">
        <v>37</v>
      </c>
      <c r="M345" s="3">
        <v>0</v>
      </c>
    </row>
    <row r="346" spans="1:13" x14ac:dyDescent="0.25">
      <c r="A346" s="3" t="s">
        <v>381</v>
      </c>
      <c r="B346" s="3" t="s">
        <v>14</v>
      </c>
      <c r="C346" s="3" t="s">
        <v>15</v>
      </c>
      <c r="D346" s="3" t="s">
        <v>208</v>
      </c>
      <c r="E346" s="3" t="s">
        <v>209</v>
      </c>
      <c r="F346" s="3" t="s">
        <v>210</v>
      </c>
      <c r="G346" s="3" t="s">
        <v>19</v>
      </c>
      <c r="H346" s="7">
        <v>46156</v>
      </c>
      <c r="I346" s="6"/>
      <c r="J346" s="3" t="s">
        <v>27</v>
      </c>
      <c r="K346" s="6"/>
      <c r="L346" s="6"/>
      <c r="M346" s="3">
        <v>47</v>
      </c>
    </row>
    <row r="347" spans="1:13" x14ac:dyDescent="0.25">
      <c r="A347" s="3" t="s">
        <v>382</v>
      </c>
      <c r="B347" s="3" t="s">
        <v>14</v>
      </c>
      <c r="C347" s="3" t="s">
        <v>15</v>
      </c>
      <c r="D347" s="3" t="s">
        <v>208</v>
      </c>
      <c r="E347" s="3" t="s">
        <v>209</v>
      </c>
      <c r="F347" s="3" t="s">
        <v>210</v>
      </c>
      <c r="G347" s="3" t="s">
        <v>19</v>
      </c>
      <c r="H347" s="5">
        <v>45944</v>
      </c>
      <c r="I347" s="6"/>
      <c r="J347" s="3" t="s">
        <v>27</v>
      </c>
      <c r="K347" s="6"/>
      <c r="L347" s="6"/>
      <c r="M347" s="3">
        <v>259</v>
      </c>
    </row>
    <row r="348" spans="1:13" x14ac:dyDescent="0.25">
      <c r="A348" s="3" t="s">
        <v>383</v>
      </c>
      <c r="B348" s="3" t="s">
        <v>14</v>
      </c>
      <c r="C348" s="3" t="s">
        <v>15</v>
      </c>
      <c r="D348" s="3" t="s">
        <v>208</v>
      </c>
      <c r="E348" s="3" t="s">
        <v>209</v>
      </c>
      <c r="F348" s="3" t="s">
        <v>210</v>
      </c>
      <c r="G348" s="3" t="s">
        <v>19</v>
      </c>
      <c r="H348" s="5">
        <v>46127</v>
      </c>
      <c r="I348" s="5">
        <v>46194</v>
      </c>
      <c r="J348" s="3" t="s">
        <v>20</v>
      </c>
      <c r="K348" s="3" t="s">
        <v>24</v>
      </c>
      <c r="L348" s="3" t="s">
        <v>25</v>
      </c>
      <c r="M348" s="3">
        <v>67</v>
      </c>
    </row>
    <row r="349" spans="1:13" x14ac:dyDescent="0.25">
      <c r="A349" s="3" t="s">
        <v>384</v>
      </c>
      <c r="B349" s="3" t="s">
        <v>14</v>
      </c>
      <c r="C349" s="3" t="s">
        <v>15</v>
      </c>
      <c r="D349" s="3" t="s">
        <v>208</v>
      </c>
      <c r="E349" s="3" t="s">
        <v>209</v>
      </c>
      <c r="F349" s="3" t="s">
        <v>210</v>
      </c>
      <c r="G349" s="3" t="s">
        <v>19</v>
      </c>
      <c r="H349" s="5">
        <v>46127</v>
      </c>
      <c r="I349" s="6"/>
      <c r="J349" s="3" t="s">
        <v>27</v>
      </c>
      <c r="K349" s="6"/>
      <c r="L349" s="6"/>
      <c r="M349" s="3">
        <v>76</v>
      </c>
    </row>
    <row r="350" spans="1:13" x14ac:dyDescent="0.25">
      <c r="A350" s="3" t="s">
        <v>385</v>
      </c>
      <c r="B350" s="3" t="s">
        <v>14</v>
      </c>
      <c r="C350" s="3" t="s">
        <v>15</v>
      </c>
      <c r="D350" s="3" t="s">
        <v>208</v>
      </c>
      <c r="E350" s="3" t="s">
        <v>209</v>
      </c>
      <c r="F350" s="3" t="s">
        <v>210</v>
      </c>
      <c r="G350" s="3" t="s">
        <v>19</v>
      </c>
      <c r="H350" s="5">
        <v>46127</v>
      </c>
      <c r="I350" s="6"/>
      <c r="J350" s="3" t="s">
        <v>27</v>
      </c>
      <c r="K350" s="6"/>
      <c r="L350" s="6"/>
      <c r="M350" s="3">
        <v>76</v>
      </c>
    </row>
    <row r="351" spans="1:13" x14ac:dyDescent="0.25">
      <c r="A351" s="3" t="s">
        <v>386</v>
      </c>
      <c r="B351" s="3" t="s">
        <v>14</v>
      </c>
      <c r="C351" s="3" t="s">
        <v>15</v>
      </c>
      <c r="D351" s="3" t="s">
        <v>208</v>
      </c>
      <c r="E351" s="3" t="s">
        <v>209</v>
      </c>
      <c r="F351" s="3" t="s">
        <v>210</v>
      </c>
      <c r="G351" s="3" t="s">
        <v>19</v>
      </c>
      <c r="H351" s="5">
        <v>45884</v>
      </c>
      <c r="I351" s="5">
        <v>46131</v>
      </c>
      <c r="J351" s="3" t="s">
        <v>20</v>
      </c>
      <c r="K351" s="3" t="s">
        <v>24</v>
      </c>
      <c r="L351" s="3" t="s">
        <v>55</v>
      </c>
      <c r="M351" s="3">
        <v>247</v>
      </c>
    </row>
    <row r="352" spans="1:13" x14ac:dyDescent="0.25">
      <c r="A352" s="3" t="s">
        <v>387</v>
      </c>
      <c r="B352" s="3" t="s">
        <v>14</v>
      </c>
      <c r="C352" s="3" t="s">
        <v>15</v>
      </c>
      <c r="D352" s="3" t="s">
        <v>208</v>
      </c>
      <c r="E352" s="3" t="s">
        <v>209</v>
      </c>
      <c r="F352" s="3" t="s">
        <v>210</v>
      </c>
      <c r="G352" s="3" t="s">
        <v>19</v>
      </c>
      <c r="H352" s="5">
        <v>46068</v>
      </c>
      <c r="I352" s="7">
        <v>46157</v>
      </c>
      <c r="J352" s="3" t="s">
        <v>20</v>
      </c>
      <c r="K352" s="3" t="s">
        <v>24</v>
      </c>
      <c r="L352" s="3" t="s">
        <v>25</v>
      </c>
      <c r="M352" s="3">
        <v>89</v>
      </c>
    </row>
    <row r="353" spans="1:13" x14ac:dyDescent="0.25">
      <c r="A353" s="3" t="s">
        <v>388</v>
      </c>
      <c r="B353" s="3" t="s">
        <v>14</v>
      </c>
      <c r="C353" s="3" t="s">
        <v>15</v>
      </c>
      <c r="D353" s="3" t="s">
        <v>208</v>
      </c>
      <c r="E353" s="3" t="s">
        <v>209</v>
      </c>
      <c r="F353" s="3" t="s">
        <v>210</v>
      </c>
      <c r="G353" s="3" t="s">
        <v>19</v>
      </c>
      <c r="H353" s="7">
        <v>46157</v>
      </c>
      <c r="I353" s="7">
        <v>46161</v>
      </c>
      <c r="J353" s="3" t="s">
        <v>20</v>
      </c>
      <c r="K353" s="3" t="s">
        <v>21</v>
      </c>
      <c r="L353" s="3" t="s">
        <v>30</v>
      </c>
      <c r="M353" s="3">
        <v>4</v>
      </c>
    </row>
    <row r="354" spans="1:13" x14ac:dyDescent="0.25">
      <c r="A354" s="3" t="s">
        <v>389</v>
      </c>
      <c r="B354" s="3" t="s">
        <v>14</v>
      </c>
      <c r="C354" s="3" t="s">
        <v>15</v>
      </c>
      <c r="D354" s="3" t="s">
        <v>208</v>
      </c>
      <c r="E354" s="3" t="s">
        <v>209</v>
      </c>
      <c r="F354" s="3" t="s">
        <v>210</v>
      </c>
      <c r="G354" s="3" t="s">
        <v>19</v>
      </c>
      <c r="H354" s="7">
        <v>46157</v>
      </c>
      <c r="I354" s="7">
        <v>46173</v>
      </c>
      <c r="J354" s="3" t="s">
        <v>20</v>
      </c>
      <c r="K354" s="3" t="s">
        <v>21</v>
      </c>
      <c r="L354" s="3" t="s">
        <v>61</v>
      </c>
      <c r="M354" s="3">
        <v>16</v>
      </c>
    </row>
    <row r="355" spans="1:13" x14ac:dyDescent="0.25">
      <c r="A355" s="3" t="s">
        <v>390</v>
      </c>
      <c r="B355" s="3" t="s">
        <v>14</v>
      </c>
      <c r="C355" s="3" t="s">
        <v>15</v>
      </c>
      <c r="D355" s="3" t="s">
        <v>208</v>
      </c>
      <c r="E355" s="3" t="s">
        <v>209</v>
      </c>
      <c r="F355" s="3" t="s">
        <v>210</v>
      </c>
      <c r="G355" s="3" t="s">
        <v>19</v>
      </c>
      <c r="H355" s="7">
        <v>46157</v>
      </c>
      <c r="I355" s="6"/>
      <c r="J355" s="3" t="s">
        <v>27</v>
      </c>
      <c r="K355" s="6"/>
      <c r="L355" s="6"/>
      <c r="M355" s="3">
        <v>46</v>
      </c>
    </row>
    <row r="356" spans="1:13" x14ac:dyDescent="0.25">
      <c r="A356" s="3" t="s">
        <v>391</v>
      </c>
      <c r="B356" s="3" t="s">
        <v>14</v>
      </c>
      <c r="C356" s="3" t="s">
        <v>15</v>
      </c>
      <c r="D356" s="3" t="s">
        <v>208</v>
      </c>
      <c r="E356" s="3" t="s">
        <v>209</v>
      </c>
      <c r="F356" s="3" t="s">
        <v>210</v>
      </c>
      <c r="G356" s="3" t="s">
        <v>19</v>
      </c>
      <c r="H356" s="7">
        <v>46157</v>
      </c>
      <c r="I356" s="7">
        <v>46157</v>
      </c>
      <c r="J356" s="3" t="s">
        <v>20</v>
      </c>
      <c r="K356" s="3" t="s">
        <v>21</v>
      </c>
      <c r="L356" s="3" t="s">
        <v>50</v>
      </c>
      <c r="M356" s="3">
        <v>0</v>
      </c>
    </row>
    <row r="357" spans="1:13" x14ac:dyDescent="0.25">
      <c r="A357" s="3" t="s">
        <v>392</v>
      </c>
      <c r="B357" s="3" t="s">
        <v>14</v>
      </c>
      <c r="C357" s="3" t="s">
        <v>15</v>
      </c>
      <c r="D357" s="3" t="s">
        <v>208</v>
      </c>
      <c r="E357" s="3" t="s">
        <v>209</v>
      </c>
      <c r="F357" s="3" t="s">
        <v>210</v>
      </c>
      <c r="G357" s="3" t="s">
        <v>19</v>
      </c>
      <c r="H357" s="7">
        <v>46157</v>
      </c>
      <c r="I357" s="6"/>
      <c r="J357" s="3" t="s">
        <v>27</v>
      </c>
      <c r="K357" s="6"/>
      <c r="L357" s="6"/>
      <c r="M357" s="3">
        <v>46</v>
      </c>
    </row>
    <row r="358" spans="1:13" x14ac:dyDescent="0.25">
      <c r="A358" s="3" t="s">
        <v>393</v>
      </c>
      <c r="B358" s="3" t="s">
        <v>14</v>
      </c>
      <c r="C358" s="3" t="s">
        <v>15</v>
      </c>
      <c r="D358" s="3" t="s">
        <v>208</v>
      </c>
      <c r="E358" s="3" t="s">
        <v>209</v>
      </c>
      <c r="F358" s="3" t="s">
        <v>210</v>
      </c>
      <c r="G358" s="3" t="s">
        <v>19</v>
      </c>
      <c r="H358" s="7">
        <v>46157</v>
      </c>
      <c r="I358" s="6"/>
      <c r="J358" s="3" t="s">
        <v>27</v>
      </c>
      <c r="K358" s="6"/>
      <c r="L358" s="6"/>
      <c r="M358" s="3">
        <v>46</v>
      </c>
    </row>
    <row r="359" spans="1:13" x14ac:dyDescent="0.25">
      <c r="A359" s="3" t="s">
        <v>394</v>
      </c>
      <c r="B359" s="3" t="s">
        <v>14</v>
      </c>
      <c r="C359" s="3" t="s">
        <v>15</v>
      </c>
      <c r="D359" s="3" t="s">
        <v>208</v>
      </c>
      <c r="E359" s="3" t="s">
        <v>209</v>
      </c>
      <c r="F359" s="3" t="s">
        <v>210</v>
      </c>
      <c r="G359" s="3" t="s">
        <v>19</v>
      </c>
      <c r="H359" s="5">
        <v>46128</v>
      </c>
      <c r="I359" s="5">
        <v>46138</v>
      </c>
      <c r="J359" s="3" t="s">
        <v>20</v>
      </c>
      <c r="K359" s="3" t="s">
        <v>21</v>
      </c>
      <c r="L359" s="3" t="s">
        <v>37</v>
      </c>
      <c r="M359" s="3">
        <v>10</v>
      </c>
    </row>
    <row r="360" spans="1:13" x14ac:dyDescent="0.25">
      <c r="A360" s="3" t="s">
        <v>395</v>
      </c>
      <c r="B360" s="3" t="s">
        <v>14</v>
      </c>
      <c r="C360" s="3" t="s">
        <v>15</v>
      </c>
      <c r="D360" s="3" t="s">
        <v>208</v>
      </c>
      <c r="E360" s="3" t="s">
        <v>209</v>
      </c>
      <c r="F360" s="3" t="s">
        <v>210</v>
      </c>
      <c r="G360" s="3" t="s">
        <v>19</v>
      </c>
      <c r="H360" s="5">
        <v>46128</v>
      </c>
      <c r="I360" s="7">
        <v>46155</v>
      </c>
      <c r="J360" s="3" t="s">
        <v>20</v>
      </c>
      <c r="K360" s="3" t="s">
        <v>24</v>
      </c>
      <c r="L360" s="3" t="s">
        <v>44</v>
      </c>
      <c r="M360" s="3">
        <v>27</v>
      </c>
    </row>
    <row r="361" spans="1:13" x14ac:dyDescent="0.25">
      <c r="A361" s="3" t="s">
        <v>396</v>
      </c>
      <c r="B361" s="3" t="s">
        <v>14</v>
      </c>
      <c r="C361" s="3" t="s">
        <v>15</v>
      </c>
      <c r="D361" s="3" t="s">
        <v>208</v>
      </c>
      <c r="E361" s="3" t="s">
        <v>209</v>
      </c>
      <c r="F361" s="3" t="s">
        <v>210</v>
      </c>
      <c r="G361" s="3" t="s">
        <v>19</v>
      </c>
      <c r="H361" s="5">
        <v>46128</v>
      </c>
      <c r="I361" s="5">
        <v>46202</v>
      </c>
      <c r="J361" s="3" t="s">
        <v>20</v>
      </c>
      <c r="K361" s="3" t="s">
        <v>24</v>
      </c>
      <c r="L361" s="3" t="s">
        <v>55</v>
      </c>
      <c r="M361" s="3">
        <v>74</v>
      </c>
    </row>
    <row r="362" spans="1:13" x14ac:dyDescent="0.25">
      <c r="A362" s="3" t="s">
        <v>397</v>
      </c>
      <c r="B362" s="3" t="s">
        <v>14</v>
      </c>
      <c r="C362" s="3" t="s">
        <v>15</v>
      </c>
      <c r="D362" s="3" t="s">
        <v>208</v>
      </c>
      <c r="E362" s="3" t="s">
        <v>209</v>
      </c>
      <c r="F362" s="3" t="s">
        <v>210</v>
      </c>
      <c r="G362" s="3" t="s">
        <v>19</v>
      </c>
      <c r="H362" s="5">
        <v>46128</v>
      </c>
      <c r="I362" s="5">
        <v>46198</v>
      </c>
      <c r="J362" s="3" t="s">
        <v>20</v>
      </c>
      <c r="K362" s="3" t="s">
        <v>24</v>
      </c>
      <c r="L362" s="3" t="s">
        <v>41</v>
      </c>
      <c r="M362" s="3">
        <v>70</v>
      </c>
    </row>
    <row r="363" spans="1:13" x14ac:dyDescent="0.25">
      <c r="A363" s="3" t="s">
        <v>398</v>
      </c>
      <c r="B363" s="3" t="s">
        <v>14</v>
      </c>
      <c r="C363" s="3" t="s">
        <v>15</v>
      </c>
      <c r="D363" s="3" t="s">
        <v>208</v>
      </c>
      <c r="E363" s="3" t="s">
        <v>209</v>
      </c>
      <c r="F363" s="3" t="s">
        <v>210</v>
      </c>
      <c r="G363" s="3" t="s">
        <v>19</v>
      </c>
      <c r="H363" s="5">
        <v>46069</v>
      </c>
      <c r="I363" s="6"/>
      <c r="J363" s="3" t="s">
        <v>27</v>
      </c>
      <c r="K363" s="6"/>
      <c r="L363" s="6"/>
      <c r="M363" s="3">
        <v>134</v>
      </c>
    </row>
    <row r="364" spans="1:13" x14ac:dyDescent="0.25">
      <c r="A364" s="3" t="s">
        <v>399</v>
      </c>
      <c r="B364" s="3" t="s">
        <v>14</v>
      </c>
      <c r="C364" s="3" t="s">
        <v>15</v>
      </c>
      <c r="D364" s="3" t="s">
        <v>208</v>
      </c>
      <c r="E364" s="3" t="s">
        <v>209</v>
      </c>
      <c r="F364" s="3" t="s">
        <v>210</v>
      </c>
      <c r="G364" s="3" t="s">
        <v>19</v>
      </c>
      <c r="H364" s="5">
        <v>46038</v>
      </c>
      <c r="I364" s="4">
        <v>46118</v>
      </c>
      <c r="J364" s="3" t="s">
        <v>20</v>
      </c>
      <c r="K364" s="3" t="s">
        <v>24</v>
      </c>
      <c r="L364" s="3" t="s">
        <v>41</v>
      </c>
      <c r="M364" s="3">
        <v>80</v>
      </c>
    </row>
    <row r="365" spans="1:13" x14ac:dyDescent="0.25">
      <c r="A365" s="3" t="s">
        <v>400</v>
      </c>
      <c r="B365" s="3" t="s">
        <v>14</v>
      </c>
      <c r="C365" s="3" t="s">
        <v>15</v>
      </c>
      <c r="D365" s="3" t="s">
        <v>208</v>
      </c>
      <c r="E365" s="3" t="s">
        <v>209</v>
      </c>
      <c r="F365" s="3" t="s">
        <v>210</v>
      </c>
      <c r="G365" s="3" t="s">
        <v>19</v>
      </c>
      <c r="H365" s="5">
        <v>45854</v>
      </c>
      <c r="I365" s="5">
        <v>46128</v>
      </c>
      <c r="J365" s="3" t="s">
        <v>20</v>
      </c>
      <c r="K365" s="3" t="s">
        <v>21</v>
      </c>
      <c r="L365" s="3" t="s">
        <v>61</v>
      </c>
      <c r="M365" s="3">
        <v>274</v>
      </c>
    </row>
    <row r="366" spans="1:13" x14ac:dyDescent="0.25">
      <c r="A366" s="3" t="s">
        <v>401</v>
      </c>
      <c r="B366" s="3" t="s">
        <v>14</v>
      </c>
      <c r="C366" s="3" t="s">
        <v>15</v>
      </c>
      <c r="D366" s="3" t="s">
        <v>208</v>
      </c>
      <c r="E366" s="3" t="s">
        <v>209</v>
      </c>
      <c r="F366" s="3" t="s">
        <v>210</v>
      </c>
      <c r="G366" s="3" t="s">
        <v>19</v>
      </c>
      <c r="H366" s="5">
        <v>45854</v>
      </c>
      <c r="I366" s="4">
        <v>46177</v>
      </c>
      <c r="J366" s="3" t="s">
        <v>20</v>
      </c>
      <c r="K366" s="3" t="s">
        <v>24</v>
      </c>
      <c r="L366" s="3" t="s">
        <v>55</v>
      </c>
      <c r="M366" s="3">
        <v>323</v>
      </c>
    </row>
    <row r="367" spans="1:13" x14ac:dyDescent="0.25">
      <c r="A367" s="3" t="s">
        <v>402</v>
      </c>
      <c r="B367" s="3" t="s">
        <v>14</v>
      </c>
      <c r="C367" s="3" t="s">
        <v>15</v>
      </c>
      <c r="D367" s="3" t="s">
        <v>208</v>
      </c>
      <c r="E367" s="3" t="s">
        <v>209</v>
      </c>
      <c r="F367" s="3" t="s">
        <v>210</v>
      </c>
      <c r="G367" s="3" t="s">
        <v>19</v>
      </c>
      <c r="H367" s="5">
        <v>46189</v>
      </c>
      <c r="I367" s="5">
        <v>46189</v>
      </c>
      <c r="J367" s="3" t="s">
        <v>20</v>
      </c>
      <c r="K367" s="3" t="s">
        <v>21</v>
      </c>
      <c r="L367" s="3" t="s">
        <v>22</v>
      </c>
      <c r="M367" s="3">
        <v>0</v>
      </c>
    </row>
    <row r="368" spans="1:13" x14ac:dyDescent="0.25">
      <c r="A368" s="3" t="s">
        <v>403</v>
      </c>
      <c r="B368" s="3" t="s">
        <v>14</v>
      </c>
      <c r="C368" s="3" t="s">
        <v>15</v>
      </c>
      <c r="D368" s="3" t="s">
        <v>208</v>
      </c>
      <c r="E368" s="3" t="s">
        <v>209</v>
      </c>
      <c r="F368" s="3" t="s">
        <v>210</v>
      </c>
      <c r="G368" s="3" t="s">
        <v>19</v>
      </c>
      <c r="H368" s="7">
        <v>46158</v>
      </c>
      <c r="I368" s="7">
        <v>46162</v>
      </c>
      <c r="J368" s="3" t="s">
        <v>20</v>
      </c>
      <c r="K368" s="3" t="s">
        <v>21</v>
      </c>
      <c r="L368" s="3" t="s">
        <v>61</v>
      </c>
      <c r="M368" s="3">
        <v>4</v>
      </c>
    </row>
    <row r="369" spans="1:13" x14ac:dyDescent="0.25">
      <c r="A369" s="3" t="s">
        <v>404</v>
      </c>
      <c r="B369" s="3" t="s">
        <v>14</v>
      </c>
      <c r="C369" s="3" t="s">
        <v>15</v>
      </c>
      <c r="D369" s="3" t="s">
        <v>208</v>
      </c>
      <c r="E369" s="3" t="s">
        <v>209</v>
      </c>
      <c r="F369" s="3" t="s">
        <v>210</v>
      </c>
      <c r="G369" s="3" t="s">
        <v>19</v>
      </c>
      <c r="H369" s="7">
        <v>46158</v>
      </c>
      <c r="I369" s="6"/>
      <c r="J369" s="3" t="s">
        <v>27</v>
      </c>
      <c r="K369" s="6"/>
      <c r="L369" s="6"/>
      <c r="M369" s="3">
        <v>45</v>
      </c>
    </row>
    <row r="370" spans="1:13" x14ac:dyDescent="0.25">
      <c r="A370" s="3" t="s">
        <v>405</v>
      </c>
      <c r="B370" s="3" t="s">
        <v>14</v>
      </c>
      <c r="C370" s="3" t="s">
        <v>15</v>
      </c>
      <c r="D370" s="3" t="s">
        <v>208</v>
      </c>
      <c r="E370" s="3" t="s">
        <v>209</v>
      </c>
      <c r="F370" s="3" t="s">
        <v>210</v>
      </c>
      <c r="G370" s="3" t="s">
        <v>19</v>
      </c>
      <c r="H370" s="7">
        <v>46158</v>
      </c>
      <c r="I370" s="4">
        <v>46176</v>
      </c>
      <c r="J370" s="3" t="s">
        <v>20</v>
      </c>
      <c r="K370" s="3" t="s">
        <v>24</v>
      </c>
      <c r="L370" s="3" t="s">
        <v>55</v>
      </c>
      <c r="M370" s="3">
        <v>18</v>
      </c>
    </row>
    <row r="371" spans="1:13" x14ac:dyDescent="0.25">
      <c r="A371" s="3" t="s">
        <v>406</v>
      </c>
      <c r="B371" s="3" t="s">
        <v>14</v>
      </c>
      <c r="C371" s="3" t="s">
        <v>15</v>
      </c>
      <c r="D371" s="3" t="s">
        <v>208</v>
      </c>
      <c r="E371" s="3" t="s">
        <v>209</v>
      </c>
      <c r="F371" s="3" t="s">
        <v>210</v>
      </c>
      <c r="G371" s="3" t="s">
        <v>19</v>
      </c>
      <c r="H371" s="7">
        <v>46158</v>
      </c>
      <c r="I371" s="7">
        <v>46158</v>
      </c>
      <c r="J371" s="3" t="s">
        <v>20</v>
      </c>
      <c r="K371" s="3" t="s">
        <v>21</v>
      </c>
      <c r="L371" s="3" t="s">
        <v>37</v>
      </c>
      <c r="M371" s="3">
        <v>0</v>
      </c>
    </row>
    <row r="372" spans="1:13" x14ac:dyDescent="0.25">
      <c r="A372" s="3" t="s">
        <v>407</v>
      </c>
      <c r="B372" s="3" t="s">
        <v>14</v>
      </c>
      <c r="C372" s="3" t="s">
        <v>15</v>
      </c>
      <c r="D372" s="3" t="s">
        <v>208</v>
      </c>
      <c r="E372" s="3" t="s">
        <v>209</v>
      </c>
      <c r="F372" s="3" t="s">
        <v>210</v>
      </c>
      <c r="G372" s="3" t="s">
        <v>19</v>
      </c>
      <c r="H372" s="7">
        <v>46158</v>
      </c>
      <c r="I372" s="7">
        <v>46158</v>
      </c>
      <c r="J372" s="3" t="s">
        <v>20</v>
      </c>
      <c r="K372" s="3" t="s">
        <v>21</v>
      </c>
      <c r="L372" s="3" t="s">
        <v>37</v>
      </c>
      <c r="M372" s="3">
        <v>0</v>
      </c>
    </row>
    <row r="373" spans="1:13" x14ac:dyDescent="0.25">
      <c r="A373" s="3" t="s">
        <v>408</v>
      </c>
      <c r="B373" s="3" t="s">
        <v>14</v>
      </c>
      <c r="C373" s="3" t="s">
        <v>15</v>
      </c>
      <c r="D373" s="3" t="s">
        <v>208</v>
      </c>
      <c r="E373" s="3" t="s">
        <v>209</v>
      </c>
      <c r="F373" s="3" t="s">
        <v>210</v>
      </c>
      <c r="G373" s="3" t="s">
        <v>19</v>
      </c>
      <c r="H373" s="7">
        <v>46158</v>
      </c>
      <c r="I373" s="6"/>
      <c r="J373" s="3" t="s">
        <v>27</v>
      </c>
      <c r="K373" s="6"/>
      <c r="L373" s="6"/>
      <c r="M373" s="3">
        <v>45</v>
      </c>
    </row>
    <row r="374" spans="1:13" x14ac:dyDescent="0.25">
      <c r="A374" s="3" t="s">
        <v>409</v>
      </c>
      <c r="B374" s="3" t="s">
        <v>14</v>
      </c>
      <c r="C374" s="3" t="s">
        <v>15</v>
      </c>
      <c r="D374" s="3" t="s">
        <v>208</v>
      </c>
      <c r="E374" s="3" t="s">
        <v>209</v>
      </c>
      <c r="F374" s="3" t="s">
        <v>210</v>
      </c>
      <c r="G374" s="3" t="s">
        <v>19</v>
      </c>
      <c r="H374" s="7">
        <v>46158</v>
      </c>
      <c r="I374" s="6"/>
      <c r="J374" s="3" t="s">
        <v>27</v>
      </c>
      <c r="K374" s="6"/>
      <c r="L374" s="6"/>
      <c r="M374" s="3">
        <v>45</v>
      </c>
    </row>
    <row r="375" spans="1:13" x14ac:dyDescent="0.25">
      <c r="A375" s="3" t="s">
        <v>410</v>
      </c>
      <c r="B375" s="3" t="s">
        <v>14</v>
      </c>
      <c r="C375" s="3" t="s">
        <v>15</v>
      </c>
      <c r="D375" s="3" t="s">
        <v>208</v>
      </c>
      <c r="E375" s="3" t="s">
        <v>209</v>
      </c>
      <c r="F375" s="3" t="s">
        <v>210</v>
      </c>
      <c r="G375" s="3" t="s">
        <v>19</v>
      </c>
      <c r="H375" s="5">
        <v>45916</v>
      </c>
      <c r="I375" s="5">
        <v>46133</v>
      </c>
      <c r="J375" s="3" t="s">
        <v>20</v>
      </c>
      <c r="K375" s="3" t="s">
        <v>24</v>
      </c>
      <c r="L375" s="3" t="s">
        <v>41</v>
      </c>
      <c r="M375" s="3">
        <v>217</v>
      </c>
    </row>
    <row r="376" spans="1:13" x14ac:dyDescent="0.25">
      <c r="A376" s="3" t="s">
        <v>411</v>
      </c>
      <c r="B376" s="3" t="s">
        <v>14</v>
      </c>
      <c r="C376" s="3" t="s">
        <v>15</v>
      </c>
      <c r="D376" s="3" t="s">
        <v>208</v>
      </c>
      <c r="E376" s="3" t="s">
        <v>209</v>
      </c>
      <c r="F376" s="3" t="s">
        <v>210</v>
      </c>
      <c r="G376" s="3" t="s">
        <v>19</v>
      </c>
      <c r="H376" s="5">
        <v>45886</v>
      </c>
      <c r="I376" s="6"/>
      <c r="J376" s="3" t="s">
        <v>27</v>
      </c>
      <c r="K376" s="6"/>
      <c r="L376" s="6"/>
      <c r="M376" s="3">
        <v>317</v>
      </c>
    </row>
    <row r="377" spans="1:13" x14ac:dyDescent="0.25">
      <c r="A377" s="3" t="s">
        <v>412</v>
      </c>
      <c r="B377" s="3" t="s">
        <v>14</v>
      </c>
      <c r="C377" s="3" t="s">
        <v>15</v>
      </c>
      <c r="D377" s="3" t="s">
        <v>208</v>
      </c>
      <c r="E377" s="3" t="s">
        <v>209</v>
      </c>
      <c r="F377" s="3" t="s">
        <v>210</v>
      </c>
      <c r="G377" s="3" t="s">
        <v>19</v>
      </c>
      <c r="H377" s="5">
        <v>46190</v>
      </c>
      <c r="I377" s="5">
        <v>46197</v>
      </c>
      <c r="J377" s="3" t="s">
        <v>20</v>
      </c>
      <c r="K377" s="3" t="s">
        <v>21</v>
      </c>
      <c r="L377" s="3" t="s">
        <v>61</v>
      </c>
      <c r="M377" s="3">
        <v>7</v>
      </c>
    </row>
    <row r="378" spans="1:13" x14ac:dyDescent="0.25">
      <c r="A378" s="3" t="s">
        <v>413</v>
      </c>
      <c r="B378" s="3" t="s">
        <v>14</v>
      </c>
      <c r="C378" s="3" t="s">
        <v>15</v>
      </c>
      <c r="D378" s="3" t="s">
        <v>208</v>
      </c>
      <c r="E378" s="3" t="s">
        <v>209</v>
      </c>
      <c r="F378" s="3" t="s">
        <v>210</v>
      </c>
      <c r="G378" s="3" t="s">
        <v>19</v>
      </c>
      <c r="H378" s="5">
        <v>46190</v>
      </c>
      <c r="I378" s="5">
        <v>46190</v>
      </c>
      <c r="J378" s="3" t="s">
        <v>20</v>
      </c>
      <c r="K378" s="3" t="s">
        <v>21</v>
      </c>
      <c r="L378" s="3" t="s">
        <v>37</v>
      </c>
      <c r="M378" s="3">
        <v>0</v>
      </c>
    </row>
    <row r="379" spans="1:13" x14ac:dyDescent="0.25">
      <c r="A379" s="3" t="s">
        <v>414</v>
      </c>
      <c r="B379" s="3" t="s">
        <v>14</v>
      </c>
      <c r="C379" s="3" t="s">
        <v>15</v>
      </c>
      <c r="D379" s="3" t="s">
        <v>208</v>
      </c>
      <c r="E379" s="3" t="s">
        <v>209</v>
      </c>
      <c r="F379" s="3" t="s">
        <v>210</v>
      </c>
      <c r="G379" s="3" t="s">
        <v>19</v>
      </c>
      <c r="H379" s="5">
        <v>45733</v>
      </c>
      <c r="I379" s="7">
        <v>46159</v>
      </c>
      <c r="J379" s="3" t="s">
        <v>20</v>
      </c>
      <c r="K379" s="3" t="s">
        <v>24</v>
      </c>
      <c r="L379" s="3" t="s">
        <v>55</v>
      </c>
      <c r="M379" s="3">
        <v>426</v>
      </c>
    </row>
    <row r="380" spans="1:13" x14ac:dyDescent="0.25">
      <c r="A380" s="3" t="s">
        <v>415</v>
      </c>
      <c r="B380" s="3" t="s">
        <v>14</v>
      </c>
      <c r="C380" s="3" t="s">
        <v>15</v>
      </c>
      <c r="D380" s="3" t="s">
        <v>208</v>
      </c>
      <c r="E380" s="3" t="s">
        <v>209</v>
      </c>
      <c r="F380" s="3" t="s">
        <v>210</v>
      </c>
      <c r="G380" s="3" t="s">
        <v>19</v>
      </c>
      <c r="H380" s="5">
        <v>46098</v>
      </c>
      <c r="I380" s="7">
        <v>46156</v>
      </c>
      <c r="J380" s="3" t="s">
        <v>20</v>
      </c>
      <c r="K380" s="3" t="s">
        <v>24</v>
      </c>
      <c r="L380" s="3" t="s">
        <v>55</v>
      </c>
      <c r="M380" s="3">
        <v>58</v>
      </c>
    </row>
    <row r="381" spans="1:13" x14ac:dyDescent="0.25">
      <c r="A381" s="3" t="s">
        <v>416</v>
      </c>
      <c r="B381" s="3" t="s">
        <v>14</v>
      </c>
      <c r="C381" s="3" t="s">
        <v>15</v>
      </c>
      <c r="D381" s="3" t="s">
        <v>208</v>
      </c>
      <c r="E381" s="3" t="s">
        <v>209</v>
      </c>
      <c r="F381" s="3" t="s">
        <v>210</v>
      </c>
      <c r="G381" s="3" t="s">
        <v>19</v>
      </c>
      <c r="H381" s="7">
        <v>46159</v>
      </c>
      <c r="I381" s="6"/>
      <c r="J381" s="3" t="s">
        <v>27</v>
      </c>
      <c r="K381" s="6"/>
      <c r="L381" s="6"/>
      <c r="M381" s="3">
        <v>44</v>
      </c>
    </row>
    <row r="382" spans="1:13" x14ac:dyDescent="0.25">
      <c r="A382" s="3" t="s">
        <v>417</v>
      </c>
      <c r="B382" s="3" t="s">
        <v>14</v>
      </c>
      <c r="C382" s="3" t="s">
        <v>15</v>
      </c>
      <c r="D382" s="3" t="s">
        <v>208</v>
      </c>
      <c r="E382" s="3" t="s">
        <v>209</v>
      </c>
      <c r="F382" s="3" t="s">
        <v>210</v>
      </c>
      <c r="G382" s="3" t="s">
        <v>19</v>
      </c>
      <c r="H382" s="7">
        <v>46159</v>
      </c>
      <c r="I382" s="7">
        <v>46170</v>
      </c>
      <c r="J382" s="3" t="s">
        <v>20</v>
      </c>
      <c r="K382" s="3" t="s">
        <v>21</v>
      </c>
      <c r="L382" s="3" t="s">
        <v>50</v>
      </c>
      <c r="M382" s="3">
        <v>11</v>
      </c>
    </row>
    <row r="383" spans="1:13" x14ac:dyDescent="0.25">
      <c r="A383" s="3" t="s">
        <v>418</v>
      </c>
      <c r="B383" s="3" t="s">
        <v>14</v>
      </c>
      <c r="C383" s="3" t="s">
        <v>15</v>
      </c>
      <c r="D383" s="3" t="s">
        <v>208</v>
      </c>
      <c r="E383" s="3" t="s">
        <v>209</v>
      </c>
      <c r="F383" s="3" t="s">
        <v>210</v>
      </c>
      <c r="G383" s="3" t="s">
        <v>19</v>
      </c>
      <c r="H383" s="7">
        <v>46159</v>
      </c>
      <c r="I383" s="7">
        <v>46159</v>
      </c>
      <c r="J383" s="3" t="s">
        <v>20</v>
      </c>
      <c r="K383" s="3" t="s">
        <v>21</v>
      </c>
      <c r="L383" s="3" t="s">
        <v>50</v>
      </c>
      <c r="M383" s="3">
        <v>0</v>
      </c>
    </row>
    <row r="384" spans="1:13" x14ac:dyDescent="0.25">
      <c r="A384" s="3" t="s">
        <v>419</v>
      </c>
      <c r="B384" s="3" t="s">
        <v>14</v>
      </c>
      <c r="C384" s="3" t="s">
        <v>15</v>
      </c>
      <c r="D384" s="3" t="s">
        <v>208</v>
      </c>
      <c r="E384" s="3" t="s">
        <v>209</v>
      </c>
      <c r="F384" s="3" t="s">
        <v>210</v>
      </c>
      <c r="G384" s="3" t="s">
        <v>19</v>
      </c>
      <c r="H384" s="7">
        <v>46159</v>
      </c>
      <c r="I384" s="6"/>
      <c r="J384" s="3" t="s">
        <v>27</v>
      </c>
      <c r="K384" s="6"/>
      <c r="L384" s="6"/>
      <c r="M384" s="3">
        <v>44</v>
      </c>
    </row>
    <row r="385" spans="1:13" x14ac:dyDescent="0.25">
      <c r="A385" s="3" t="s">
        <v>420</v>
      </c>
      <c r="B385" s="3" t="s">
        <v>14</v>
      </c>
      <c r="C385" s="3" t="s">
        <v>15</v>
      </c>
      <c r="D385" s="3" t="s">
        <v>208</v>
      </c>
      <c r="E385" s="3" t="s">
        <v>209</v>
      </c>
      <c r="F385" s="3" t="s">
        <v>210</v>
      </c>
      <c r="G385" s="3" t="s">
        <v>19</v>
      </c>
      <c r="H385" s="5">
        <v>45978</v>
      </c>
      <c r="I385" s="5">
        <v>46123</v>
      </c>
      <c r="J385" s="3" t="s">
        <v>20</v>
      </c>
      <c r="K385" s="3" t="s">
        <v>24</v>
      </c>
      <c r="L385" s="3" t="s">
        <v>44</v>
      </c>
      <c r="M385" s="3">
        <v>145</v>
      </c>
    </row>
    <row r="386" spans="1:13" x14ac:dyDescent="0.25">
      <c r="A386" s="3" t="s">
        <v>421</v>
      </c>
      <c r="B386" s="3" t="s">
        <v>14</v>
      </c>
      <c r="C386" s="3" t="s">
        <v>15</v>
      </c>
      <c r="D386" s="3" t="s">
        <v>208</v>
      </c>
      <c r="E386" s="3" t="s">
        <v>209</v>
      </c>
      <c r="F386" s="3" t="s">
        <v>210</v>
      </c>
      <c r="G386" s="3" t="s">
        <v>19</v>
      </c>
      <c r="H386" s="5">
        <v>46130</v>
      </c>
      <c r="I386" s="5">
        <v>46130</v>
      </c>
      <c r="J386" s="3" t="s">
        <v>20</v>
      </c>
      <c r="K386" s="3" t="s">
        <v>21</v>
      </c>
      <c r="L386" s="3" t="s">
        <v>37</v>
      </c>
      <c r="M386" s="3">
        <v>0</v>
      </c>
    </row>
    <row r="387" spans="1:13" x14ac:dyDescent="0.25">
      <c r="A387" s="3" t="s">
        <v>422</v>
      </c>
      <c r="B387" s="3" t="s">
        <v>14</v>
      </c>
      <c r="C387" s="3" t="s">
        <v>15</v>
      </c>
      <c r="D387" s="3" t="s">
        <v>208</v>
      </c>
      <c r="E387" s="3" t="s">
        <v>209</v>
      </c>
      <c r="F387" s="3" t="s">
        <v>210</v>
      </c>
      <c r="G387" s="3" t="s">
        <v>19</v>
      </c>
      <c r="H387" s="5">
        <v>46130</v>
      </c>
      <c r="I387" s="6"/>
      <c r="J387" s="3" t="s">
        <v>27</v>
      </c>
      <c r="K387" s="6"/>
      <c r="L387" s="6"/>
      <c r="M387" s="3">
        <v>73</v>
      </c>
    </row>
    <row r="388" spans="1:13" x14ac:dyDescent="0.25">
      <c r="A388" s="3" t="s">
        <v>423</v>
      </c>
      <c r="B388" s="3" t="s">
        <v>14</v>
      </c>
      <c r="C388" s="3" t="s">
        <v>15</v>
      </c>
      <c r="D388" s="3" t="s">
        <v>208</v>
      </c>
      <c r="E388" s="3" t="s">
        <v>209</v>
      </c>
      <c r="F388" s="3" t="s">
        <v>210</v>
      </c>
      <c r="G388" s="3" t="s">
        <v>19</v>
      </c>
      <c r="H388" s="5">
        <v>46130</v>
      </c>
      <c r="I388" s="7">
        <v>46157</v>
      </c>
      <c r="J388" s="3" t="s">
        <v>20</v>
      </c>
      <c r="K388" s="3" t="s">
        <v>24</v>
      </c>
      <c r="L388" s="3" t="s">
        <v>41</v>
      </c>
      <c r="M388" s="3">
        <v>27</v>
      </c>
    </row>
    <row r="389" spans="1:13" x14ac:dyDescent="0.25">
      <c r="A389" s="3" t="s">
        <v>424</v>
      </c>
      <c r="B389" s="3" t="s">
        <v>14</v>
      </c>
      <c r="C389" s="3" t="s">
        <v>15</v>
      </c>
      <c r="D389" s="3" t="s">
        <v>208</v>
      </c>
      <c r="E389" s="3" t="s">
        <v>209</v>
      </c>
      <c r="F389" s="3" t="s">
        <v>210</v>
      </c>
      <c r="G389" s="3" t="s">
        <v>19</v>
      </c>
      <c r="H389" s="5">
        <v>46130</v>
      </c>
      <c r="I389" s="7">
        <v>46169</v>
      </c>
      <c r="J389" s="3" t="s">
        <v>20</v>
      </c>
      <c r="K389" s="3" t="s">
        <v>24</v>
      </c>
      <c r="L389" s="3" t="s">
        <v>55</v>
      </c>
      <c r="M389" s="3">
        <v>39</v>
      </c>
    </row>
    <row r="390" spans="1:13" x14ac:dyDescent="0.25">
      <c r="A390" s="3" t="s">
        <v>425</v>
      </c>
      <c r="B390" s="3" t="s">
        <v>14</v>
      </c>
      <c r="C390" s="3" t="s">
        <v>15</v>
      </c>
      <c r="D390" s="3" t="s">
        <v>208</v>
      </c>
      <c r="E390" s="3" t="s">
        <v>209</v>
      </c>
      <c r="F390" s="3" t="s">
        <v>210</v>
      </c>
      <c r="G390" s="3" t="s">
        <v>19</v>
      </c>
      <c r="H390" s="5">
        <v>46191</v>
      </c>
      <c r="I390" s="5">
        <v>46191</v>
      </c>
      <c r="J390" s="3" t="s">
        <v>20</v>
      </c>
      <c r="K390" s="3" t="s">
        <v>21</v>
      </c>
      <c r="L390" s="3" t="s">
        <v>33</v>
      </c>
      <c r="M390" s="3">
        <v>0</v>
      </c>
    </row>
    <row r="391" spans="1:13" x14ac:dyDescent="0.25">
      <c r="A391" s="3" t="s">
        <v>426</v>
      </c>
      <c r="B391" s="3" t="s">
        <v>14</v>
      </c>
      <c r="C391" s="3" t="s">
        <v>15</v>
      </c>
      <c r="D391" s="3" t="s">
        <v>208</v>
      </c>
      <c r="E391" s="3" t="s">
        <v>209</v>
      </c>
      <c r="F391" s="3" t="s">
        <v>210</v>
      </c>
      <c r="G391" s="3" t="s">
        <v>19</v>
      </c>
      <c r="H391" s="5">
        <v>46191</v>
      </c>
      <c r="I391" s="6"/>
      <c r="J391" s="3" t="s">
        <v>27</v>
      </c>
      <c r="K391" s="6"/>
      <c r="L391" s="6"/>
      <c r="M391" s="3">
        <v>12</v>
      </c>
    </row>
    <row r="392" spans="1:13" x14ac:dyDescent="0.25">
      <c r="A392" s="3" t="s">
        <v>427</v>
      </c>
      <c r="B392" s="3" t="s">
        <v>14</v>
      </c>
      <c r="C392" s="3" t="s">
        <v>15</v>
      </c>
      <c r="D392" s="3" t="s">
        <v>208</v>
      </c>
      <c r="E392" s="3" t="s">
        <v>209</v>
      </c>
      <c r="F392" s="3" t="s">
        <v>210</v>
      </c>
      <c r="G392" s="3" t="s">
        <v>19</v>
      </c>
      <c r="H392" s="5">
        <v>46191</v>
      </c>
      <c r="I392" s="5">
        <v>46191</v>
      </c>
      <c r="J392" s="3" t="s">
        <v>20</v>
      </c>
      <c r="K392" s="3" t="s">
        <v>21</v>
      </c>
      <c r="L392" s="3" t="s">
        <v>61</v>
      </c>
      <c r="M392" s="3">
        <v>0</v>
      </c>
    </row>
    <row r="393" spans="1:13" x14ac:dyDescent="0.25">
      <c r="A393" s="3" t="s">
        <v>428</v>
      </c>
      <c r="B393" s="3" t="s">
        <v>14</v>
      </c>
      <c r="C393" s="3" t="s">
        <v>15</v>
      </c>
      <c r="D393" s="3" t="s">
        <v>208</v>
      </c>
      <c r="E393" s="3" t="s">
        <v>209</v>
      </c>
      <c r="F393" s="3" t="s">
        <v>210</v>
      </c>
      <c r="G393" s="3" t="s">
        <v>19</v>
      </c>
      <c r="H393" s="5">
        <v>46191</v>
      </c>
      <c r="I393" s="6"/>
      <c r="J393" s="3" t="s">
        <v>27</v>
      </c>
      <c r="K393" s="6"/>
      <c r="L393" s="6"/>
      <c r="M393" s="3">
        <v>12</v>
      </c>
    </row>
    <row r="394" spans="1:13" x14ac:dyDescent="0.25">
      <c r="A394" s="3" t="s">
        <v>429</v>
      </c>
      <c r="B394" s="3" t="s">
        <v>14</v>
      </c>
      <c r="C394" s="3" t="s">
        <v>15</v>
      </c>
      <c r="D394" s="3" t="s">
        <v>208</v>
      </c>
      <c r="E394" s="3" t="s">
        <v>209</v>
      </c>
      <c r="F394" s="3" t="s">
        <v>210</v>
      </c>
      <c r="G394" s="3" t="s">
        <v>19</v>
      </c>
      <c r="H394" s="5">
        <v>46191</v>
      </c>
      <c r="I394" s="6"/>
      <c r="J394" s="3" t="s">
        <v>27</v>
      </c>
      <c r="K394" s="6"/>
      <c r="L394" s="6"/>
      <c r="M394" s="3">
        <v>12</v>
      </c>
    </row>
    <row r="395" spans="1:13" x14ac:dyDescent="0.25">
      <c r="A395" s="3" t="s">
        <v>430</v>
      </c>
      <c r="B395" s="3" t="s">
        <v>14</v>
      </c>
      <c r="C395" s="3" t="s">
        <v>15</v>
      </c>
      <c r="D395" s="3" t="s">
        <v>208</v>
      </c>
      <c r="E395" s="3" t="s">
        <v>209</v>
      </c>
      <c r="F395" s="3" t="s">
        <v>210</v>
      </c>
      <c r="G395" s="3" t="s">
        <v>19</v>
      </c>
      <c r="H395" s="5">
        <v>46099</v>
      </c>
      <c r="I395" s="6"/>
      <c r="J395" s="3" t="s">
        <v>27</v>
      </c>
      <c r="K395" s="6"/>
      <c r="L395" s="6"/>
      <c r="M395" s="3">
        <v>104</v>
      </c>
    </row>
    <row r="396" spans="1:13" x14ac:dyDescent="0.25">
      <c r="A396" s="3" t="s">
        <v>431</v>
      </c>
      <c r="B396" s="3" t="s">
        <v>14</v>
      </c>
      <c r="C396" s="3" t="s">
        <v>15</v>
      </c>
      <c r="D396" s="3" t="s">
        <v>208</v>
      </c>
      <c r="E396" s="3" t="s">
        <v>209</v>
      </c>
      <c r="F396" s="3" t="s">
        <v>210</v>
      </c>
      <c r="G396" s="3" t="s">
        <v>19</v>
      </c>
      <c r="H396" s="7">
        <v>46160</v>
      </c>
      <c r="I396" s="6"/>
      <c r="J396" s="3" t="s">
        <v>27</v>
      </c>
      <c r="K396" s="6"/>
      <c r="L396" s="6"/>
      <c r="M396" s="3">
        <v>43</v>
      </c>
    </row>
    <row r="397" spans="1:13" x14ac:dyDescent="0.25">
      <c r="A397" s="3" t="s">
        <v>432</v>
      </c>
      <c r="B397" s="3" t="s">
        <v>14</v>
      </c>
      <c r="C397" s="3" t="s">
        <v>15</v>
      </c>
      <c r="D397" s="3" t="s">
        <v>208</v>
      </c>
      <c r="E397" s="3" t="s">
        <v>209</v>
      </c>
      <c r="F397" s="3" t="s">
        <v>210</v>
      </c>
      <c r="G397" s="3" t="s">
        <v>19</v>
      </c>
      <c r="H397" s="7">
        <v>46160</v>
      </c>
      <c r="I397" s="7">
        <v>46160</v>
      </c>
      <c r="J397" s="3" t="s">
        <v>20</v>
      </c>
      <c r="K397" s="3" t="s">
        <v>21</v>
      </c>
      <c r="L397" s="3" t="s">
        <v>37</v>
      </c>
      <c r="M397" s="3">
        <v>0</v>
      </c>
    </row>
    <row r="398" spans="1:13" x14ac:dyDescent="0.25">
      <c r="A398" s="3" t="s">
        <v>433</v>
      </c>
      <c r="B398" s="3" t="s">
        <v>14</v>
      </c>
      <c r="C398" s="3" t="s">
        <v>15</v>
      </c>
      <c r="D398" s="3" t="s">
        <v>208</v>
      </c>
      <c r="E398" s="3" t="s">
        <v>209</v>
      </c>
      <c r="F398" s="3" t="s">
        <v>210</v>
      </c>
      <c r="G398" s="3" t="s">
        <v>19</v>
      </c>
      <c r="H398" s="7">
        <v>46160</v>
      </c>
      <c r="I398" s="5">
        <v>46199</v>
      </c>
      <c r="J398" s="3" t="s">
        <v>20</v>
      </c>
      <c r="K398" s="3" t="s">
        <v>24</v>
      </c>
      <c r="L398" s="3" t="s">
        <v>25</v>
      </c>
      <c r="M398" s="3">
        <v>39</v>
      </c>
    </row>
    <row r="399" spans="1:13" x14ac:dyDescent="0.25">
      <c r="A399" s="3" t="s">
        <v>434</v>
      </c>
      <c r="B399" s="3" t="s">
        <v>14</v>
      </c>
      <c r="C399" s="3" t="s">
        <v>15</v>
      </c>
      <c r="D399" s="3" t="s">
        <v>208</v>
      </c>
      <c r="E399" s="3" t="s">
        <v>209</v>
      </c>
      <c r="F399" s="3" t="s">
        <v>210</v>
      </c>
      <c r="G399" s="3" t="s">
        <v>19</v>
      </c>
      <c r="H399" s="7">
        <v>46160</v>
      </c>
      <c r="I399" s="5">
        <v>46194</v>
      </c>
      <c r="J399" s="3" t="s">
        <v>20</v>
      </c>
      <c r="K399" s="3" t="s">
        <v>24</v>
      </c>
      <c r="L399" s="3" t="s">
        <v>41</v>
      </c>
      <c r="M399" s="3">
        <v>34</v>
      </c>
    </row>
    <row r="400" spans="1:13" x14ac:dyDescent="0.25">
      <c r="A400" s="3" t="s">
        <v>435</v>
      </c>
      <c r="B400" s="3" t="s">
        <v>14</v>
      </c>
      <c r="C400" s="3" t="s">
        <v>15</v>
      </c>
      <c r="D400" s="3" t="s">
        <v>208</v>
      </c>
      <c r="E400" s="3" t="s">
        <v>209</v>
      </c>
      <c r="F400" s="3" t="s">
        <v>210</v>
      </c>
      <c r="G400" s="3" t="s">
        <v>19</v>
      </c>
      <c r="H400" s="7">
        <v>46160</v>
      </c>
      <c r="I400" s="6"/>
      <c r="J400" s="3" t="s">
        <v>27</v>
      </c>
      <c r="K400" s="6"/>
      <c r="L400" s="6"/>
      <c r="M400" s="3">
        <v>43</v>
      </c>
    </row>
    <row r="401" spans="1:13" x14ac:dyDescent="0.25">
      <c r="A401" s="3" t="s">
        <v>436</v>
      </c>
      <c r="B401" s="3" t="s">
        <v>14</v>
      </c>
      <c r="C401" s="3" t="s">
        <v>15</v>
      </c>
      <c r="D401" s="3" t="s">
        <v>208</v>
      </c>
      <c r="E401" s="3" t="s">
        <v>209</v>
      </c>
      <c r="F401" s="3" t="s">
        <v>210</v>
      </c>
      <c r="G401" s="3" t="s">
        <v>19</v>
      </c>
      <c r="H401" s="7">
        <v>46160</v>
      </c>
      <c r="I401" s="5">
        <v>46200</v>
      </c>
      <c r="J401" s="3" t="s">
        <v>20</v>
      </c>
      <c r="K401" s="3" t="s">
        <v>24</v>
      </c>
      <c r="L401" s="3" t="s">
        <v>25</v>
      </c>
      <c r="M401" s="3">
        <v>40</v>
      </c>
    </row>
    <row r="402" spans="1:13" x14ac:dyDescent="0.25">
      <c r="A402" s="3" t="s">
        <v>437</v>
      </c>
      <c r="B402" s="3" t="s">
        <v>14</v>
      </c>
      <c r="C402" s="3" t="s">
        <v>15</v>
      </c>
      <c r="D402" s="3" t="s">
        <v>208</v>
      </c>
      <c r="E402" s="3" t="s">
        <v>209</v>
      </c>
      <c r="F402" s="3" t="s">
        <v>210</v>
      </c>
      <c r="G402" s="3" t="s">
        <v>19</v>
      </c>
      <c r="H402" s="7">
        <v>46160</v>
      </c>
      <c r="I402" s="7">
        <v>46171</v>
      </c>
      <c r="J402" s="3" t="s">
        <v>20</v>
      </c>
      <c r="K402" s="3" t="s">
        <v>21</v>
      </c>
      <c r="L402" s="3" t="s">
        <v>61</v>
      </c>
      <c r="M402" s="3">
        <v>11</v>
      </c>
    </row>
    <row r="403" spans="1:13" x14ac:dyDescent="0.25">
      <c r="A403" s="3" t="s">
        <v>438</v>
      </c>
      <c r="B403" s="3" t="s">
        <v>14</v>
      </c>
      <c r="C403" s="3" t="s">
        <v>15</v>
      </c>
      <c r="D403" s="3" t="s">
        <v>208</v>
      </c>
      <c r="E403" s="3" t="s">
        <v>209</v>
      </c>
      <c r="F403" s="3" t="s">
        <v>210</v>
      </c>
      <c r="G403" s="3" t="s">
        <v>19</v>
      </c>
      <c r="H403" s="5">
        <v>46131</v>
      </c>
      <c r="I403" s="6"/>
      <c r="J403" s="3" t="s">
        <v>27</v>
      </c>
      <c r="K403" s="6"/>
      <c r="L403" s="6"/>
      <c r="M403" s="3">
        <v>72</v>
      </c>
    </row>
    <row r="404" spans="1:13" x14ac:dyDescent="0.25">
      <c r="A404" s="3" t="s">
        <v>439</v>
      </c>
      <c r="B404" s="3" t="s">
        <v>14</v>
      </c>
      <c r="C404" s="3" t="s">
        <v>15</v>
      </c>
      <c r="D404" s="3" t="s">
        <v>208</v>
      </c>
      <c r="E404" s="3" t="s">
        <v>209</v>
      </c>
      <c r="F404" s="3" t="s">
        <v>210</v>
      </c>
      <c r="G404" s="3" t="s">
        <v>19</v>
      </c>
      <c r="H404" s="5">
        <v>46131</v>
      </c>
      <c r="I404" s="5">
        <v>46133</v>
      </c>
      <c r="J404" s="3" t="s">
        <v>20</v>
      </c>
      <c r="K404" s="3" t="s">
        <v>21</v>
      </c>
      <c r="L404" s="3" t="s">
        <v>37</v>
      </c>
      <c r="M404" s="3">
        <v>2</v>
      </c>
    </row>
    <row r="405" spans="1:13" x14ac:dyDescent="0.25">
      <c r="A405" s="3" t="s">
        <v>440</v>
      </c>
      <c r="B405" s="3" t="s">
        <v>14</v>
      </c>
      <c r="C405" s="3" t="s">
        <v>15</v>
      </c>
      <c r="D405" s="3" t="s">
        <v>208</v>
      </c>
      <c r="E405" s="3" t="s">
        <v>209</v>
      </c>
      <c r="F405" s="3" t="s">
        <v>210</v>
      </c>
      <c r="G405" s="3" t="s">
        <v>19</v>
      </c>
      <c r="H405" s="5">
        <v>46131</v>
      </c>
      <c r="I405" s="5">
        <v>46131</v>
      </c>
      <c r="J405" s="3" t="s">
        <v>20</v>
      </c>
      <c r="K405" s="3" t="s">
        <v>21</v>
      </c>
      <c r="L405" s="3" t="s">
        <v>37</v>
      </c>
      <c r="M405" s="3">
        <v>0</v>
      </c>
    </row>
    <row r="406" spans="1:13" x14ac:dyDescent="0.25">
      <c r="A406" s="3" t="s">
        <v>441</v>
      </c>
      <c r="B406" s="3" t="s">
        <v>14</v>
      </c>
      <c r="C406" s="3" t="s">
        <v>15</v>
      </c>
      <c r="D406" s="3" t="s">
        <v>208</v>
      </c>
      <c r="E406" s="3" t="s">
        <v>209</v>
      </c>
      <c r="F406" s="3" t="s">
        <v>210</v>
      </c>
      <c r="G406" s="3" t="s">
        <v>19</v>
      </c>
      <c r="H406" s="5">
        <v>46131</v>
      </c>
      <c r="I406" s="5">
        <v>46131</v>
      </c>
      <c r="J406" s="3" t="s">
        <v>20</v>
      </c>
      <c r="K406" s="3" t="s">
        <v>21</v>
      </c>
      <c r="L406" s="3" t="s">
        <v>50</v>
      </c>
      <c r="M406" s="3">
        <v>0</v>
      </c>
    </row>
    <row r="407" spans="1:13" x14ac:dyDescent="0.25">
      <c r="A407" s="3" t="s">
        <v>442</v>
      </c>
      <c r="B407" s="3" t="s">
        <v>14</v>
      </c>
      <c r="C407" s="3" t="s">
        <v>15</v>
      </c>
      <c r="D407" s="3" t="s">
        <v>208</v>
      </c>
      <c r="E407" s="3" t="s">
        <v>209</v>
      </c>
      <c r="F407" s="3" t="s">
        <v>210</v>
      </c>
      <c r="G407" s="3" t="s">
        <v>19</v>
      </c>
      <c r="H407" s="5">
        <v>45888</v>
      </c>
      <c r="I407" s="7">
        <v>46160</v>
      </c>
      <c r="J407" s="3" t="s">
        <v>20</v>
      </c>
      <c r="K407" s="3" t="s">
        <v>24</v>
      </c>
      <c r="L407" s="3" t="s">
        <v>55</v>
      </c>
      <c r="M407" s="3">
        <v>272</v>
      </c>
    </row>
    <row r="408" spans="1:13" x14ac:dyDescent="0.25">
      <c r="A408" s="3" t="s">
        <v>443</v>
      </c>
      <c r="B408" s="3" t="s">
        <v>14</v>
      </c>
      <c r="C408" s="3" t="s">
        <v>15</v>
      </c>
      <c r="D408" s="3" t="s">
        <v>208</v>
      </c>
      <c r="E408" s="3" t="s">
        <v>209</v>
      </c>
      <c r="F408" s="3" t="s">
        <v>210</v>
      </c>
      <c r="G408" s="3" t="s">
        <v>19</v>
      </c>
      <c r="H408" s="5">
        <v>46010</v>
      </c>
      <c r="I408" s="5">
        <v>46190</v>
      </c>
      <c r="J408" s="3" t="s">
        <v>20</v>
      </c>
      <c r="K408" s="3" t="s">
        <v>24</v>
      </c>
      <c r="L408" s="3" t="s">
        <v>41</v>
      </c>
      <c r="M408" s="3">
        <v>180</v>
      </c>
    </row>
    <row r="409" spans="1:13" x14ac:dyDescent="0.25">
      <c r="A409" s="3" t="s">
        <v>444</v>
      </c>
      <c r="B409" s="3" t="s">
        <v>14</v>
      </c>
      <c r="C409" s="3" t="s">
        <v>15</v>
      </c>
      <c r="D409" s="3" t="s">
        <v>208</v>
      </c>
      <c r="E409" s="3" t="s">
        <v>209</v>
      </c>
      <c r="F409" s="3" t="s">
        <v>210</v>
      </c>
      <c r="G409" s="3" t="s">
        <v>19</v>
      </c>
      <c r="H409" s="5">
        <v>45827</v>
      </c>
      <c r="I409" s="7">
        <v>46155</v>
      </c>
      <c r="J409" s="3" t="s">
        <v>20</v>
      </c>
      <c r="K409" s="3" t="s">
        <v>24</v>
      </c>
      <c r="L409" s="3" t="s">
        <v>41</v>
      </c>
      <c r="M409" s="3">
        <v>328</v>
      </c>
    </row>
    <row r="410" spans="1:13" x14ac:dyDescent="0.25">
      <c r="A410" s="3" t="s">
        <v>445</v>
      </c>
      <c r="B410" s="3" t="s">
        <v>14</v>
      </c>
      <c r="C410" s="3" t="s">
        <v>15</v>
      </c>
      <c r="D410" s="3" t="s">
        <v>208</v>
      </c>
      <c r="E410" s="3" t="s">
        <v>209</v>
      </c>
      <c r="F410" s="3" t="s">
        <v>210</v>
      </c>
      <c r="G410" s="3" t="s">
        <v>19</v>
      </c>
      <c r="H410" s="5">
        <v>46192</v>
      </c>
      <c r="I410" s="5">
        <v>46201</v>
      </c>
      <c r="J410" s="3" t="s">
        <v>20</v>
      </c>
      <c r="K410" s="3" t="s">
        <v>21</v>
      </c>
      <c r="L410" s="3" t="s">
        <v>50</v>
      </c>
      <c r="M410" s="3">
        <v>9</v>
      </c>
    </row>
    <row r="411" spans="1:13" x14ac:dyDescent="0.25">
      <c r="A411" s="3" t="s">
        <v>446</v>
      </c>
      <c r="B411" s="3" t="s">
        <v>14</v>
      </c>
      <c r="C411" s="3" t="s">
        <v>15</v>
      </c>
      <c r="D411" s="3" t="s">
        <v>208</v>
      </c>
      <c r="E411" s="3" t="s">
        <v>209</v>
      </c>
      <c r="F411" s="3" t="s">
        <v>210</v>
      </c>
      <c r="G411" s="3" t="s">
        <v>19</v>
      </c>
      <c r="H411" s="5">
        <v>46192</v>
      </c>
      <c r="I411" s="5">
        <v>46192</v>
      </c>
      <c r="J411" s="3" t="s">
        <v>20</v>
      </c>
      <c r="K411" s="3" t="s">
        <v>21</v>
      </c>
      <c r="L411" s="3" t="s">
        <v>30</v>
      </c>
      <c r="M411" s="3">
        <v>0</v>
      </c>
    </row>
    <row r="412" spans="1:13" x14ac:dyDescent="0.25">
      <c r="A412" s="3" t="s">
        <v>447</v>
      </c>
      <c r="B412" s="3" t="s">
        <v>14</v>
      </c>
      <c r="C412" s="3" t="s">
        <v>15</v>
      </c>
      <c r="D412" s="3" t="s">
        <v>208</v>
      </c>
      <c r="E412" s="3" t="s">
        <v>209</v>
      </c>
      <c r="F412" s="3" t="s">
        <v>210</v>
      </c>
      <c r="G412" s="3" t="s">
        <v>19</v>
      </c>
      <c r="H412" s="5">
        <v>46192</v>
      </c>
      <c r="I412" s="6"/>
      <c r="J412" s="3" t="s">
        <v>27</v>
      </c>
      <c r="K412" s="6"/>
      <c r="L412" s="6"/>
      <c r="M412" s="3">
        <v>11</v>
      </c>
    </row>
    <row r="413" spans="1:13" x14ac:dyDescent="0.25">
      <c r="A413" s="3" t="s">
        <v>448</v>
      </c>
      <c r="B413" s="3" t="s">
        <v>14</v>
      </c>
      <c r="C413" s="3" t="s">
        <v>15</v>
      </c>
      <c r="D413" s="3" t="s">
        <v>208</v>
      </c>
      <c r="E413" s="3" t="s">
        <v>209</v>
      </c>
      <c r="F413" s="3" t="s">
        <v>210</v>
      </c>
      <c r="G413" s="3" t="s">
        <v>19</v>
      </c>
      <c r="H413" s="5">
        <v>46192</v>
      </c>
      <c r="I413" s="5">
        <v>46199</v>
      </c>
      <c r="J413" s="3" t="s">
        <v>20</v>
      </c>
      <c r="K413" s="3" t="s">
        <v>21</v>
      </c>
      <c r="L413" s="3" t="s">
        <v>33</v>
      </c>
      <c r="M413" s="3">
        <v>7</v>
      </c>
    </row>
    <row r="414" spans="1:13" x14ac:dyDescent="0.25">
      <c r="A414" s="3" t="s">
        <v>449</v>
      </c>
      <c r="B414" s="3" t="s">
        <v>14</v>
      </c>
      <c r="C414" s="3" t="s">
        <v>15</v>
      </c>
      <c r="D414" s="3" t="s">
        <v>208</v>
      </c>
      <c r="E414" s="3" t="s">
        <v>209</v>
      </c>
      <c r="F414" s="3" t="s">
        <v>210</v>
      </c>
      <c r="G414" s="3" t="s">
        <v>19</v>
      </c>
      <c r="H414" s="5">
        <v>45735</v>
      </c>
      <c r="I414" s="6"/>
      <c r="J414" s="3" t="s">
        <v>27</v>
      </c>
      <c r="K414" s="6"/>
      <c r="L414" s="6"/>
      <c r="M414" s="3">
        <v>468</v>
      </c>
    </row>
    <row r="415" spans="1:13" x14ac:dyDescent="0.25">
      <c r="A415" s="3" t="s">
        <v>450</v>
      </c>
      <c r="B415" s="3" t="s">
        <v>14</v>
      </c>
      <c r="C415" s="3" t="s">
        <v>15</v>
      </c>
      <c r="D415" s="3" t="s">
        <v>208</v>
      </c>
      <c r="E415" s="3" t="s">
        <v>209</v>
      </c>
      <c r="F415" s="3" t="s">
        <v>210</v>
      </c>
      <c r="G415" s="3" t="s">
        <v>19</v>
      </c>
      <c r="H415" s="7">
        <v>46161</v>
      </c>
      <c r="I415" s="6"/>
      <c r="J415" s="3" t="s">
        <v>27</v>
      </c>
      <c r="K415" s="6"/>
      <c r="L415" s="6"/>
      <c r="M415" s="3">
        <v>42</v>
      </c>
    </row>
    <row r="416" spans="1:13" x14ac:dyDescent="0.25">
      <c r="A416" s="3" t="s">
        <v>451</v>
      </c>
      <c r="B416" s="3" t="s">
        <v>14</v>
      </c>
      <c r="C416" s="3" t="s">
        <v>15</v>
      </c>
      <c r="D416" s="3" t="s">
        <v>208</v>
      </c>
      <c r="E416" s="3" t="s">
        <v>209</v>
      </c>
      <c r="F416" s="3" t="s">
        <v>210</v>
      </c>
      <c r="G416" s="3" t="s">
        <v>19</v>
      </c>
      <c r="H416" s="7">
        <v>46161</v>
      </c>
      <c r="I416" s="7">
        <v>46161</v>
      </c>
      <c r="J416" s="3" t="s">
        <v>20</v>
      </c>
      <c r="K416" s="3" t="s">
        <v>21</v>
      </c>
      <c r="L416" s="3" t="s">
        <v>50</v>
      </c>
      <c r="M416" s="3">
        <v>0</v>
      </c>
    </row>
    <row r="417" spans="1:13" x14ac:dyDescent="0.25">
      <c r="A417" s="3" t="s">
        <v>452</v>
      </c>
      <c r="B417" s="3" t="s">
        <v>14</v>
      </c>
      <c r="C417" s="3" t="s">
        <v>15</v>
      </c>
      <c r="D417" s="3" t="s">
        <v>208</v>
      </c>
      <c r="E417" s="3" t="s">
        <v>209</v>
      </c>
      <c r="F417" s="3" t="s">
        <v>210</v>
      </c>
      <c r="G417" s="3" t="s">
        <v>19</v>
      </c>
      <c r="H417" s="5">
        <v>45980</v>
      </c>
      <c r="I417" s="5">
        <v>46124</v>
      </c>
      <c r="J417" s="3" t="s">
        <v>20</v>
      </c>
      <c r="K417" s="3" t="s">
        <v>24</v>
      </c>
      <c r="L417" s="3" t="s">
        <v>41</v>
      </c>
      <c r="M417" s="3">
        <v>144</v>
      </c>
    </row>
    <row r="418" spans="1:13" x14ac:dyDescent="0.25">
      <c r="A418" s="3" t="s">
        <v>453</v>
      </c>
      <c r="B418" s="3" t="s">
        <v>14</v>
      </c>
      <c r="C418" s="3" t="s">
        <v>15</v>
      </c>
      <c r="D418" s="3" t="s">
        <v>208</v>
      </c>
      <c r="E418" s="3" t="s">
        <v>209</v>
      </c>
      <c r="F418" s="3" t="s">
        <v>210</v>
      </c>
      <c r="G418" s="3" t="s">
        <v>19</v>
      </c>
      <c r="H418" s="5">
        <v>45767</v>
      </c>
      <c r="I418" s="5">
        <v>46129</v>
      </c>
      <c r="J418" s="3" t="s">
        <v>20</v>
      </c>
      <c r="K418" s="3" t="s">
        <v>21</v>
      </c>
      <c r="L418" s="3" t="s">
        <v>33</v>
      </c>
      <c r="M418" s="3">
        <v>362</v>
      </c>
    </row>
    <row r="419" spans="1:13" x14ac:dyDescent="0.25">
      <c r="A419" s="3" t="s">
        <v>454</v>
      </c>
      <c r="B419" s="3" t="s">
        <v>14</v>
      </c>
      <c r="C419" s="3" t="s">
        <v>15</v>
      </c>
      <c r="D419" s="3" t="s">
        <v>208</v>
      </c>
      <c r="E419" s="3" t="s">
        <v>209</v>
      </c>
      <c r="F419" s="3" t="s">
        <v>210</v>
      </c>
      <c r="G419" s="3" t="s">
        <v>19</v>
      </c>
      <c r="H419" s="5">
        <v>46132</v>
      </c>
      <c r="I419" s="5">
        <v>46202</v>
      </c>
      <c r="J419" s="3" t="s">
        <v>20</v>
      </c>
      <c r="K419" s="3" t="s">
        <v>24</v>
      </c>
      <c r="L419" s="3" t="s">
        <v>55</v>
      </c>
      <c r="M419" s="3">
        <v>70</v>
      </c>
    </row>
    <row r="420" spans="1:13" x14ac:dyDescent="0.25">
      <c r="A420" s="3" t="s">
        <v>455</v>
      </c>
      <c r="B420" s="3" t="s">
        <v>14</v>
      </c>
      <c r="C420" s="3" t="s">
        <v>15</v>
      </c>
      <c r="D420" s="3" t="s">
        <v>208</v>
      </c>
      <c r="E420" s="3" t="s">
        <v>209</v>
      </c>
      <c r="F420" s="3" t="s">
        <v>210</v>
      </c>
      <c r="G420" s="3" t="s">
        <v>19</v>
      </c>
      <c r="H420" s="5">
        <v>46132</v>
      </c>
      <c r="I420" s="5">
        <v>46200</v>
      </c>
      <c r="J420" s="3" t="s">
        <v>20</v>
      </c>
      <c r="K420" s="3" t="s">
        <v>24</v>
      </c>
      <c r="L420" s="3" t="s">
        <v>41</v>
      </c>
      <c r="M420" s="3">
        <v>68</v>
      </c>
    </row>
    <row r="421" spans="1:13" x14ac:dyDescent="0.25">
      <c r="A421" s="3" t="s">
        <v>456</v>
      </c>
      <c r="B421" s="3" t="s">
        <v>14</v>
      </c>
      <c r="C421" s="3" t="s">
        <v>15</v>
      </c>
      <c r="D421" s="3" t="s">
        <v>208</v>
      </c>
      <c r="E421" s="3" t="s">
        <v>209</v>
      </c>
      <c r="F421" s="3" t="s">
        <v>210</v>
      </c>
      <c r="G421" s="3" t="s">
        <v>19</v>
      </c>
      <c r="H421" s="5">
        <v>46042</v>
      </c>
      <c r="I421" s="4">
        <v>46115</v>
      </c>
      <c r="J421" s="3" t="s">
        <v>20</v>
      </c>
      <c r="K421" s="3" t="s">
        <v>24</v>
      </c>
      <c r="L421" s="3" t="s">
        <v>55</v>
      </c>
      <c r="M421" s="3">
        <v>73</v>
      </c>
    </row>
    <row r="422" spans="1:13" x14ac:dyDescent="0.25">
      <c r="A422" s="3" t="s">
        <v>457</v>
      </c>
      <c r="B422" s="3" t="s">
        <v>14</v>
      </c>
      <c r="C422" s="3" t="s">
        <v>15</v>
      </c>
      <c r="D422" s="3" t="s">
        <v>208</v>
      </c>
      <c r="E422" s="3" t="s">
        <v>209</v>
      </c>
      <c r="F422" s="3" t="s">
        <v>210</v>
      </c>
      <c r="G422" s="3" t="s">
        <v>19</v>
      </c>
      <c r="H422" s="5">
        <v>46042</v>
      </c>
      <c r="I422" s="5">
        <v>46132</v>
      </c>
      <c r="J422" s="3" t="s">
        <v>20</v>
      </c>
      <c r="K422" s="3" t="s">
        <v>24</v>
      </c>
      <c r="L422" s="3" t="s">
        <v>44</v>
      </c>
      <c r="M422" s="3">
        <v>90</v>
      </c>
    </row>
    <row r="423" spans="1:13" x14ac:dyDescent="0.25">
      <c r="A423" s="3" t="s">
        <v>458</v>
      </c>
      <c r="B423" s="3" t="s">
        <v>14</v>
      </c>
      <c r="C423" s="3" t="s">
        <v>15</v>
      </c>
      <c r="D423" s="3" t="s">
        <v>208</v>
      </c>
      <c r="E423" s="3" t="s">
        <v>209</v>
      </c>
      <c r="F423" s="3" t="s">
        <v>210</v>
      </c>
      <c r="G423" s="3" t="s">
        <v>19</v>
      </c>
      <c r="H423" s="5">
        <v>46193</v>
      </c>
      <c r="I423" s="5">
        <v>46198</v>
      </c>
      <c r="J423" s="3" t="s">
        <v>20</v>
      </c>
      <c r="K423" s="3" t="s">
        <v>21</v>
      </c>
      <c r="L423" s="3" t="s">
        <v>33</v>
      </c>
      <c r="M423" s="3">
        <v>5</v>
      </c>
    </row>
    <row r="424" spans="1:13" x14ac:dyDescent="0.25">
      <c r="A424" s="3" t="s">
        <v>459</v>
      </c>
      <c r="B424" s="3" t="s">
        <v>14</v>
      </c>
      <c r="C424" s="3" t="s">
        <v>15</v>
      </c>
      <c r="D424" s="3" t="s">
        <v>208</v>
      </c>
      <c r="E424" s="3" t="s">
        <v>209</v>
      </c>
      <c r="F424" s="3" t="s">
        <v>210</v>
      </c>
      <c r="G424" s="3" t="s">
        <v>19</v>
      </c>
      <c r="H424" s="5">
        <v>46193</v>
      </c>
      <c r="I424" s="5">
        <v>46199</v>
      </c>
      <c r="J424" s="3" t="s">
        <v>20</v>
      </c>
      <c r="K424" s="3" t="s">
        <v>21</v>
      </c>
      <c r="L424" s="3" t="s">
        <v>37</v>
      </c>
      <c r="M424" s="3">
        <v>6</v>
      </c>
    </row>
    <row r="425" spans="1:13" x14ac:dyDescent="0.25">
      <c r="A425" s="3" t="s">
        <v>460</v>
      </c>
      <c r="B425" s="3" t="s">
        <v>14</v>
      </c>
      <c r="C425" s="3" t="s">
        <v>15</v>
      </c>
      <c r="D425" s="3" t="s">
        <v>208</v>
      </c>
      <c r="E425" s="3" t="s">
        <v>209</v>
      </c>
      <c r="F425" s="3" t="s">
        <v>210</v>
      </c>
      <c r="G425" s="3" t="s">
        <v>19</v>
      </c>
      <c r="H425" s="5">
        <v>46193</v>
      </c>
      <c r="I425" s="6"/>
      <c r="J425" s="3" t="s">
        <v>27</v>
      </c>
      <c r="K425" s="6"/>
      <c r="L425" s="6"/>
      <c r="M425" s="3">
        <v>10</v>
      </c>
    </row>
    <row r="426" spans="1:13" x14ac:dyDescent="0.25">
      <c r="A426" s="3" t="s">
        <v>461</v>
      </c>
      <c r="B426" s="3" t="s">
        <v>14</v>
      </c>
      <c r="C426" s="3" t="s">
        <v>15</v>
      </c>
      <c r="D426" s="3" t="s">
        <v>208</v>
      </c>
      <c r="E426" s="3" t="s">
        <v>209</v>
      </c>
      <c r="F426" s="3" t="s">
        <v>210</v>
      </c>
      <c r="G426" s="3" t="s">
        <v>19</v>
      </c>
      <c r="H426" s="5">
        <v>46193</v>
      </c>
      <c r="I426" s="6"/>
      <c r="J426" s="3" t="s">
        <v>27</v>
      </c>
      <c r="K426" s="6"/>
      <c r="L426" s="6"/>
      <c r="M426" s="3">
        <v>10</v>
      </c>
    </row>
    <row r="427" spans="1:13" x14ac:dyDescent="0.25">
      <c r="A427" s="3" t="s">
        <v>462</v>
      </c>
      <c r="B427" s="3" t="s">
        <v>14</v>
      </c>
      <c r="C427" s="3" t="s">
        <v>15</v>
      </c>
      <c r="D427" s="3" t="s">
        <v>208</v>
      </c>
      <c r="E427" s="3" t="s">
        <v>209</v>
      </c>
      <c r="F427" s="3" t="s">
        <v>210</v>
      </c>
      <c r="G427" s="3" t="s">
        <v>19</v>
      </c>
      <c r="H427" s="5">
        <v>45736</v>
      </c>
      <c r="I427" s="6"/>
      <c r="J427" s="3" t="s">
        <v>27</v>
      </c>
      <c r="K427" s="6"/>
      <c r="L427" s="6"/>
      <c r="M427" s="3">
        <v>467</v>
      </c>
    </row>
    <row r="428" spans="1:13" x14ac:dyDescent="0.25">
      <c r="A428" s="3" t="s">
        <v>463</v>
      </c>
      <c r="B428" s="3" t="s">
        <v>14</v>
      </c>
      <c r="C428" s="3" t="s">
        <v>15</v>
      </c>
      <c r="D428" s="3" t="s">
        <v>208</v>
      </c>
      <c r="E428" s="3" t="s">
        <v>209</v>
      </c>
      <c r="F428" s="3" t="s">
        <v>210</v>
      </c>
      <c r="G428" s="3" t="s">
        <v>19</v>
      </c>
      <c r="H428" s="7">
        <v>45797</v>
      </c>
      <c r="I428" s="8">
        <v>46145</v>
      </c>
      <c r="J428" s="3" t="s">
        <v>20</v>
      </c>
      <c r="K428" s="3" t="s">
        <v>24</v>
      </c>
      <c r="L428" s="3" t="s">
        <v>25</v>
      </c>
      <c r="M428" s="3">
        <v>348</v>
      </c>
    </row>
    <row r="429" spans="1:13" x14ac:dyDescent="0.25">
      <c r="A429" s="3" t="s">
        <v>464</v>
      </c>
      <c r="B429" s="3" t="s">
        <v>14</v>
      </c>
      <c r="C429" s="3" t="s">
        <v>15</v>
      </c>
      <c r="D429" s="3" t="s">
        <v>208</v>
      </c>
      <c r="E429" s="3" t="s">
        <v>209</v>
      </c>
      <c r="F429" s="3" t="s">
        <v>210</v>
      </c>
      <c r="G429" s="3" t="s">
        <v>19</v>
      </c>
      <c r="H429" s="7">
        <v>46162</v>
      </c>
      <c r="I429" s="6"/>
      <c r="J429" s="3" t="s">
        <v>27</v>
      </c>
      <c r="K429" s="6"/>
      <c r="L429" s="6"/>
      <c r="M429" s="3">
        <v>41</v>
      </c>
    </row>
    <row r="430" spans="1:13" x14ac:dyDescent="0.25">
      <c r="A430" s="3" t="s">
        <v>465</v>
      </c>
      <c r="B430" s="3" t="s">
        <v>14</v>
      </c>
      <c r="C430" s="3" t="s">
        <v>15</v>
      </c>
      <c r="D430" s="3" t="s">
        <v>208</v>
      </c>
      <c r="E430" s="3" t="s">
        <v>209</v>
      </c>
      <c r="F430" s="3" t="s">
        <v>210</v>
      </c>
      <c r="G430" s="3" t="s">
        <v>19</v>
      </c>
      <c r="H430" s="7">
        <v>46162</v>
      </c>
      <c r="I430" s="6"/>
      <c r="J430" s="3" t="s">
        <v>27</v>
      </c>
      <c r="K430" s="6"/>
      <c r="L430" s="6"/>
      <c r="M430" s="3">
        <v>41</v>
      </c>
    </row>
    <row r="431" spans="1:13" x14ac:dyDescent="0.25">
      <c r="A431" s="3" t="s">
        <v>466</v>
      </c>
      <c r="B431" s="3" t="s">
        <v>14</v>
      </c>
      <c r="C431" s="3" t="s">
        <v>15</v>
      </c>
      <c r="D431" s="3" t="s">
        <v>208</v>
      </c>
      <c r="E431" s="3" t="s">
        <v>209</v>
      </c>
      <c r="F431" s="3" t="s">
        <v>210</v>
      </c>
      <c r="G431" s="3" t="s">
        <v>19</v>
      </c>
      <c r="H431" s="7">
        <v>46162</v>
      </c>
      <c r="I431" s="6"/>
      <c r="J431" s="3" t="s">
        <v>27</v>
      </c>
      <c r="K431" s="6"/>
      <c r="L431" s="6"/>
      <c r="M431" s="3">
        <v>41</v>
      </c>
    </row>
    <row r="432" spans="1:13" x14ac:dyDescent="0.25">
      <c r="A432" s="3" t="s">
        <v>467</v>
      </c>
      <c r="B432" s="3" t="s">
        <v>14</v>
      </c>
      <c r="C432" s="3" t="s">
        <v>15</v>
      </c>
      <c r="D432" s="3" t="s">
        <v>208</v>
      </c>
      <c r="E432" s="3" t="s">
        <v>209</v>
      </c>
      <c r="F432" s="3" t="s">
        <v>210</v>
      </c>
      <c r="G432" s="3" t="s">
        <v>19</v>
      </c>
      <c r="H432" s="5">
        <v>46133</v>
      </c>
      <c r="I432" s="6"/>
      <c r="J432" s="3" t="s">
        <v>27</v>
      </c>
      <c r="K432" s="6"/>
      <c r="L432" s="6"/>
      <c r="M432" s="3">
        <v>70</v>
      </c>
    </row>
    <row r="433" spans="1:13" x14ac:dyDescent="0.25">
      <c r="A433" s="3" t="s">
        <v>468</v>
      </c>
      <c r="B433" s="3" t="s">
        <v>14</v>
      </c>
      <c r="C433" s="3" t="s">
        <v>15</v>
      </c>
      <c r="D433" s="3" t="s">
        <v>208</v>
      </c>
      <c r="E433" s="3" t="s">
        <v>209</v>
      </c>
      <c r="F433" s="3" t="s">
        <v>210</v>
      </c>
      <c r="G433" s="3" t="s">
        <v>19</v>
      </c>
      <c r="H433" s="5">
        <v>46133</v>
      </c>
      <c r="I433" s="7">
        <v>46158</v>
      </c>
      <c r="J433" s="3" t="s">
        <v>20</v>
      </c>
      <c r="K433" s="3" t="s">
        <v>24</v>
      </c>
      <c r="L433" s="3" t="s">
        <v>41</v>
      </c>
      <c r="M433" s="3">
        <v>25</v>
      </c>
    </row>
    <row r="434" spans="1:13" x14ac:dyDescent="0.25">
      <c r="A434" s="3" t="s">
        <v>469</v>
      </c>
      <c r="B434" s="3" t="s">
        <v>14</v>
      </c>
      <c r="C434" s="3" t="s">
        <v>15</v>
      </c>
      <c r="D434" s="3" t="s">
        <v>208</v>
      </c>
      <c r="E434" s="3" t="s">
        <v>209</v>
      </c>
      <c r="F434" s="3" t="s">
        <v>210</v>
      </c>
      <c r="G434" s="3" t="s">
        <v>19</v>
      </c>
      <c r="H434" s="5">
        <v>46133</v>
      </c>
      <c r="I434" s="5">
        <v>46193</v>
      </c>
      <c r="J434" s="3" t="s">
        <v>20</v>
      </c>
      <c r="K434" s="3" t="s">
        <v>24</v>
      </c>
      <c r="L434" s="3" t="s">
        <v>55</v>
      </c>
      <c r="M434" s="3">
        <v>60</v>
      </c>
    </row>
    <row r="435" spans="1:13" x14ac:dyDescent="0.25">
      <c r="A435" s="3" t="s">
        <v>470</v>
      </c>
      <c r="B435" s="3" t="s">
        <v>14</v>
      </c>
      <c r="C435" s="3" t="s">
        <v>15</v>
      </c>
      <c r="D435" s="3" t="s">
        <v>208</v>
      </c>
      <c r="E435" s="3" t="s">
        <v>209</v>
      </c>
      <c r="F435" s="3" t="s">
        <v>210</v>
      </c>
      <c r="G435" s="3" t="s">
        <v>19</v>
      </c>
      <c r="H435" s="5">
        <v>45829</v>
      </c>
      <c r="I435" s="7">
        <v>46166</v>
      </c>
      <c r="J435" s="3" t="s">
        <v>20</v>
      </c>
      <c r="K435" s="3" t="s">
        <v>24</v>
      </c>
      <c r="L435" s="3" t="s">
        <v>55</v>
      </c>
      <c r="M435" s="3">
        <v>337</v>
      </c>
    </row>
    <row r="436" spans="1:13" x14ac:dyDescent="0.25">
      <c r="A436" s="3" t="s">
        <v>471</v>
      </c>
      <c r="B436" s="3" t="s">
        <v>14</v>
      </c>
      <c r="C436" s="3" t="s">
        <v>15</v>
      </c>
      <c r="D436" s="3" t="s">
        <v>208</v>
      </c>
      <c r="E436" s="3" t="s">
        <v>209</v>
      </c>
      <c r="F436" s="3" t="s">
        <v>210</v>
      </c>
      <c r="G436" s="3" t="s">
        <v>19</v>
      </c>
      <c r="H436" s="5">
        <v>46194</v>
      </c>
      <c r="I436" s="5">
        <v>46197</v>
      </c>
      <c r="J436" s="3" t="s">
        <v>20</v>
      </c>
      <c r="K436" s="3" t="s">
        <v>21</v>
      </c>
      <c r="L436" s="3" t="s">
        <v>37</v>
      </c>
      <c r="M436" s="3">
        <v>3</v>
      </c>
    </row>
    <row r="437" spans="1:13" x14ac:dyDescent="0.25">
      <c r="A437" s="3" t="s">
        <v>472</v>
      </c>
      <c r="B437" s="3" t="s">
        <v>14</v>
      </c>
      <c r="C437" s="3" t="s">
        <v>15</v>
      </c>
      <c r="D437" s="3" t="s">
        <v>208</v>
      </c>
      <c r="E437" s="3" t="s">
        <v>209</v>
      </c>
      <c r="F437" s="3" t="s">
        <v>210</v>
      </c>
      <c r="G437" s="3" t="s">
        <v>19</v>
      </c>
      <c r="H437" s="5">
        <v>46194</v>
      </c>
      <c r="I437" s="5">
        <v>46194</v>
      </c>
      <c r="J437" s="3" t="s">
        <v>20</v>
      </c>
      <c r="K437" s="3" t="s">
        <v>21</v>
      </c>
      <c r="L437" s="3" t="s">
        <v>50</v>
      </c>
      <c r="M437" s="3">
        <v>0</v>
      </c>
    </row>
    <row r="438" spans="1:13" x14ac:dyDescent="0.25">
      <c r="A438" s="3" t="s">
        <v>473</v>
      </c>
      <c r="B438" s="3" t="s">
        <v>14</v>
      </c>
      <c r="C438" s="3" t="s">
        <v>15</v>
      </c>
      <c r="D438" s="3" t="s">
        <v>208</v>
      </c>
      <c r="E438" s="3" t="s">
        <v>209</v>
      </c>
      <c r="F438" s="3" t="s">
        <v>210</v>
      </c>
      <c r="G438" s="3" t="s">
        <v>19</v>
      </c>
      <c r="H438" s="7">
        <v>45798</v>
      </c>
      <c r="I438" s="5">
        <v>46134</v>
      </c>
      <c r="J438" s="3" t="s">
        <v>20</v>
      </c>
      <c r="K438" s="3" t="s">
        <v>24</v>
      </c>
      <c r="L438" s="3" t="s">
        <v>55</v>
      </c>
      <c r="M438" s="3">
        <v>336</v>
      </c>
    </row>
    <row r="439" spans="1:13" x14ac:dyDescent="0.25">
      <c r="A439" s="3" t="s">
        <v>474</v>
      </c>
      <c r="B439" s="3" t="s">
        <v>14</v>
      </c>
      <c r="C439" s="3" t="s">
        <v>15</v>
      </c>
      <c r="D439" s="3" t="s">
        <v>208</v>
      </c>
      <c r="E439" s="3" t="s">
        <v>209</v>
      </c>
      <c r="F439" s="3" t="s">
        <v>210</v>
      </c>
      <c r="G439" s="3" t="s">
        <v>19</v>
      </c>
      <c r="H439" s="7">
        <v>46163</v>
      </c>
      <c r="I439" s="7">
        <v>46171</v>
      </c>
      <c r="J439" s="3" t="s">
        <v>20</v>
      </c>
      <c r="K439" s="3" t="s">
        <v>21</v>
      </c>
      <c r="L439" s="3" t="s">
        <v>30</v>
      </c>
      <c r="M439" s="3">
        <v>8</v>
      </c>
    </row>
    <row r="440" spans="1:13" x14ac:dyDescent="0.25">
      <c r="A440" s="3" t="s">
        <v>475</v>
      </c>
      <c r="B440" s="3" t="s">
        <v>14</v>
      </c>
      <c r="C440" s="3" t="s">
        <v>15</v>
      </c>
      <c r="D440" s="3" t="s">
        <v>208</v>
      </c>
      <c r="E440" s="3" t="s">
        <v>209</v>
      </c>
      <c r="F440" s="3" t="s">
        <v>210</v>
      </c>
      <c r="G440" s="3" t="s">
        <v>19</v>
      </c>
      <c r="H440" s="7">
        <v>46163</v>
      </c>
      <c r="I440" s="5">
        <v>46198</v>
      </c>
      <c r="J440" s="3" t="s">
        <v>20</v>
      </c>
      <c r="K440" s="3" t="s">
        <v>24</v>
      </c>
      <c r="L440" s="3" t="s">
        <v>44</v>
      </c>
      <c r="M440" s="3">
        <v>35</v>
      </c>
    </row>
    <row r="441" spans="1:13" x14ac:dyDescent="0.25">
      <c r="A441" s="3" t="s">
        <v>476</v>
      </c>
      <c r="B441" s="3" t="s">
        <v>14</v>
      </c>
      <c r="C441" s="3" t="s">
        <v>15</v>
      </c>
      <c r="D441" s="3" t="s">
        <v>208</v>
      </c>
      <c r="E441" s="3" t="s">
        <v>209</v>
      </c>
      <c r="F441" s="3" t="s">
        <v>210</v>
      </c>
      <c r="G441" s="3" t="s">
        <v>19</v>
      </c>
      <c r="H441" s="7">
        <v>46163</v>
      </c>
      <c r="I441" s="6"/>
      <c r="J441" s="3" t="s">
        <v>27</v>
      </c>
      <c r="K441" s="6"/>
      <c r="L441" s="6"/>
      <c r="M441" s="3">
        <v>40</v>
      </c>
    </row>
    <row r="442" spans="1:13" x14ac:dyDescent="0.25">
      <c r="A442" s="3" t="s">
        <v>477</v>
      </c>
      <c r="B442" s="3" t="s">
        <v>14</v>
      </c>
      <c r="C442" s="3" t="s">
        <v>15</v>
      </c>
      <c r="D442" s="3" t="s">
        <v>208</v>
      </c>
      <c r="E442" s="3" t="s">
        <v>209</v>
      </c>
      <c r="F442" s="3" t="s">
        <v>210</v>
      </c>
      <c r="G442" s="3" t="s">
        <v>19</v>
      </c>
      <c r="H442" s="5">
        <v>46134</v>
      </c>
      <c r="I442" s="5">
        <v>46134</v>
      </c>
      <c r="J442" s="3" t="s">
        <v>20</v>
      </c>
      <c r="K442" s="3" t="s">
        <v>21</v>
      </c>
      <c r="L442" s="3" t="s">
        <v>37</v>
      </c>
      <c r="M442" s="3">
        <v>0</v>
      </c>
    </row>
    <row r="443" spans="1:13" x14ac:dyDescent="0.25">
      <c r="A443" s="3" t="s">
        <v>478</v>
      </c>
      <c r="B443" s="3" t="s">
        <v>14</v>
      </c>
      <c r="C443" s="3" t="s">
        <v>15</v>
      </c>
      <c r="D443" s="3" t="s">
        <v>208</v>
      </c>
      <c r="E443" s="3" t="s">
        <v>209</v>
      </c>
      <c r="F443" s="3" t="s">
        <v>210</v>
      </c>
      <c r="G443" s="3" t="s">
        <v>19</v>
      </c>
      <c r="H443" s="5">
        <v>46134</v>
      </c>
      <c r="I443" s="5">
        <v>46200</v>
      </c>
      <c r="J443" s="3" t="s">
        <v>20</v>
      </c>
      <c r="K443" s="3" t="s">
        <v>24</v>
      </c>
      <c r="L443" s="3" t="s">
        <v>41</v>
      </c>
      <c r="M443" s="3">
        <v>66</v>
      </c>
    </row>
    <row r="444" spans="1:13" x14ac:dyDescent="0.25">
      <c r="A444" s="3" t="s">
        <v>479</v>
      </c>
      <c r="B444" s="3" t="s">
        <v>14</v>
      </c>
      <c r="C444" s="3" t="s">
        <v>15</v>
      </c>
      <c r="D444" s="3" t="s">
        <v>208</v>
      </c>
      <c r="E444" s="3" t="s">
        <v>209</v>
      </c>
      <c r="F444" s="3" t="s">
        <v>210</v>
      </c>
      <c r="G444" s="3" t="s">
        <v>19</v>
      </c>
      <c r="H444" s="5">
        <v>46134</v>
      </c>
      <c r="I444" s="6"/>
      <c r="J444" s="3" t="s">
        <v>27</v>
      </c>
      <c r="K444" s="6"/>
      <c r="L444" s="6"/>
      <c r="M444" s="3">
        <v>69</v>
      </c>
    </row>
    <row r="445" spans="1:13" x14ac:dyDescent="0.25">
      <c r="A445" s="3" t="s">
        <v>480</v>
      </c>
      <c r="B445" s="3" t="s">
        <v>14</v>
      </c>
      <c r="C445" s="3" t="s">
        <v>15</v>
      </c>
      <c r="D445" s="3" t="s">
        <v>208</v>
      </c>
      <c r="E445" s="3" t="s">
        <v>209</v>
      </c>
      <c r="F445" s="3" t="s">
        <v>210</v>
      </c>
      <c r="G445" s="3" t="s">
        <v>19</v>
      </c>
      <c r="H445" s="5">
        <v>45891</v>
      </c>
      <c r="I445" s="5">
        <v>46190</v>
      </c>
      <c r="J445" s="3" t="s">
        <v>20</v>
      </c>
      <c r="K445" s="3" t="s">
        <v>24</v>
      </c>
      <c r="L445" s="3" t="s">
        <v>44</v>
      </c>
      <c r="M445" s="3">
        <v>299</v>
      </c>
    </row>
    <row r="446" spans="1:13" x14ac:dyDescent="0.25">
      <c r="A446" s="3" t="s">
        <v>481</v>
      </c>
      <c r="B446" s="3" t="s">
        <v>14</v>
      </c>
      <c r="C446" s="3" t="s">
        <v>15</v>
      </c>
      <c r="D446" s="3" t="s">
        <v>208</v>
      </c>
      <c r="E446" s="3" t="s">
        <v>209</v>
      </c>
      <c r="F446" s="3" t="s">
        <v>210</v>
      </c>
      <c r="G446" s="3" t="s">
        <v>19</v>
      </c>
      <c r="H446" s="5">
        <v>45891</v>
      </c>
      <c r="I446" s="6"/>
      <c r="J446" s="3" t="s">
        <v>27</v>
      </c>
      <c r="K446" s="6"/>
      <c r="L446" s="6"/>
      <c r="M446" s="3">
        <v>312</v>
      </c>
    </row>
    <row r="447" spans="1:13" x14ac:dyDescent="0.25">
      <c r="A447" s="3" t="s">
        <v>482</v>
      </c>
      <c r="B447" s="3" t="s">
        <v>14</v>
      </c>
      <c r="C447" s="3" t="s">
        <v>15</v>
      </c>
      <c r="D447" s="3" t="s">
        <v>208</v>
      </c>
      <c r="E447" s="3" t="s">
        <v>209</v>
      </c>
      <c r="F447" s="3" t="s">
        <v>210</v>
      </c>
      <c r="G447" s="3" t="s">
        <v>19</v>
      </c>
      <c r="H447" s="5">
        <v>46013</v>
      </c>
      <c r="I447" s="5">
        <v>46137</v>
      </c>
      <c r="J447" s="3" t="s">
        <v>20</v>
      </c>
      <c r="K447" s="3" t="s">
        <v>24</v>
      </c>
      <c r="L447" s="3" t="s">
        <v>41</v>
      </c>
      <c r="M447" s="3">
        <v>124</v>
      </c>
    </row>
    <row r="448" spans="1:13" x14ac:dyDescent="0.25">
      <c r="A448" s="3" t="s">
        <v>483</v>
      </c>
      <c r="B448" s="3" t="s">
        <v>14</v>
      </c>
      <c r="C448" s="3" t="s">
        <v>15</v>
      </c>
      <c r="D448" s="3" t="s">
        <v>208</v>
      </c>
      <c r="E448" s="3" t="s">
        <v>209</v>
      </c>
      <c r="F448" s="3" t="s">
        <v>210</v>
      </c>
      <c r="G448" s="3" t="s">
        <v>19</v>
      </c>
      <c r="H448" s="5">
        <v>46075</v>
      </c>
      <c r="I448" s="7">
        <v>46159</v>
      </c>
      <c r="J448" s="3" t="s">
        <v>20</v>
      </c>
      <c r="K448" s="3" t="s">
        <v>24</v>
      </c>
      <c r="L448" s="3" t="s">
        <v>55</v>
      </c>
      <c r="M448" s="3">
        <v>84</v>
      </c>
    </row>
    <row r="449" spans="1:13" x14ac:dyDescent="0.25">
      <c r="A449" s="3" t="s">
        <v>484</v>
      </c>
      <c r="B449" s="3" t="s">
        <v>14</v>
      </c>
      <c r="C449" s="3" t="s">
        <v>15</v>
      </c>
      <c r="D449" s="3" t="s">
        <v>208</v>
      </c>
      <c r="E449" s="3" t="s">
        <v>209</v>
      </c>
      <c r="F449" s="3" t="s">
        <v>210</v>
      </c>
      <c r="G449" s="3" t="s">
        <v>19</v>
      </c>
      <c r="H449" s="5">
        <v>46044</v>
      </c>
      <c r="I449" s="5">
        <v>46123</v>
      </c>
      <c r="J449" s="3" t="s">
        <v>20</v>
      </c>
      <c r="K449" s="3" t="s">
        <v>24</v>
      </c>
      <c r="L449" s="3" t="s">
        <v>55</v>
      </c>
      <c r="M449" s="3">
        <v>79</v>
      </c>
    </row>
    <row r="450" spans="1:13" x14ac:dyDescent="0.25">
      <c r="A450" s="3" t="s">
        <v>485</v>
      </c>
      <c r="B450" s="3" t="s">
        <v>14</v>
      </c>
      <c r="C450" s="3" t="s">
        <v>15</v>
      </c>
      <c r="D450" s="3" t="s">
        <v>208</v>
      </c>
      <c r="E450" s="3" t="s">
        <v>209</v>
      </c>
      <c r="F450" s="3" t="s">
        <v>210</v>
      </c>
      <c r="G450" s="3" t="s">
        <v>19</v>
      </c>
      <c r="H450" s="5">
        <v>46195</v>
      </c>
      <c r="I450" s="5">
        <v>46200</v>
      </c>
      <c r="J450" s="3" t="s">
        <v>20</v>
      </c>
      <c r="K450" s="3" t="s">
        <v>21</v>
      </c>
      <c r="L450" s="3" t="s">
        <v>30</v>
      </c>
      <c r="M450" s="3">
        <v>5</v>
      </c>
    </row>
    <row r="451" spans="1:13" x14ac:dyDescent="0.25">
      <c r="A451" s="3" t="s">
        <v>486</v>
      </c>
      <c r="B451" s="3" t="s">
        <v>14</v>
      </c>
      <c r="C451" s="3" t="s">
        <v>15</v>
      </c>
      <c r="D451" s="3" t="s">
        <v>208</v>
      </c>
      <c r="E451" s="3" t="s">
        <v>209</v>
      </c>
      <c r="F451" s="3" t="s">
        <v>210</v>
      </c>
      <c r="G451" s="3" t="s">
        <v>19</v>
      </c>
      <c r="H451" s="5">
        <v>46195</v>
      </c>
      <c r="I451" s="6"/>
      <c r="J451" s="3" t="s">
        <v>27</v>
      </c>
      <c r="K451" s="6"/>
      <c r="L451" s="6"/>
      <c r="M451" s="3">
        <v>8</v>
      </c>
    </row>
    <row r="452" spans="1:13" x14ac:dyDescent="0.25">
      <c r="A452" s="3" t="s">
        <v>487</v>
      </c>
      <c r="B452" s="3" t="s">
        <v>14</v>
      </c>
      <c r="C452" s="3" t="s">
        <v>15</v>
      </c>
      <c r="D452" s="3" t="s">
        <v>208</v>
      </c>
      <c r="E452" s="3" t="s">
        <v>209</v>
      </c>
      <c r="F452" s="3" t="s">
        <v>210</v>
      </c>
      <c r="G452" s="3" t="s">
        <v>19</v>
      </c>
      <c r="H452" s="5">
        <v>46195</v>
      </c>
      <c r="I452" s="5">
        <v>46195</v>
      </c>
      <c r="J452" s="3" t="s">
        <v>20</v>
      </c>
      <c r="K452" s="3" t="s">
        <v>21</v>
      </c>
      <c r="L452" s="3" t="s">
        <v>37</v>
      </c>
      <c r="M452" s="3">
        <v>0</v>
      </c>
    </row>
    <row r="453" spans="1:13" x14ac:dyDescent="0.25">
      <c r="A453" s="3" t="s">
        <v>488</v>
      </c>
      <c r="B453" s="3" t="s">
        <v>14</v>
      </c>
      <c r="C453" s="3" t="s">
        <v>15</v>
      </c>
      <c r="D453" s="3" t="s">
        <v>208</v>
      </c>
      <c r="E453" s="3" t="s">
        <v>209</v>
      </c>
      <c r="F453" s="3" t="s">
        <v>210</v>
      </c>
      <c r="G453" s="3" t="s">
        <v>19</v>
      </c>
      <c r="H453" s="5">
        <v>46195</v>
      </c>
      <c r="I453" s="5">
        <v>46195</v>
      </c>
      <c r="J453" s="3" t="s">
        <v>20</v>
      </c>
      <c r="K453" s="3" t="s">
        <v>21</v>
      </c>
      <c r="L453" s="3" t="s">
        <v>50</v>
      </c>
      <c r="M453" s="3">
        <v>0</v>
      </c>
    </row>
    <row r="454" spans="1:13" x14ac:dyDescent="0.25">
      <c r="A454" s="3" t="s">
        <v>489</v>
      </c>
      <c r="B454" s="3" t="s">
        <v>14</v>
      </c>
      <c r="C454" s="3" t="s">
        <v>15</v>
      </c>
      <c r="D454" s="3" t="s">
        <v>208</v>
      </c>
      <c r="E454" s="3" t="s">
        <v>209</v>
      </c>
      <c r="F454" s="3" t="s">
        <v>210</v>
      </c>
      <c r="G454" s="3" t="s">
        <v>19</v>
      </c>
      <c r="H454" s="5">
        <v>46195</v>
      </c>
      <c r="I454" s="5">
        <v>46195</v>
      </c>
      <c r="J454" s="3" t="s">
        <v>20</v>
      </c>
      <c r="K454" s="3" t="s">
        <v>21</v>
      </c>
      <c r="L454" s="3" t="s">
        <v>37</v>
      </c>
      <c r="M454" s="3">
        <v>0</v>
      </c>
    </row>
    <row r="455" spans="1:13" x14ac:dyDescent="0.25">
      <c r="A455" s="3" t="s">
        <v>490</v>
      </c>
      <c r="B455" s="3" t="s">
        <v>14</v>
      </c>
      <c r="C455" s="3" t="s">
        <v>15</v>
      </c>
      <c r="D455" s="3" t="s">
        <v>208</v>
      </c>
      <c r="E455" s="3" t="s">
        <v>209</v>
      </c>
      <c r="F455" s="3" t="s">
        <v>210</v>
      </c>
      <c r="G455" s="3" t="s">
        <v>19</v>
      </c>
      <c r="H455" s="5">
        <v>46195</v>
      </c>
      <c r="I455" s="5">
        <v>46202</v>
      </c>
      <c r="J455" s="3" t="s">
        <v>20</v>
      </c>
      <c r="K455" s="3" t="s">
        <v>21</v>
      </c>
      <c r="L455" s="3" t="s">
        <v>37</v>
      </c>
      <c r="M455" s="3">
        <v>7</v>
      </c>
    </row>
    <row r="456" spans="1:13" x14ac:dyDescent="0.25">
      <c r="A456" s="3" t="s">
        <v>491</v>
      </c>
      <c r="B456" s="3" t="s">
        <v>14</v>
      </c>
      <c r="C456" s="3" t="s">
        <v>15</v>
      </c>
      <c r="D456" s="3" t="s">
        <v>208</v>
      </c>
      <c r="E456" s="3" t="s">
        <v>209</v>
      </c>
      <c r="F456" s="3" t="s">
        <v>210</v>
      </c>
      <c r="G456" s="3" t="s">
        <v>19</v>
      </c>
      <c r="H456" s="7">
        <v>45799</v>
      </c>
      <c r="I456" s="5">
        <v>46191</v>
      </c>
      <c r="J456" s="3" t="s">
        <v>20</v>
      </c>
      <c r="K456" s="3" t="s">
        <v>24</v>
      </c>
      <c r="L456" s="3" t="s">
        <v>41</v>
      </c>
      <c r="M456" s="3">
        <v>392</v>
      </c>
    </row>
    <row r="457" spans="1:13" x14ac:dyDescent="0.25">
      <c r="A457" s="3" t="s">
        <v>492</v>
      </c>
      <c r="B457" s="3" t="s">
        <v>14</v>
      </c>
      <c r="C457" s="3" t="s">
        <v>15</v>
      </c>
      <c r="D457" s="3" t="s">
        <v>208</v>
      </c>
      <c r="E457" s="3" t="s">
        <v>209</v>
      </c>
      <c r="F457" s="3" t="s">
        <v>210</v>
      </c>
      <c r="G457" s="3" t="s">
        <v>19</v>
      </c>
      <c r="H457" s="7">
        <v>46164</v>
      </c>
      <c r="I457" s="6"/>
      <c r="J457" s="3" t="s">
        <v>27</v>
      </c>
      <c r="K457" s="6"/>
      <c r="L457" s="6"/>
      <c r="M457" s="3">
        <v>39</v>
      </c>
    </row>
    <row r="458" spans="1:13" x14ac:dyDescent="0.25">
      <c r="A458" s="3" t="s">
        <v>493</v>
      </c>
      <c r="B458" s="3" t="s">
        <v>14</v>
      </c>
      <c r="C458" s="3" t="s">
        <v>15</v>
      </c>
      <c r="D458" s="3" t="s">
        <v>208</v>
      </c>
      <c r="E458" s="3" t="s">
        <v>209</v>
      </c>
      <c r="F458" s="3" t="s">
        <v>210</v>
      </c>
      <c r="G458" s="3" t="s">
        <v>19</v>
      </c>
      <c r="H458" s="7">
        <v>46164</v>
      </c>
      <c r="I458" s="6"/>
      <c r="J458" s="3" t="s">
        <v>27</v>
      </c>
      <c r="K458" s="6"/>
      <c r="L458" s="6"/>
      <c r="M458" s="3">
        <v>39</v>
      </c>
    </row>
    <row r="459" spans="1:13" x14ac:dyDescent="0.25">
      <c r="A459" s="3" t="s">
        <v>494</v>
      </c>
      <c r="B459" s="3" t="s">
        <v>14</v>
      </c>
      <c r="C459" s="3" t="s">
        <v>15</v>
      </c>
      <c r="D459" s="3" t="s">
        <v>208</v>
      </c>
      <c r="E459" s="3" t="s">
        <v>209</v>
      </c>
      <c r="F459" s="3" t="s">
        <v>210</v>
      </c>
      <c r="G459" s="3" t="s">
        <v>19</v>
      </c>
      <c r="H459" s="5">
        <v>45952</v>
      </c>
      <c r="I459" s="4">
        <v>46113</v>
      </c>
      <c r="J459" s="3" t="s">
        <v>20</v>
      </c>
      <c r="K459" s="3" t="s">
        <v>24</v>
      </c>
      <c r="L459" s="3" t="s">
        <v>55</v>
      </c>
      <c r="M459" s="3">
        <v>161</v>
      </c>
    </row>
    <row r="460" spans="1:13" x14ac:dyDescent="0.25">
      <c r="A460" s="3" t="s">
        <v>495</v>
      </c>
      <c r="B460" s="3" t="s">
        <v>14</v>
      </c>
      <c r="C460" s="3" t="s">
        <v>15</v>
      </c>
      <c r="D460" s="3" t="s">
        <v>208</v>
      </c>
      <c r="E460" s="3" t="s">
        <v>209</v>
      </c>
      <c r="F460" s="3" t="s">
        <v>210</v>
      </c>
      <c r="G460" s="3" t="s">
        <v>19</v>
      </c>
      <c r="H460" s="5">
        <v>45770</v>
      </c>
      <c r="I460" s="7">
        <v>46153</v>
      </c>
      <c r="J460" s="3" t="s">
        <v>20</v>
      </c>
      <c r="K460" s="3" t="s">
        <v>24</v>
      </c>
      <c r="L460" s="3" t="s">
        <v>25</v>
      </c>
      <c r="M460" s="3">
        <v>383</v>
      </c>
    </row>
    <row r="461" spans="1:13" x14ac:dyDescent="0.25">
      <c r="A461" s="3" t="s">
        <v>496</v>
      </c>
      <c r="B461" s="3" t="s">
        <v>14</v>
      </c>
      <c r="C461" s="3" t="s">
        <v>15</v>
      </c>
      <c r="D461" s="3" t="s">
        <v>208</v>
      </c>
      <c r="E461" s="3" t="s">
        <v>209</v>
      </c>
      <c r="F461" s="3" t="s">
        <v>210</v>
      </c>
      <c r="G461" s="3" t="s">
        <v>19</v>
      </c>
      <c r="H461" s="5">
        <v>46135</v>
      </c>
      <c r="I461" s="4">
        <v>46181</v>
      </c>
      <c r="J461" s="3" t="s">
        <v>20</v>
      </c>
      <c r="K461" s="3" t="s">
        <v>24</v>
      </c>
      <c r="L461" s="3" t="s">
        <v>41</v>
      </c>
      <c r="M461" s="3">
        <v>46</v>
      </c>
    </row>
    <row r="462" spans="1:13" x14ac:dyDescent="0.25">
      <c r="A462" s="3" t="s">
        <v>497</v>
      </c>
      <c r="B462" s="3" t="s">
        <v>14</v>
      </c>
      <c r="C462" s="3" t="s">
        <v>15</v>
      </c>
      <c r="D462" s="3" t="s">
        <v>208</v>
      </c>
      <c r="E462" s="3" t="s">
        <v>209</v>
      </c>
      <c r="F462" s="3" t="s">
        <v>210</v>
      </c>
      <c r="G462" s="3" t="s">
        <v>19</v>
      </c>
      <c r="H462" s="5">
        <v>46014</v>
      </c>
      <c r="I462" s="5">
        <v>46139</v>
      </c>
      <c r="J462" s="3" t="s">
        <v>20</v>
      </c>
      <c r="K462" s="3" t="s">
        <v>24</v>
      </c>
      <c r="L462" s="3" t="s">
        <v>55</v>
      </c>
      <c r="M462" s="3">
        <v>125</v>
      </c>
    </row>
    <row r="463" spans="1:13" x14ac:dyDescent="0.25">
      <c r="A463" s="3" t="s">
        <v>498</v>
      </c>
      <c r="B463" s="3" t="s">
        <v>14</v>
      </c>
      <c r="C463" s="3" t="s">
        <v>15</v>
      </c>
      <c r="D463" s="3" t="s">
        <v>208</v>
      </c>
      <c r="E463" s="3" t="s">
        <v>209</v>
      </c>
      <c r="F463" s="3" t="s">
        <v>210</v>
      </c>
      <c r="G463" s="3" t="s">
        <v>19</v>
      </c>
      <c r="H463" s="5">
        <v>46014</v>
      </c>
      <c r="I463" s="6"/>
      <c r="J463" s="3" t="s">
        <v>27</v>
      </c>
      <c r="K463" s="6"/>
      <c r="L463" s="6"/>
      <c r="M463" s="3">
        <v>189</v>
      </c>
    </row>
    <row r="464" spans="1:13" x14ac:dyDescent="0.25">
      <c r="A464" s="3" t="s">
        <v>499</v>
      </c>
      <c r="B464" s="3" t="s">
        <v>14</v>
      </c>
      <c r="C464" s="3" t="s">
        <v>15</v>
      </c>
      <c r="D464" s="3" t="s">
        <v>208</v>
      </c>
      <c r="E464" s="3" t="s">
        <v>209</v>
      </c>
      <c r="F464" s="3" t="s">
        <v>210</v>
      </c>
      <c r="G464" s="3" t="s">
        <v>19</v>
      </c>
      <c r="H464" s="5">
        <v>46196</v>
      </c>
      <c r="I464" s="5">
        <v>46199</v>
      </c>
      <c r="J464" s="3" t="s">
        <v>20</v>
      </c>
      <c r="K464" s="3" t="s">
        <v>21</v>
      </c>
      <c r="L464" s="3" t="s">
        <v>61</v>
      </c>
      <c r="M464" s="3">
        <v>3</v>
      </c>
    </row>
    <row r="465" spans="1:13" x14ac:dyDescent="0.25">
      <c r="A465" s="3" t="s">
        <v>500</v>
      </c>
      <c r="B465" s="3" t="s">
        <v>14</v>
      </c>
      <c r="C465" s="3" t="s">
        <v>15</v>
      </c>
      <c r="D465" s="3" t="s">
        <v>208</v>
      </c>
      <c r="E465" s="3" t="s">
        <v>209</v>
      </c>
      <c r="F465" s="3" t="s">
        <v>210</v>
      </c>
      <c r="G465" s="3" t="s">
        <v>19</v>
      </c>
      <c r="H465" s="5">
        <v>46196</v>
      </c>
      <c r="I465" s="5">
        <v>46196</v>
      </c>
      <c r="J465" s="3" t="s">
        <v>20</v>
      </c>
      <c r="K465" s="3" t="s">
        <v>21</v>
      </c>
      <c r="L465" s="3" t="s">
        <v>37</v>
      </c>
      <c r="M465" s="3">
        <v>0</v>
      </c>
    </row>
    <row r="466" spans="1:13" x14ac:dyDescent="0.25">
      <c r="A466" s="3" t="s">
        <v>501</v>
      </c>
      <c r="B466" s="3" t="s">
        <v>14</v>
      </c>
      <c r="C466" s="3" t="s">
        <v>15</v>
      </c>
      <c r="D466" s="3" t="s">
        <v>208</v>
      </c>
      <c r="E466" s="3" t="s">
        <v>209</v>
      </c>
      <c r="F466" s="3" t="s">
        <v>210</v>
      </c>
      <c r="G466" s="3" t="s">
        <v>19</v>
      </c>
      <c r="H466" s="5">
        <v>45739</v>
      </c>
      <c r="I466" s="6"/>
      <c r="J466" s="3" t="s">
        <v>27</v>
      </c>
      <c r="K466" s="6"/>
      <c r="L466" s="6"/>
      <c r="M466" s="3">
        <v>464</v>
      </c>
    </row>
    <row r="467" spans="1:13" x14ac:dyDescent="0.25">
      <c r="A467" s="3" t="s">
        <v>502</v>
      </c>
      <c r="B467" s="3" t="s">
        <v>14</v>
      </c>
      <c r="C467" s="3" t="s">
        <v>15</v>
      </c>
      <c r="D467" s="3" t="s">
        <v>208</v>
      </c>
      <c r="E467" s="3" t="s">
        <v>209</v>
      </c>
      <c r="F467" s="3" t="s">
        <v>210</v>
      </c>
      <c r="G467" s="3" t="s">
        <v>19</v>
      </c>
      <c r="H467" s="7">
        <v>46165</v>
      </c>
      <c r="I467" s="6"/>
      <c r="J467" s="3" t="s">
        <v>27</v>
      </c>
      <c r="K467" s="6"/>
      <c r="L467" s="6"/>
      <c r="M467" s="3">
        <v>38</v>
      </c>
    </row>
    <row r="468" spans="1:13" x14ac:dyDescent="0.25">
      <c r="A468" s="3" t="s">
        <v>503</v>
      </c>
      <c r="B468" s="3" t="s">
        <v>14</v>
      </c>
      <c r="C468" s="3" t="s">
        <v>15</v>
      </c>
      <c r="D468" s="3" t="s">
        <v>208</v>
      </c>
      <c r="E468" s="3" t="s">
        <v>209</v>
      </c>
      <c r="F468" s="3" t="s">
        <v>210</v>
      </c>
      <c r="G468" s="3" t="s">
        <v>19</v>
      </c>
      <c r="H468" s="7">
        <v>46165</v>
      </c>
      <c r="I468" s="6"/>
      <c r="J468" s="3" t="s">
        <v>27</v>
      </c>
      <c r="K468" s="6"/>
      <c r="L468" s="6"/>
      <c r="M468" s="3">
        <v>38</v>
      </c>
    </row>
    <row r="469" spans="1:13" x14ac:dyDescent="0.25">
      <c r="A469" s="3" t="s">
        <v>504</v>
      </c>
      <c r="B469" s="3" t="s">
        <v>14</v>
      </c>
      <c r="C469" s="3" t="s">
        <v>15</v>
      </c>
      <c r="D469" s="3" t="s">
        <v>208</v>
      </c>
      <c r="E469" s="3" t="s">
        <v>209</v>
      </c>
      <c r="F469" s="3" t="s">
        <v>210</v>
      </c>
      <c r="G469" s="3" t="s">
        <v>19</v>
      </c>
      <c r="H469" s="7">
        <v>46165</v>
      </c>
      <c r="I469" s="7">
        <v>46165</v>
      </c>
      <c r="J469" s="3" t="s">
        <v>20</v>
      </c>
      <c r="K469" s="3" t="s">
        <v>21</v>
      </c>
      <c r="L469" s="3" t="s">
        <v>30</v>
      </c>
      <c r="M469" s="3">
        <v>0</v>
      </c>
    </row>
    <row r="470" spans="1:13" x14ac:dyDescent="0.25">
      <c r="A470" s="3" t="s">
        <v>505</v>
      </c>
      <c r="B470" s="3" t="s">
        <v>14</v>
      </c>
      <c r="C470" s="3" t="s">
        <v>15</v>
      </c>
      <c r="D470" s="3" t="s">
        <v>208</v>
      </c>
      <c r="E470" s="3" t="s">
        <v>209</v>
      </c>
      <c r="F470" s="3" t="s">
        <v>210</v>
      </c>
      <c r="G470" s="3" t="s">
        <v>19</v>
      </c>
      <c r="H470" s="7">
        <v>46165</v>
      </c>
      <c r="I470" s="7">
        <v>46165</v>
      </c>
      <c r="J470" s="3" t="s">
        <v>20</v>
      </c>
      <c r="K470" s="3" t="s">
        <v>21</v>
      </c>
      <c r="L470" s="3" t="s">
        <v>37</v>
      </c>
      <c r="M470" s="3">
        <v>0</v>
      </c>
    </row>
    <row r="471" spans="1:13" x14ac:dyDescent="0.25">
      <c r="A471" s="3" t="s">
        <v>506</v>
      </c>
      <c r="B471" s="3" t="s">
        <v>14</v>
      </c>
      <c r="C471" s="3" t="s">
        <v>15</v>
      </c>
      <c r="D471" s="3" t="s">
        <v>208</v>
      </c>
      <c r="E471" s="3" t="s">
        <v>209</v>
      </c>
      <c r="F471" s="3" t="s">
        <v>210</v>
      </c>
      <c r="G471" s="3" t="s">
        <v>19</v>
      </c>
      <c r="H471" s="5">
        <v>45984</v>
      </c>
      <c r="I471" s="6"/>
      <c r="J471" s="3" t="s">
        <v>27</v>
      </c>
      <c r="K471" s="6"/>
      <c r="L471" s="6"/>
      <c r="M471" s="3">
        <v>219</v>
      </c>
    </row>
    <row r="472" spans="1:13" x14ac:dyDescent="0.25">
      <c r="A472" s="3" t="s">
        <v>507</v>
      </c>
      <c r="B472" s="3" t="s">
        <v>14</v>
      </c>
      <c r="C472" s="3" t="s">
        <v>15</v>
      </c>
      <c r="D472" s="3" t="s">
        <v>208</v>
      </c>
      <c r="E472" s="3" t="s">
        <v>209</v>
      </c>
      <c r="F472" s="3" t="s">
        <v>210</v>
      </c>
      <c r="G472" s="3" t="s">
        <v>19</v>
      </c>
      <c r="H472" s="5">
        <v>45923</v>
      </c>
      <c r="I472" s="4">
        <v>46179</v>
      </c>
      <c r="J472" s="3" t="s">
        <v>20</v>
      </c>
      <c r="K472" s="3" t="s">
        <v>24</v>
      </c>
      <c r="L472" s="3" t="s">
        <v>55</v>
      </c>
      <c r="M472" s="3">
        <v>256</v>
      </c>
    </row>
    <row r="473" spans="1:13" x14ac:dyDescent="0.25">
      <c r="A473" s="3" t="s">
        <v>508</v>
      </c>
      <c r="B473" s="3" t="s">
        <v>14</v>
      </c>
      <c r="C473" s="3" t="s">
        <v>15</v>
      </c>
      <c r="D473" s="3" t="s">
        <v>208</v>
      </c>
      <c r="E473" s="3" t="s">
        <v>209</v>
      </c>
      <c r="F473" s="3" t="s">
        <v>210</v>
      </c>
      <c r="G473" s="3" t="s">
        <v>19</v>
      </c>
      <c r="H473" s="5">
        <v>46136</v>
      </c>
      <c r="I473" s="6"/>
      <c r="J473" s="3" t="s">
        <v>27</v>
      </c>
      <c r="K473" s="6"/>
      <c r="L473" s="6"/>
      <c r="M473" s="3">
        <v>67</v>
      </c>
    </row>
    <row r="474" spans="1:13" x14ac:dyDescent="0.25">
      <c r="A474" s="3" t="s">
        <v>509</v>
      </c>
      <c r="B474" s="3" t="s">
        <v>14</v>
      </c>
      <c r="C474" s="3" t="s">
        <v>15</v>
      </c>
      <c r="D474" s="3" t="s">
        <v>208</v>
      </c>
      <c r="E474" s="3" t="s">
        <v>209</v>
      </c>
      <c r="F474" s="3" t="s">
        <v>210</v>
      </c>
      <c r="G474" s="3" t="s">
        <v>19</v>
      </c>
      <c r="H474" s="5">
        <v>46136</v>
      </c>
      <c r="I474" s="5">
        <v>46200</v>
      </c>
      <c r="J474" s="3" t="s">
        <v>20</v>
      </c>
      <c r="K474" s="3" t="s">
        <v>24</v>
      </c>
      <c r="L474" s="3" t="s">
        <v>44</v>
      </c>
      <c r="M474" s="3">
        <v>64</v>
      </c>
    </row>
    <row r="475" spans="1:13" x14ac:dyDescent="0.25">
      <c r="A475" s="3" t="s">
        <v>510</v>
      </c>
      <c r="B475" s="3" t="s">
        <v>14</v>
      </c>
      <c r="C475" s="3" t="s">
        <v>15</v>
      </c>
      <c r="D475" s="3" t="s">
        <v>208</v>
      </c>
      <c r="E475" s="3" t="s">
        <v>209</v>
      </c>
      <c r="F475" s="3" t="s">
        <v>210</v>
      </c>
      <c r="G475" s="3" t="s">
        <v>19</v>
      </c>
      <c r="H475" s="5">
        <v>46136</v>
      </c>
      <c r="I475" s="5">
        <v>46136</v>
      </c>
      <c r="J475" s="3" t="s">
        <v>20</v>
      </c>
      <c r="K475" s="3" t="s">
        <v>21</v>
      </c>
      <c r="L475" s="3" t="s">
        <v>30</v>
      </c>
      <c r="M475" s="3">
        <v>0</v>
      </c>
    </row>
    <row r="476" spans="1:13" x14ac:dyDescent="0.25">
      <c r="A476" s="3" t="s">
        <v>511</v>
      </c>
      <c r="B476" s="3" t="s">
        <v>14</v>
      </c>
      <c r="C476" s="3" t="s">
        <v>15</v>
      </c>
      <c r="D476" s="3" t="s">
        <v>208</v>
      </c>
      <c r="E476" s="3" t="s">
        <v>209</v>
      </c>
      <c r="F476" s="3" t="s">
        <v>210</v>
      </c>
      <c r="G476" s="3" t="s">
        <v>19</v>
      </c>
      <c r="H476" s="5">
        <v>46136</v>
      </c>
      <c r="I476" s="5">
        <v>46138</v>
      </c>
      <c r="J476" s="3" t="s">
        <v>20</v>
      </c>
      <c r="K476" s="3" t="s">
        <v>21</v>
      </c>
      <c r="L476" s="3" t="s">
        <v>30</v>
      </c>
      <c r="M476" s="3">
        <v>2</v>
      </c>
    </row>
    <row r="477" spans="1:13" x14ac:dyDescent="0.25">
      <c r="A477" s="3" t="s">
        <v>512</v>
      </c>
      <c r="B477" s="3" t="s">
        <v>14</v>
      </c>
      <c r="C477" s="3" t="s">
        <v>15</v>
      </c>
      <c r="D477" s="3" t="s">
        <v>208</v>
      </c>
      <c r="E477" s="3" t="s">
        <v>209</v>
      </c>
      <c r="F477" s="3" t="s">
        <v>210</v>
      </c>
      <c r="G477" s="3" t="s">
        <v>19</v>
      </c>
      <c r="H477" s="5">
        <v>45712</v>
      </c>
      <c r="I477" s="5">
        <v>46137</v>
      </c>
      <c r="J477" s="3" t="s">
        <v>20</v>
      </c>
      <c r="K477" s="3" t="s">
        <v>24</v>
      </c>
      <c r="L477" s="3" t="s">
        <v>25</v>
      </c>
      <c r="M477" s="3">
        <v>425</v>
      </c>
    </row>
    <row r="478" spans="1:13" x14ac:dyDescent="0.25">
      <c r="A478" s="3" t="s">
        <v>513</v>
      </c>
      <c r="B478" s="3" t="s">
        <v>14</v>
      </c>
      <c r="C478" s="3" t="s">
        <v>15</v>
      </c>
      <c r="D478" s="3" t="s">
        <v>208</v>
      </c>
      <c r="E478" s="3" t="s">
        <v>209</v>
      </c>
      <c r="F478" s="3" t="s">
        <v>210</v>
      </c>
      <c r="G478" s="3" t="s">
        <v>19</v>
      </c>
      <c r="H478" s="5">
        <v>45862</v>
      </c>
      <c r="I478" s="4">
        <v>46181</v>
      </c>
      <c r="J478" s="3" t="s">
        <v>20</v>
      </c>
      <c r="K478" s="3" t="s">
        <v>24</v>
      </c>
      <c r="L478" s="3" t="s">
        <v>41</v>
      </c>
      <c r="M478" s="3">
        <v>319</v>
      </c>
    </row>
    <row r="479" spans="1:13" x14ac:dyDescent="0.25">
      <c r="A479" s="3" t="s">
        <v>514</v>
      </c>
      <c r="B479" s="3" t="s">
        <v>14</v>
      </c>
      <c r="C479" s="3" t="s">
        <v>15</v>
      </c>
      <c r="D479" s="3" t="s">
        <v>208</v>
      </c>
      <c r="E479" s="3" t="s">
        <v>209</v>
      </c>
      <c r="F479" s="3" t="s">
        <v>210</v>
      </c>
      <c r="G479" s="3" t="s">
        <v>19</v>
      </c>
      <c r="H479" s="5">
        <v>46197</v>
      </c>
      <c r="I479" s="5">
        <v>46198</v>
      </c>
      <c r="J479" s="3" t="s">
        <v>20</v>
      </c>
      <c r="K479" s="3" t="s">
        <v>21</v>
      </c>
      <c r="L479" s="3" t="s">
        <v>61</v>
      </c>
      <c r="M479" s="3">
        <v>1</v>
      </c>
    </row>
    <row r="480" spans="1:13" x14ac:dyDescent="0.25">
      <c r="A480" s="3" t="s">
        <v>515</v>
      </c>
      <c r="B480" s="3" t="s">
        <v>14</v>
      </c>
      <c r="C480" s="3" t="s">
        <v>15</v>
      </c>
      <c r="D480" s="3" t="s">
        <v>208</v>
      </c>
      <c r="E480" s="3" t="s">
        <v>209</v>
      </c>
      <c r="F480" s="3" t="s">
        <v>210</v>
      </c>
      <c r="G480" s="3" t="s">
        <v>19</v>
      </c>
      <c r="H480" s="5">
        <v>46197</v>
      </c>
      <c r="I480" s="5">
        <v>46197</v>
      </c>
      <c r="J480" s="3" t="s">
        <v>20</v>
      </c>
      <c r="K480" s="3" t="s">
        <v>21</v>
      </c>
      <c r="L480" s="3" t="s">
        <v>33</v>
      </c>
      <c r="M480" s="3">
        <v>0</v>
      </c>
    </row>
    <row r="481" spans="1:13" x14ac:dyDescent="0.25">
      <c r="A481" s="3" t="s">
        <v>516</v>
      </c>
      <c r="B481" s="3" t="s">
        <v>14</v>
      </c>
      <c r="C481" s="3" t="s">
        <v>15</v>
      </c>
      <c r="D481" s="3" t="s">
        <v>208</v>
      </c>
      <c r="E481" s="3" t="s">
        <v>209</v>
      </c>
      <c r="F481" s="3" t="s">
        <v>210</v>
      </c>
      <c r="G481" s="3" t="s">
        <v>19</v>
      </c>
      <c r="H481" s="5">
        <v>46197</v>
      </c>
      <c r="I481" s="5">
        <v>46197</v>
      </c>
      <c r="J481" s="3" t="s">
        <v>20</v>
      </c>
      <c r="K481" s="3" t="s">
        <v>21</v>
      </c>
      <c r="L481" s="3" t="s">
        <v>33</v>
      </c>
      <c r="M481" s="3">
        <v>0</v>
      </c>
    </row>
    <row r="482" spans="1:13" x14ac:dyDescent="0.25">
      <c r="A482" s="3" t="s">
        <v>517</v>
      </c>
      <c r="B482" s="3" t="s">
        <v>14</v>
      </c>
      <c r="C482" s="3" t="s">
        <v>15</v>
      </c>
      <c r="D482" s="3" t="s">
        <v>208</v>
      </c>
      <c r="E482" s="3" t="s">
        <v>209</v>
      </c>
      <c r="F482" s="3" t="s">
        <v>210</v>
      </c>
      <c r="G482" s="3" t="s">
        <v>19</v>
      </c>
      <c r="H482" s="7">
        <v>46166</v>
      </c>
      <c r="I482" s="6"/>
      <c r="J482" s="3" t="s">
        <v>27</v>
      </c>
      <c r="K482" s="6"/>
      <c r="L482" s="6"/>
      <c r="M482" s="3">
        <v>37</v>
      </c>
    </row>
    <row r="483" spans="1:13" x14ac:dyDescent="0.25">
      <c r="A483" s="3" t="s">
        <v>518</v>
      </c>
      <c r="B483" s="3" t="s">
        <v>14</v>
      </c>
      <c r="C483" s="3" t="s">
        <v>15</v>
      </c>
      <c r="D483" s="3" t="s">
        <v>208</v>
      </c>
      <c r="E483" s="3" t="s">
        <v>209</v>
      </c>
      <c r="F483" s="3" t="s">
        <v>210</v>
      </c>
      <c r="G483" s="3" t="s">
        <v>19</v>
      </c>
      <c r="H483" s="7">
        <v>46166</v>
      </c>
      <c r="I483" s="6"/>
      <c r="J483" s="3" t="s">
        <v>27</v>
      </c>
      <c r="K483" s="6"/>
      <c r="L483" s="6"/>
      <c r="M483" s="3">
        <v>37</v>
      </c>
    </row>
    <row r="484" spans="1:13" x14ac:dyDescent="0.25">
      <c r="A484" s="3" t="s">
        <v>519</v>
      </c>
      <c r="B484" s="3" t="s">
        <v>14</v>
      </c>
      <c r="C484" s="3" t="s">
        <v>15</v>
      </c>
      <c r="D484" s="3" t="s">
        <v>208</v>
      </c>
      <c r="E484" s="3" t="s">
        <v>209</v>
      </c>
      <c r="F484" s="3" t="s">
        <v>210</v>
      </c>
      <c r="G484" s="3" t="s">
        <v>19</v>
      </c>
      <c r="H484" s="5">
        <v>45924</v>
      </c>
      <c r="I484" s="4">
        <v>46175</v>
      </c>
      <c r="J484" s="3" t="s">
        <v>20</v>
      </c>
      <c r="K484" s="3" t="s">
        <v>24</v>
      </c>
      <c r="L484" s="3" t="s">
        <v>44</v>
      </c>
      <c r="M484" s="3">
        <v>251</v>
      </c>
    </row>
    <row r="485" spans="1:13" x14ac:dyDescent="0.25">
      <c r="A485" s="3" t="s">
        <v>520</v>
      </c>
      <c r="B485" s="3" t="s">
        <v>14</v>
      </c>
      <c r="C485" s="3" t="s">
        <v>15</v>
      </c>
      <c r="D485" s="3" t="s">
        <v>208</v>
      </c>
      <c r="E485" s="3" t="s">
        <v>209</v>
      </c>
      <c r="F485" s="3" t="s">
        <v>210</v>
      </c>
      <c r="G485" s="3" t="s">
        <v>19</v>
      </c>
      <c r="H485" s="5">
        <v>46137</v>
      </c>
      <c r="I485" s="4">
        <v>46174</v>
      </c>
      <c r="J485" s="3" t="s">
        <v>20</v>
      </c>
      <c r="K485" s="3" t="s">
        <v>24</v>
      </c>
      <c r="L485" s="3" t="s">
        <v>44</v>
      </c>
      <c r="M485" s="3">
        <v>37</v>
      </c>
    </row>
    <row r="486" spans="1:13" x14ac:dyDescent="0.25">
      <c r="A486" s="3" t="s">
        <v>521</v>
      </c>
      <c r="B486" s="3" t="s">
        <v>14</v>
      </c>
      <c r="C486" s="3" t="s">
        <v>15</v>
      </c>
      <c r="D486" s="3" t="s">
        <v>208</v>
      </c>
      <c r="E486" s="3" t="s">
        <v>209</v>
      </c>
      <c r="F486" s="3" t="s">
        <v>210</v>
      </c>
      <c r="G486" s="3" t="s">
        <v>19</v>
      </c>
      <c r="H486" s="5">
        <v>46137</v>
      </c>
      <c r="I486" s="5">
        <v>46137</v>
      </c>
      <c r="J486" s="3" t="s">
        <v>20</v>
      </c>
      <c r="K486" s="3" t="s">
        <v>21</v>
      </c>
      <c r="L486" s="3" t="s">
        <v>50</v>
      </c>
      <c r="M486" s="3">
        <v>0</v>
      </c>
    </row>
    <row r="487" spans="1:13" x14ac:dyDescent="0.25">
      <c r="A487" s="3" t="s">
        <v>522</v>
      </c>
      <c r="B487" s="3" t="s">
        <v>14</v>
      </c>
      <c r="C487" s="3" t="s">
        <v>15</v>
      </c>
      <c r="D487" s="3" t="s">
        <v>208</v>
      </c>
      <c r="E487" s="3" t="s">
        <v>209</v>
      </c>
      <c r="F487" s="3" t="s">
        <v>210</v>
      </c>
      <c r="G487" s="3" t="s">
        <v>19</v>
      </c>
      <c r="H487" s="5">
        <v>46137</v>
      </c>
      <c r="I487" s="5">
        <v>46142</v>
      </c>
      <c r="J487" s="3" t="s">
        <v>20</v>
      </c>
      <c r="K487" s="3" t="s">
        <v>21</v>
      </c>
      <c r="L487" s="3" t="s">
        <v>22</v>
      </c>
      <c r="M487" s="3">
        <v>5</v>
      </c>
    </row>
    <row r="488" spans="1:13" x14ac:dyDescent="0.25">
      <c r="A488" s="3" t="s">
        <v>523</v>
      </c>
      <c r="B488" s="3" t="s">
        <v>14</v>
      </c>
      <c r="C488" s="3" t="s">
        <v>15</v>
      </c>
      <c r="D488" s="3" t="s">
        <v>208</v>
      </c>
      <c r="E488" s="3" t="s">
        <v>209</v>
      </c>
      <c r="F488" s="3" t="s">
        <v>210</v>
      </c>
      <c r="G488" s="3" t="s">
        <v>19</v>
      </c>
      <c r="H488" s="5">
        <v>46137</v>
      </c>
      <c r="I488" s="6"/>
      <c r="J488" s="3" t="s">
        <v>27</v>
      </c>
      <c r="K488" s="6"/>
      <c r="L488" s="6"/>
      <c r="M488" s="3">
        <v>66</v>
      </c>
    </row>
    <row r="489" spans="1:13" x14ac:dyDescent="0.25">
      <c r="A489" s="3" t="s">
        <v>524</v>
      </c>
      <c r="B489" s="3" t="s">
        <v>14</v>
      </c>
      <c r="C489" s="3" t="s">
        <v>15</v>
      </c>
      <c r="D489" s="3" t="s">
        <v>208</v>
      </c>
      <c r="E489" s="3" t="s">
        <v>209</v>
      </c>
      <c r="F489" s="3" t="s">
        <v>210</v>
      </c>
      <c r="G489" s="3" t="s">
        <v>19</v>
      </c>
      <c r="H489" s="5">
        <v>46137</v>
      </c>
      <c r="I489" s="8">
        <v>46146</v>
      </c>
      <c r="J489" s="3" t="s">
        <v>20</v>
      </c>
      <c r="K489" s="3" t="s">
        <v>24</v>
      </c>
      <c r="L489" s="3" t="s">
        <v>55</v>
      </c>
      <c r="M489" s="3">
        <v>9</v>
      </c>
    </row>
    <row r="490" spans="1:13" x14ac:dyDescent="0.25">
      <c r="A490" s="3" t="s">
        <v>525</v>
      </c>
      <c r="B490" s="3" t="s">
        <v>14</v>
      </c>
      <c r="C490" s="3" t="s">
        <v>15</v>
      </c>
      <c r="D490" s="3" t="s">
        <v>208</v>
      </c>
      <c r="E490" s="3" t="s">
        <v>209</v>
      </c>
      <c r="F490" s="3" t="s">
        <v>210</v>
      </c>
      <c r="G490" s="3" t="s">
        <v>19</v>
      </c>
      <c r="H490" s="5">
        <v>46137</v>
      </c>
      <c r="I490" s="7">
        <v>46170</v>
      </c>
      <c r="J490" s="3" t="s">
        <v>20</v>
      </c>
      <c r="K490" s="3" t="s">
        <v>24</v>
      </c>
      <c r="L490" s="3" t="s">
        <v>41</v>
      </c>
      <c r="M490" s="3">
        <v>33</v>
      </c>
    </row>
    <row r="491" spans="1:13" x14ac:dyDescent="0.25">
      <c r="A491" s="3" t="s">
        <v>526</v>
      </c>
      <c r="B491" s="3" t="s">
        <v>14</v>
      </c>
      <c r="C491" s="3" t="s">
        <v>15</v>
      </c>
      <c r="D491" s="3" t="s">
        <v>208</v>
      </c>
      <c r="E491" s="3" t="s">
        <v>209</v>
      </c>
      <c r="F491" s="3" t="s">
        <v>210</v>
      </c>
      <c r="G491" s="3" t="s">
        <v>19</v>
      </c>
      <c r="H491" s="5">
        <v>46137</v>
      </c>
      <c r="I491" s="6"/>
      <c r="J491" s="3" t="s">
        <v>27</v>
      </c>
      <c r="K491" s="6"/>
      <c r="L491" s="6"/>
      <c r="M491" s="3">
        <v>66</v>
      </c>
    </row>
    <row r="492" spans="1:13" x14ac:dyDescent="0.25">
      <c r="A492" s="3" t="s">
        <v>527</v>
      </c>
      <c r="B492" s="3" t="s">
        <v>14</v>
      </c>
      <c r="C492" s="3" t="s">
        <v>15</v>
      </c>
      <c r="D492" s="3" t="s">
        <v>208</v>
      </c>
      <c r="E492" s="3" t="s">
        <v>209</v>
      </c>
      <c r="F492" s="3" t="s">
        <v>210</v>
      </c>
      <c r="G492" s="3" t="s">
        <v>19</v>
      </c>
      <c r="H492" s="5">
        <v>46198</v>
      </c>
      <c r="I492" s="6"/>
      <c r="J492" s="3" t="s">
        <v>27</v>
      </c>
      <c r="K492" s="6"/>
      <c r="L492" s="6"/>
      <c r="M492" s="3">
        <v>5</v>
      </c>
    </row>
    <row r="493" spans="1:13" x14ac:dyDescent="0.25">
      <c r="A493" s="3" t="s">
        <v>528</v>
      </c>
      <c r="B493" s="3" t="s">
        <v>14</v>
      </c>
      <c r="C493" s="3" t="s">
        <v>15</v>
      </c>
      <c r="D493" s="3" t="s">
        <v>208</v>
      </c>
      <c r="E493" s="3" t="s">
        <v>209</v>
      </c>
      <c r="F493" s="3" t="s">
        <v>210</v>
      </c>
      <c r="G493" s="3" t="s">
        <v>19</v>
      </c>
      <c r="H493" s="5">
        <v>46198</v>
      </c>
      <c r="I493" s="5">
        <v>46198</v>
      </c>
      <c r="J493" s="3" t="s">
        <v>20</v>
      </c>
      <c r="K493" s="3" t="s">
        <v>21</v>
      </c>
      <c r="L493" s="3" t="s">
        <v>37</v>
      </c>
      <c r="M493" s="3">
        <v>0</v>
      </c>
    </row>
    <row r="494" spans="1:13" x14ac:dyDescent="0.25">
      <c r="A494" s="3" t="s">
        <v>529</v>
      </c>
      <c r="B494" s="3" t="s">
        <v>14</v>
      </c>
      <c r="C494" s="3" t="s">
        <v>15</v>
      </c>
      <c r="D494" s="3" t="s">
        <v>208</v>
      </c>
      <c r="E494" s="3" t="s">
        <v>209</v>
      </c>
      <c r="F494" s="3" t="s">
        <v>210</v>
      </c>
      <c r="G494" s="3" t="s">
        <v>19</v>
      </c>
      <c r="H494" s="5">
        <v>46198</v>
      </c>
      <c r="I494" s="5">
        <v>46198</v>
      </c>
      <c r="J494" s="3" t="s">
        <v>20</v>
      </c>
      <c r="K494" s="3" t="s">
        <v>21</v>
      </c>
      <c r="L494" s="3" t="s">
        <v>61</v>
      </c>
      <c r="M494" s="3">
        <v>0</v>
      </c>
    </row>
    <row r="495" spans="1:13" x14ac:dyDescent="0.25">
      <c r="A495" s="3" t="s">
        <v>530</v>
      </c>
      <c r="B495" s="3" t="s">
        <v>14</v>
      </c>
      <c r="C495" s="3" t="s">
        <v>15</v>
      </c>
      <c r="D495" s="3" t="s">
        <v>208</v>
      </c>
      <c r="E495" s="3" t="s">
        <v>209</v>
      </c>
      <c r="F495" s="3" t="s">
        <v>210</v>
      </c>
      <c r="G495" s="3" t="s">
        <v>19</v>
      </c>
      <c r="H495" s="5">
        <v>46198</v>
      </c>
      <c r="I495" s="5">
        <v>46198</v>
      </c>
      <c r="J495" s="3" t="s">
        <v>20</v>
      </c>
      <c r="K495" s="3" t="s">
        <v>21</v>
      </c>
      <c r="L495" s="3" t="s">
        <v>33</v>
      </c>
      <c r="M495" s="3">
        <v>0</v>
      </c>
    </row>
    <row r="496" spans="1:13" x14ac:dyDescent="0.25">
      <c r="A496" s="3" t="s">
        <v>531</v>
      </c>
      <c r="B496" s="3" t="s">
        <v>14</v>
      </c>
      <c r="C496" s="3" t="s">
        <v>15</v>
      </c>
      <c r="D496" s="3" t="s">
        <v>208</v>
      </c>
      <c r="E496" s="3" t="s">
        <v>209</v>
      </c>
      <c r="F496" s="3" t="s">
        <v>210</v>
      </c>
      <c r="G496" s="3" t="s">
        <v>19</v>
      </c>
      <c r="H496" s="7">
        <v>46167</v>
      </c>
      <c r="I496" s="7">
        <v>46168</v>
      </c>
      <c r="J496" s="3" t="s">
        <v>20</v>
      </c>
      <c r="K496" s="3" t="s">
        <v>21</v>
      </c>
      <c r="L496" s="3" t="s">
        <v>33</v>
      </c>
      <c r="M496" s="3">
        <v>1</v>
      </c>
    </row>
    <row r="497" spans="1:13" x14ac:dyDescent="0.25">
      <c r="A497" s="3" t="s">
        <v>532</v>
      </c>
      <c r="B497" s="3" t="s">
        <v>14</v>
      </c>
      <c r="C497" s="3" t="s">
        <v>15</v>
      </c>
      <c r="D497" s="3" t="s">
        <v>208</v>
      </c>
      <c r="E497" s="3" t="s">
        <v>209</v>
      </c>
      <c r="F497" s="3" t="s">
        <v>210</v>
      </c>
      <c r="G497" s="3" t="s">
        <v>19</v>
      </c>
      <c r="H497" s="7">
        <v>46167</v>
      </c>
      <c r="I497" s="4">
        <v>46178</v>
      </c>
      <c r="J497" s="3" t="s">
        <v>20</v>
      </c>
      <c r="K497" s="3" t="s">
        <v>24</v>
      </c>
      <c r="L497" s="3" t="s">
        <v>55</v>
      </c>
      <c r="M497" s="3">
        <v>11</v>
      </c>
    </row>
    <row r="498" spans="1:13" x14ac:dyDescent="0.25">
      <c r="A498" s="3" t="s">
        <v>533</v>
      </c>
      <c r="B498" s="3" t="s">
        <v>14</v>
      </c>
      <c r="C498" s="3" t="s">
        <v>15</v>
      </c>
      <c r="D498" s="3" t="s">
        <v>208</v>
      </c>
      <c r="E498" s="3" t="s">
        <v>209</v>
      </c>
      <c r="F498" s="3" t="s">
        <v>210</v>
      </c>
      <c r="G498" s="3" t="s">
        <v>19</v>
      </c>
      <c r="H498" s="7">
        <v>46167</v>
      </c>
      <c r="I498" s="7">
        <v>46167</v>
      </c>
      <c r="J498" s="3" t="s">
        <v>20</v>
      </c>
      <c r="K498" s="3" t="s">
        <v>21</v>
      </c>
      <c r="L498" s="3" t="s">
        <v>22</v>
      </c>
      <c r="M498" s="3">
        <v>0</v>
      </c>
    </row>
    <row r="499" spans="1:13" x14ac:dyDescent="0.25">
      <c r="A499" s="3" t="s">
        <v>534</v>
      </c>
      <c r="B499" s="3" t="s">
        <v>14</v>
      </c>
      <c r="C499" s="3" t="s">
        <v>15</v>
      </c>
      <c r="D499" s="3" t="s">
        <v>208</v>
      </c>
      <c r="E499" s="3" t="s">
        <v>209</v>
      </c>
      <c r="F499" s="3" t="s">
        <v>210</v>
      </c>
      <c r="G499" s="3" t="s">
        <v>19</v>
      </c>
      <c r="H499" s="7">
        <v>46167</v>
      </c>
      <c r="I499" s="7">
        <v>46167</v>
      </c>
      <c r="J499" s="3" t="s">
        <v>20</v>
      </c>
      <c r="K499" s="3" t="s">
        <v>21</v>
      </c>
      <c r="L499" s="3" t="s">
        <v>33</v>
      </c>
      <c r="M499" s="3">
        <v>0</v>
      </c>
    </row>
    <row r="500" spans="1:13" x14ac:dyDescent="0.25">
      <c r="A500" s="3" t="s">
        <v>535</v>
      </c>
      <c r="B500" s="3" t="s">
        <v>14</v>
      </c>
      <c r="C500" s="3" t="s">
        <v>15</v>
      </c>
      <c r="D500" s="3" t="s">
        <v>208</v>
      </c>
      <c r="E500" s="3" t="s">
        <v>209</v>
      </c>
      <c r="F500" s="3" t="s">
        <v>210</v>
      </c>
      <c r="G500" s="3" t="s">
        <v>19</v>
      </c>
      <c r="H500" s="5">
        <v>46138</v>
      </c>
      <c r="I500" s="6"/>
      <c r="J500" s="3" t="s">
        <v>27</v>
      </c>
      <c r="K500" s="6"/>
      <c r="L500" s="6"/>
      <c r="M500" s="3">
        <v>65</v>
      </c>
    </row>
    <row r="501" spans="1:13" x14ac:dyDescent="0.25">
      <c r="A501" s="3" t="s">
        <v>536</v>
      </c>
      <c r="B501" s="3" t="s">
        <v>14</v>
      </c>
      <c r="C501" s="3" t="s">
        <v>15</v>
      </c>
      <c r="D501" s="3" t="s">
        <v>208</v>
      </c>
      <c r="E501" s="3" t="s">
        <v>209</v>
      </c>
      <c r="F501" s="3" t="s">
        <v>210</v>
      </c>
      <c r="G501" s="3" t="s">
        <v>19</v>
      </c>
      <c r="H501" s="5">
        <v>46138</v>
      </c>
      <c r="I501" s="7">
        <v>46158</v>
      </c>
      <c r="J501" s="3" t="s">
        <v>20</v>
      </c>
      <c r="K501" s="3" t="s">
        <v>24</v>
      </c>
      <c r="L501" s="3" t="s">
        <v>41</v>
      </c>
      <c r="M501" s="3">
        <v>20</v>
      </c>
    </row>
    <row r="502" spans="1:13" x14ac:dyDescent="0.25">
      <c r="A502" s="3" t="s">
        <v>537</v>
      </c>
      <c r="B502" s="3" t="s">
        <v>14</v>
      </c>
      <c r="C502" s="3" t="s">
        <v>15</v>
      </c>
      <c r="D502" s="3" t="s">
        <v>208</v>
      </c>
      <c r="E502" s="3" t="s">
        <v>209</v>
      </c>
      <c r="F502" s="3" t="s">
        <v>210</v>
      </c>
      <c r="G502" s="3" t="s">
        <v>19</v>
      </c>
      <c r="H502" s="5">
        <v>45895</v>
      </c>
      <c r="I502" s="5">
        <v>46183</v>
      </c>
      <c r="J502" s="3" t="s">
        <v>20</v>
      </c>
      <c r="K502" s="3" t="s">
        <v>24</v>
      </c>
      <c r="L502" s="3" t="s">
        <v>41</v>
      </c>
      <c r="M502" s="3">
        <v>288</v>
      </c>
    </row>
    <row r="503" spans="1:13" x14ac:dyDescent="0.25">
      <c r="A503" s="3" t="s">
        <v>538</v>
      </c>
      <c r="B503" s="3" t="s">
        <v>14</v>
      </c>
      <c r="C503" s="3" t="s">
        <v>15</v>
      </c>
      <c r="D503" s="3" t="s">
        <v>208</v>
      </c>
      <c r="E503" s="3" t="s">
        <v>209</v>
      </c>
      <c r="F503" s="3" t="s">
        <v>210</v>
      </c>
      <c r="G503" s="3" t="s">
        <v>19</v>
      </c>
      <c r="H503" s="5">
        <v>45895</v>
      </c>
      <c r="I503" s="7">
        <v>46166</v>
      </c>
      <c r="J503" s="3" t="s">
        <v>20</v>
      </c>
      <c r="K503" s="3" t="s">
        <v>24</v>
      </c>
      <c r="L503" s="3" t="s">
        <v>55</v>
      </c>
      <c r="M503" s="3">
        <v>271</v>
      </c>
    </row>
    <row r="504" spans="1:13" x14ac:dyDescent="0.25">
      <c r="A504" s="3" t="s">
        <v>539</v>
      </c>
      <c r="B504" s="3" t="s">
        <v>14</v>
      </c>
      <c r="C504" s="3" t="s">
        <v>15</v>
      </c>
      <c r="D504" s="3" t="s">
        <v>208</v>
      </c>
      <c r="E504" s="3" t="s">
        <v>209</v>
      </c>
      <c r="F504" s="3" t="s">
        <v>210</v>
      </c>
      <c r="G504" s="3" t="s">
        <v>19</v>
      </c>
      <c r="H504" s="5">
        <v>45683</v>
      </c>
      <c r="I504" s="7">
        <v>46164</v>
      </c>
      <c r="J504" s="3" t="s">
        <v>20</v>
      </c>
      <c r="K504" s="3" t="s">
        <v>24</v>
      </c>
      <c r="L504" s="3" t="s">
        <v>41</v>
      </c>
      <c r="M504" s="3">
        <v>481</v>
      </c>
    </row>
    <row r="505" spans="1:13" x14ac:dyDescent="0.25">
      <c r="A505" s="3" t="s">
        <v>540</v>
      </c>
      <c r="B505" s="3" t="s">
        <v>14</v>
      </c>
      <c r="C505" s="3" t="s">
        <v>15</v>
      </c>
      <c r="D505" s="3" t="s">
        <v>208</v>
      </c>
      <c r="E505" s="3" t="s">
        <v>209</v>
      </c>
      <c r="F505" s="3" t="s">
        <v>210</v>
      </c>
      <c r="G505" s="3" t="s">
        <v>19</v>
      </c>
      <c r="H505" s="5">
        <v>46199</v>
      </c>
      <c r="I505" s="5">
        <v>46199</v>
      </c>
      <c r="J505" s="3" t="s">
        <v>20</v>
      </c>
      <c r="K505" s="3" t="s">
        <v>21</v>
      </c>
      <c r="L505" s="3" t="s">
        <v>22</v>
      </c>
      <c r="M505" s="3">
        <v>0</v>
      </c>
    </row>
    <row r="506" spans="1:13" x14ac:dyDescent="0.25">
      <c r="A506" s="3" t="s">
        <v>541</v>
      </c>
      <c r="B506" s="3" t="s">
        <v>14</v>
      </c>
      <c r="C506" s="3" t="s">
        <v>15</v>
      </c>
      <c r="D506" s="3" t="s">
        <v>208</v>
      </c>
      <c r="E506" s="3" t="s">
        <v>209</v>
      </c>
      <c r="F506" s="3" t="s">
        <v>210</v>
      </c>
      <c r="G506" s="3" t="s">
        <v>19</v>
      </c>
      <c r="H506" s="7">
        <v>46168</v>
      </c>
      <c r="I506" s="5">
        <v>46203</v>
      </c>
      <c r="J506" s="3" t="s">
        <v>20</v>
      </c>
      <c r="K506" s="3" t="s">
        <v>24</v>
      </c>
      <c r="L506" s="3" t="s">
        <v>55</v>
      </c>
      <c r="M506" s="3">
        <v>35</v>
      </c>
    </row>
    <row r="507" spans="1:13" x14ac:dyDescent="0.25">
      <c r="A507" s="3" t="s">
        <v>542</v>
      </c>
      <c r="B507" s="3" t="s">
        <v>14</v>
      </c>
      <c r="C507" s="3" t="s">
        <v>15</v>
      </c>
      <c r="D507" s="3" t="s">
        <v>208</v>
      </c>
      <c r="E507" s="3" t="s">
        <v>209</v>
      </c>
      <c r="F507" s="3" t="s">
        <v>210</v>
      </c>
      <c r="G507" s="3" t="s">
        <v>19</v>
      </c>
      <c r="H507" s="7">
        <v>46168</v>
      </c>
      <c r="I507" s="7">
        <v>46170</v>
      </c>
      <c r="J507" s="3" t="s">
        <v>20</v>
      </c>
      <c r="K507" s="3" t="s">
        <v>21</v>
      </c>
      <c r="L507" s="3" t="s">
        <v>22</v>
      </c>
      <c r="M507" s="3">
        <v>2</v>
      </c>
    </row>
    <row r="508" spans="1:13" x14ac:dyDescent="0.25">
      <c r="A508" s="3" t="s">
        <v>543</v>
      </c>
      <c r="B508" s="3" t="s">
        <v>14</v>
      </c>
      <c r="C508" s="3" t="s">
        <v>15</v>
      </c>
      <c r="D508" s="3" t="s">
        <v>208</v>
      </c>
      <c r="E508" s="3" t="s">
        <v>209</v>
      </c>
      <c r="F508" s="3" t="s">
        <v>210</v>
      </c>
      <c r="G508" s="3" t="s">
        <v>19</v>
      </c>
      <c r="H508" s="7">
        <v>46168</v>
      </c>
      <c r="I508" s="6"/>
      <c r="J508" s="3" t="s">
        <v>27</v>
      </c>
      <c r="K508" s="6"/>
      <c r="L508" s="6"/>
      <c r="M508" s="3">
        <v>35</v>
      </c>
    </row>
    <row r="509" spans="1:13" x14ac:dyDescent="0.25">
      <c r="A509" s="3" t="s">
        <v>544</v>
      </c>
      <c r="B509" s="3" t="s">
        <v>14</v>
      </c>
      <c r="C509" s="3" t="s">
        <v>15</v>
      </c>
      <c r="D509" s="3" t="s">
        <v>208</v>
      </c>
      <c r="E509" s="3" t="s">
        <v>209</v>
      </c>
      <c r="F509" s="3" t="s">
        <v>210</v>
      </c>
      <c r="G509" s="3" t="s">
        <v>19</v>
      </c>
      <c r="H509" s="5">
        <v>46139</v>
      </c>
      <c r="I509" s="5">
        <v>46139</v>
      </c>
      <c r="J509" s="3" t="s">
        <v>20</v>
      </c>
      <c r="K509" s="3" t="s">
        <v>21</v>
      </c>
      <c r="L509" s="3" t="s">
        <v>61</v>
      </c>
      <c r="M509" s="3">
        <v>0</v>
      </c>
    </row>
    <row r="510" spans="1:13" x14ac:dyDescent="0.25">
      <c r="A510" s="3" t="s">
        <v>545</v>
      </c>
      <c r="B510" s="3" t="s">
        <v>14</v>
      </c>
      <c r="C510" s="3" t="s">
        <v>15</v>
      </c>
      <c r="D510" s="3" t="s">
        <v>208</v>
      </c>
      <c r="E510" s="3" t="s">
        <v>209</v>
      </c>
      <c r="F510" s="3" t="s">
        <v>210</v>
      </c>
      <c r="G510" s="3" t="s">
        <v>19</v>
      </c>
      <c r="H510" s="5">
        <v>46139</v>
      </c>
      <c r="I510" s="5">
        <v>46139</v>
      </c>
      <c r="J510" s="3" t="s">
        <v>20</v>
      </c>
      <c r="K510" s="3" t="s">
        <v>21</v>
      </c>
      <c r="L510" s="3" t="s">
        <v>22</v>
      </c>
      <c r="M510" s="3">
        <v>0</v>
      </c>
    </row>
    <row r="511" spans="1:13" x14ac:dyDescent="0.25">
      <c r="A511" s="3" t="s">
        <v>546</v>
      </c>
      <c r="B511" s="3" t="s">
        <v>14</v>
      </c>
      <c r="C511" s="3" t="s">
        <v>15</v>
      </c>
      <c r="D511" s="3" t="s">
        <v>208</v>
      </c>
      <c r="E511" s="3" t="s">
        <v>209</v>
      </c>
      <c r="F511" s="3" t="s">
        <v>210</v>
      </c>
      <c r="G511" s="3" t="s">
        <v>19</v>
      </c>
      <c r="H511" s="5">
        <v>46139</v>
      </c>
      <c r="I511" s="8">
        <v>46151</v>
      </c>
      <c r="J511" s="3" t="s">
        <v>20</v>
      </c>
      <c r="K511" s="3" t="s">
        <v>24</v>
      </c>
      <c r="L511" s="3" t="s">
        <v>55</v>
      </c>
      <c r="M511" s="3">
        <v>12</v>
      </c>
    </row>
    <row r="512" spans="1:13" x14ac:dyDescent="0.25">
      <c r="A512" s="3" t="s">
        <v>547</v>
      </c>
      <c r="B512" s="3" t="s">
        <v>14</v>
      </c>
      <c r="C512" s="3" t="s">
        <v>15</v>
      </c>
      <c r="D512" s="3" t="s">
        <v>208</v>
      </c>
      <c r="E512" s="3" t="s">
        <v>209</v>
      </c>
      <c r="F512" s="3" t="s">
        <v>210</v>
      </c>
      <c r="G512" s="3" t="s">
        <v>19</v>
      </c>
      <c r="H512" s="5">
        <v>46139</v>
      </c>
      <c r="I512" s="5">
        <v>46139</v>
      </c>
      <c r="J512" s="3" t="s">
        <v>20</v>
      </c>
      <c r="K512" s="3" t="s">
        <v>21</v>
      </c>
      <c r="L512" s="3" t="s">
        <v>33</v>
      </c>
      <c r="M512" s="3">
        <v>0</v>
      </c>
    </row>
    <row r="513" spans="1:13" x14ac:dyDescent="0.25">
      <c r="A513" s="3" t="s">
        <v>548</v>
      </c>
      <c r="B513" s="3" t="s">
        <v>14</v>
      </c>
      <c r="C513" s="3" t="s">
        <v>15</v>
      </c>
      <c r="D513" s="3" t="s">
        <v>208</v>
      </c>
      <c r="E513" s="3" t="s">
        <v>209</v>
      </c>
      <c r="F513" s="3" t="s">
        <v>210</v>
      </c>
      <c r="G513" s="3" t="s">
        <v>19</v>
      </c>
      <c r="H513" s="5">
        <v>46139</v>
      </c>
      <c r="I513" s="6"/>
      <c r="J513" s="3" t="s">
        <v>27</v>
      </c>
      <c r="K513" s="6"/>
      <c r="L513" s="6"/>
      <c r="M513" s="3">
        <v>64</v>
      </c>
    </row>
    <row r="514" spans="1:13" x14ac:dyDescent="0.25">
      <c r="A514" s="3" t="s">
        <v>549</v>
      </c>
      <c r="B514" s="3" t="s">
        <v>14</v>
      </c>
      <c r="C514" s="3" t="s">
        <v>15</v>
      </c>
      <c r="D514" s="3" t="s">
        <v>208</v>
      </c>
      <c r="E514" s="3" t="s">
        <v>209</v>
      </c>
      <c r="F514" s="3" t="s">
        <v>210</v>
      </c>
      <c r="G514" s="3" t="s">
        <v>19</v>
      </c>
      <c r="H514" s="5">
        <v>45896</v>
      </c>
      <c r="I514" s="4">
        <v>46180</v>
      </c>
      <c r="J514" s="3" t="s">
        <v>20</v>
      </c>
      <c r="K514" s="3" t="s">
        <v>24</v>
      </c>
      <c r="L514" s="3" t="s">
        <v>55</v>
      </c>
      <c r="M514" s="3">
        <v>284</v>
      </c>
    </row>
    <row r="515" spans="1:13" x14ac:dyDescent="0.25">
      <c r="A515" s="3" t="s">
        <v>550</v>
      </c>
      <c r="B515" s="3" t="s">
        <v>14</v>
      </c>
      <c r="C515" s="3" t="s">
        <v>15</v>
      </c>
      <c r="D515" s="3" t="s">
        <v>208</v>
      </c>
      <c r="E515" s="3" t="s">
        <v>209</v>
      </c>
      <c r="F515" s="3" t="s">
        <v>210</v>
      </c>
      <c r="G515" s="3" t="s">
        <v>19</v>
      </c>
      <c r="H515" s="5">
        <v>46200</v>
      </c>
      <c r="I515" s="6"/>
      <c r="J515" s="3" t="s">
        <v>27</v>
      </c>
      <c r="K515" s="6"/>
      <c r="L515" s="6"/>
      <c r="M515" s="3">
        <v>3</v>
      </c>
    </row>
    <row r="516" spans="1:13" x14ac:dyDescent="0.25">
      <c r="A516" s="3" t="s">
        <v>551</v>
      </c>
      <c r="B516" s="3" t="s">
        <v>14</v>
      </c>
      <c r="C516" s="3" t="s">
        <v>15</v>
      </c>
      <c r="D516" s="3" t="s">
        <v>208</v>
      </c>
      <c r="E516" s="3" t="s">
        <v>209</v>
      </c>
      <c r="F516" s="3" t="s">
        <v>210</v>
      </c>
      <c r="G516" s="3" t="s">
        <v>19</v>
      </c>
      <c r="H516" s="5">
        <v>46200</v>
      </c>
      <c r="I516" s="5">
        <v>46200</v>
      </c>
      <c r="J516" s="3" t="s">
        <v>20</v>
      </c>
      <c r="K516" s="3" t="s">
        <v>21</v>
      </c>
      <c r="L516" s="3" t="s">
        <v>37</v>
      </c>
      <c r="M516" s="3">
        <v>0</v>
      </c>
    </row>
    <row r="517" spans="1:13" x14ac:dyDescent="0.25">
      <c r="A517" s="3" t="s">
        <v>552</v>
      </c>
      <c r="B517" s="3" t="s">
        <v>14</v>
      </c>
      <c r="C517" s="3" t="s">
        <v>15</v>
      </c>
      <c r="D517" s="3" t="s">
        <v>208</v>
      </c>
      <c r="E517" s="3" t="s">
        <v>209</v>
      </c>
      <c r="F517" s="3" t="s">
        <v>210</v>
      </c>
      <c r="G517" s="3" t="s">
        <v>19</v>
      </c>
      <c r="H517" s="7">
        <v>45804</v>
      </c>
      <c r="I517" s="7">
        <v>46168</v>
      </c>
      <c r="J517" s="3" t="s">
        <v>20</v>
      </c>
      <c r="K517" s="3" t="s">
        <v>24</v>
      </c>
      <c r="L517" s="3" t="s">
        <v>25</v>
      </c>
      <c r="M517" s="3">
        <v>364</v>
      </c>
    </row>
    <row r="518" spans="1:13" x14ac:dyDescent="0.25">
      <c r="A518" s="3" t="s">
        <v>553</v>
      </c>
      <c r="B518" s="3" t="s">
        <v>14</v>
      </c>
      <c r="C518" s="3" t="s">
        <v>15</v>
      </c>
      <c r="D518" s="3" t="s">
        <v>208</v>
      </c>
      <c r="E518" s="3" t="s">
        <v>209</v>
      </c>
      <c r="F518" s="3" t="s">
        <v>210</v>
      </c>
      <c r="G518" s="3" t="s">
        <v>19</v>
      </c>
      <c r="H518" s="7">
        <v>46169</v>
      </c>
      <c r="I518" s="6"/>
      <c r="J518" s="3" t="s">
        <v>27</v>
      </c>
      <c r="K518" s="6"/>
      <c r="L518" s="6"/>
      <c r="M518" s="3">
        <v>34</v>
      </c>
    </row>
    <row r="519" spans="1:13" x14ac:dyDescent="0.25">
      <c r="A519" s="3" t="s">
        <v>554</v>
      </c>
      <c r="B519" s="3" t="s">
        <v>14</v>
      </c>
      <c r="C519" s="3" t="s">
        <v>15</v>
      </c>
      <c r="D519" s="3" t="s">
        <v>208</v>
      </c>
      <c r="E519" s="3" t="s">
        <v>209</v>
      </c>
      <c r="F519" s="3" t="s">
        <v>210</v>
      </c>
      <c r="G519" s="3" t="s">
        <v>19</v>
      </c>
      <c r="H519" s="7">
        <v>46169</v>
      </c>
      <c r="I519" s="5">
        <v>46196</v>
      </c>
      <c r="J519" s="3" t="s">
        <v>20</v>
      </c>
      <c r="K519" s="3" t="s">
        <v>24</v>
      </c>
      <c r="L519" s="3" t="s">
        <v>25</v>
      </c>
      <c r="M519" s="3">
        <v>27</v>
      </c>
    </row>
    <row r="520" spans="1:13" x14ac:dyDescent="0.25">
      <c r="A520" s="3" t="s">
        <v>555</v>
      </c>
      <c r="B520" s="3" t="s">
        <v>14</v>
      </c>
      <c r="C520" s="3" t="s">
        <v>15</v>
      </c>
      <c r="D520" s="3" t="s">
        <v>208</v>
      </c>
      <c r="E520" s="3" t="s">
        <v>209</v>
      </c>
      <c r="F520" s="3" t="s">
        <v>210</v>
      </c>
      <c r="G520" s="3" t="s">
        <v>19</v>
      </c>
      <c r="H520" s="7">
        <v>46169</v>
      </c>
      <c r="I520" s="7">
        <v>46169</v>
      </c>
      <c r="J520" s="3" t="s">
        <v>20</v>
      </c>
      <c r="K520" s="3" t="s">
        <v>21</v>
      </c>
      <c r="L520" s="3" t="s">
        <v>30</v>
      </c>
      <c r="M520" s="3">
        <v>0</v>
      </c>
    </row>
    <row r="521" spans="1:13" x14ac:dyDescent="0.25">
      <c r="A521" s="3" t="s">
        <v>556</v>
      </c>
      <c r="B521" s="3" t="s">
        <v>14</v>
      </c>
      <c r="C521" s="3" t="s">
        <v>15</v>
      </c>
      <c r="D521" s="3" t="s">
        <v>208</v>
      </c>
      <c r="E521" s="3" t="s">
        <v>209</v>
      </c>
      <c r="F521" s="3" t="s">
        <v>210</v>
      </c>
      <c r="G521" s="3" t="s">
        <v>19</v>
      </c>
      <c r="H521" s="7">
        <v>46169</v>
      </c>
      <c r="I521" s="6"/>
      <c r="J521" s="3" t="s">
        <v>27</v>
      </c>
      <c r="K521" s="6"/>
      <c r="L521" s="6"/>
      <c r="M521" s="3">
        <v>34</v>
      </c>
    </row>
    <row r="522" spans="1:13" x14ac:dyDescent="0.25">
      <c r="A522" s="3" t="s">
        <v>557</v>
      </c>
      <c r="B522" s="3" t="s">
        <v>14</v>
      </c>
      <c r="C522" s="3" t="s">
        <v>15</v>
      </c>
      <c r="D522" s="3" t="s">
        <v>208</v>
      </c>
      <c r="E522" s="3" t="s">
        <v>209</v>
      </c>
      <c r="F522" s="3" t="s">
        <v>210</v>
      </c>
      <c r="G522" s="3" t="s">
        <v>19</v>
      </c>
      <c r="H522" s="7">
        <v>46169</v>
      </c>
      <c r="I522" s="4">
        <v>46177</v>
      </c>
      <c r="J522" s="3" t="s">
        <v>20</v>
      </c>
      <c r="K522" s="3" t="s">
        <v>24</v>
      </c>
      <c r="L522" s="3" t="s">
        <v>44</v>
      </c>
      <c r="M522" s="3">
        <v>8</v>
      </c>
    </row>
    <row r="523" spans="1:13" x14ac:dyDescent="0.25">
      <c r="A523" s="3" t="s">
        <v>558</v>
      </c>
      <c r="B523" s="3" t="s">
        <v>14</v>
      </c>
      <c r="C523" s="3" t="s">
        <v>15</v>
      </c>
      <c r="D523" s="3" t="s">
        <v>208</v>
      </c>
      <c r="E523" s="3" t="s">
        <v>209</v>
      </c>
      <c r="F523" s="3" t="s">
        <v>210</v>
      </c>
      <c r="G523" s="3" t="s">
        <v>19</v>
      </c>
      <c r="H523" s="5">
        <v>46140</v>
      </c>
      <c r="I523" s="6"/>
      <c r="J523" s="3" t="s">
        <v>27</v>
      </c>
      <c r="K523" s="6"/>
      <c r="L523" s="6"/>
      <c r="M523" s="3">
        <v>63</v>
      </c>
    </row>
    <row r="524" spans="1:13" x14ac:dyDescent="0.25">
      <c r="A524" s="3" t="s">
        <v>559</v>
      </c>
      <c r="B524" s="3" t="s">
        <v>14</v>
      </c>
      <c r="C524" s="3" t="s">
        <v>15</v>
      </c>
      <c r="D524" s="3" t="s">
        <v>208</v>
      </c>
      <c r="E524" s="3" t="s">
        <v>209</v>
      </c>
      <c r="F524" s="3" t="s">
        <v>210</v>
      </c>
      <c r="G524" s="3" t="s">
        <v>19</v>
      </c>
      <c r="H524" s="5">
        <v>46140</v>
      </c>
      <c r="I524" s="6"/>
      <c r="J524" s="3" t="s">
        <v>27</v>
      </c>
      <c r="K524" s="6"/>
      <c r="L524" s="6"/>
      <c r="M524" s="3">
        <v>63</v>
      </c>
    </row>
    <row r="525" spans="1:13" x14ac:dyDescent="0.25">
      <c r="A525" s="3" t="s">
        <v>560</v>
      </c>
      <c r="B525" s="3" t="s">
        <v>14</v>
      </c>
      <c r="C525" s="3" t="s">
        <v>15</v>
      </c>
      <c r="D525" s="3" t="s">
        <v>208</v>
      </c>
      <c r="E525" s="3" t="s">
        <v>209</v>
      </c>
      <c r="F525" s="3" t="s">
        <v>210</v>
      </c>
      <c r="G525" s="3" t="s">
        <v>19</v>
      </c>
      <c r="H525" s="5">
        <v>46140</v>
      </c>
      <c r="I525" s="5">
        <v>46140</v>
      </c>
      <c r="J525" s="3" t="s">
        <v>20</v>
      </c>
      <c r="K525" s="3" t="s">
        <v>21</v>
      </c>
      <c r="L525" s="3" t="s">
        <v>37</v>
      </c>
      <c r="M525" s="3">
        <v>0</v>
      </c>
    </row>
    <row r="526" spans="1:13" x14ac:dyDescent="0.25">
      <c r="A526" s="3" t="s">
        <v>561</v>
      </c>
      <c r="B526" s="3" t="s">
        <v>14</v>
      </c>
      <c r="C526" s="3" t="s">
        <v>15</v>
      </c>
      <c r="D526" s="3" t="s">
        <v>208</v>
      </c>
      <c r="E526" s="3" t="s">
        <v>209</v>
      </c>
      <c r="F526" s="3" t="s">
        <v>210</v>
      </c>
      <c r="G526" s="3" t="s">
        <v>19</v>
      </c>
      <c r="H526" s="5">
        <v>46019</v>
      </c>
      <c r="I526" s="6"/>
      <c r="J526" s="3" t="s">
        <v>27</v>
      </c>
      <c r="K526" s="6"/>
      <c r="L526" s="6"/>
      <c r="M526" s="3">
        <v>184</v>
      </c>
    </row>
    <row r="527" spans="1:13" x14ac:dyDescent="0.25">
      <c r="A527" s="3" t="s">
        <v>562</v>
      </c>
      <c r="B527" s="3" t="s">
        <v>14</v>
      </c>
      <c r="C527" s="3" t="s">
        <v>15</v>
      </c>
      <c r="D527" s="3" t="s">
        <v>208</v>
      </c>
      <c r="E527" s="3" t="s">
        <v>209</v>
      </c>
      <c r="F527" s="3" t="s">
        <v>210</v>
      </c>
      <c r="G527" s="3" t="s">
        <v>19</v>
      </c>
      <c r="H527" s="5">
        <v>46050</v>
      </c>
      <c r="I527" s="7">
        <v>46153</v>
      </c>
      <c r="J527" s="3" t="s">
        <v>20</v>
      </c>
      <c r="K527" s="3" t="s">
        <v>24</v>
      </c>
      <c r="L527" s="3" t="s">
        <v>41</v>
      </c>
      <c r="M527" s="3">
        <v>103</v>
      </c>
    </row>
    <row r="528" spans="1:13" x14ac:dyDescent="0.25">
      <c r="A528" s="3" t="s">
        <v>563</v>
      </c>
      <c r="B528" s="3" t="s">
        <v>14</v>
      </c>
      <c r="C528" s="3" t="s">
        <v>15</v>
      </c>
      <c r="D528" s="3" t="s">
        <v>208</v>
      </c>
      <c r="E528" s="3" t="s">
        <v>209</v>
      </c>
      <c r="F528" s="3" t="s">
        <v>210</v>
      </c>
      <c r="G528" s="3" t="s">
        <v>19</v>
      </c>
      <c r="H528" s="5">
        <v>45866</v>
      </c>
      <c r="I528" s="4">
        <v>46176</v>
      </c>
      <c r="J528" s="3" t="s">
        <v>20</v>
      </c>
      <c r="K528" s="3" t="s">
        <v>24</v>
      </c>
      <c r="L528" s="3" t="s">
        <v>55</v>
      </c>
      <c r="M528" s="3">
        <v>310</v>
      </c>
    </row>
    <row r="529" spans="1:13" x14ac:dyDescent="0.25">
      <c r="A529" s="3" t="s">
        <v>564</v>
      </c>
      <c r="B529" s="3" t="s">
        <v>14</v>
      </c>
      <c r="C529" s="3" t="s">
        <v>15</v>
      </c>
      <c r="D529" s="3" t="s">
        <v>208</v>
      </c>
      <c r="E529" s="3" t="s">
        <v>209</v>
      </c>
      <c r="F529" s="3" t="s">
        <v>210</v>
      </c>
      <c r="G529" s="3" t="s">
        <v>19</v>
      </c>
      <c r="H529" s="5">
        <v>46201</v>
      </c>
      <c r="I529" s="6"/>
      <c r="J529" s="3" t="s">
        <v>27</v>
      </c>
      <c r="K529" s="6"/>
      <c r="L529" s="6"/>
      <c r="M529" s="3">
        <v>2</v>
      </c>
    </row>
    <row r="530" spans="1:13" x14ac:dyDescent="0.25">
      <c r="A530" s="3" t="s">
        <v>565</v>
      </c>
      <c r="B530" s="3" t="s">
        <v>14</v>
      </c>
      <c r="C530" s="3" t="s">
        <v>15</v>
      </c>
      <c r="D530" s="3" t="s">
        <v>208</v>
      </c>
      <c r="E530" s="3" t="s">
        <v>209</v>
      </c>
      <c r="F530" s="3" t="s">
        <v>210</v>
      </c>
      <c r="G530" s="3" t="s">
        <v>19</v>
      </c>
      <c r="H530" s="5">
        <v>46201</v>
      </c>
      <c r="I530" s="6"/>
      <c r="J530" s="3" t="s">
        <v>27</v>
      </c>
      <c r="K530" s="6"/>
      <c r="L530" s="6"/>
      <c r="M530" s="3">
        <v>2</v>
      </c>
    </row>
    <row r="531" spans="1:13" x14ac:dyDescent="0.25">
      <c r="A531" s="3" t="s">
        <v>566</v>
      </c>
      <c r="B531" s="3" t="s">
        <v>14</v>
      </c>
      <c r="C531" s="3" t="s">
        <v>15</v>
      </c>
      <c r="D531" s="3" t="s">
        <v>208</v>
      </c>
      <c r="E531" s="3" t="s">
        <v>209</v>
      </c>
      <c r="F531" s="3" t="s">
        <v>210</v>
      </c>
      <c r="G531" s="3" t="s">
        <v>19</v>
      </c>
      <c r="H531" s="5">
        <v>46201</v>
      </c>
      <c r="I531" s="6"/>
      <c r="J531" s="3" t="s">
        <v>27</v>
      </c>
      <c r="K531" s="6"/>
      <c r="L531" s="6"/>
      <c r="M531" s="3">
        <v>2</v>
      </c>
    </row>
    <row r="532" spans="1:13" x14ac:dyDescent="0.25">
      <c r="A532" s="3" t="s">
        <v>567</v>
      </c>
      <c r="B532" s="3" t="s">
        <v>14</v>
      </c>
      <c r="C532" s="3" t="s">
        <v>15</v>
      </c>
      <c r="D532" s="3" t="s">
        <v>208</v>
      </c>
      <c r="E532" s="3" t="s">
        <v>209</v>
      </c>
      <c r="F532" s="3" t="s">
        <v>210</v>
      </c>
      <c r="G532" s="3" t="s">
        <v>19</v>
      </c>
      <c r="H532" s="5">
        <v>46201</v>
      </c>
      <c r="I532" s="5">
        <v>46201</v>
      </c>
      <c r="J532" s="3" t="s">
        <v>20</v>
      </c>
      <c r="K532" s="3" t="s">
        <v>21</v>
      </c>
      <c r="L532" s="3" t="s">
        <v>30</v>
      </c>
      <c r="M532" s="3">
        <v>0</v>
      </c>
    </row>
    <row r="533" spans="1:13" x14ac:dyDescent="0.25">
      <c r="A533" s="3" t="s">
        <v>568</v>
      </c>
      <c r="B533" s="3" t="s">
        <v>14</v>
      </c>
      <c r="C533" s="3" t="s">
        <v>15</v>
      </c>
      <c r="D533" s="3" t="s">
        <v>208</v>
      </c>
      <c r="E533" s="3" t="s">
        <v>209</v>
      </c>
      <c r="F533" s="3" t="s">
        <v>210</v>
      </c>
      <c r="G533" s="3" t="s">
        <v>19</v>
      </c>
      <c r="H533" s="5">
        <v>46201</v>
      </c>
      <c r="I533" s="6"/>
      <c r="J533" s="3" t="s">
        <v>27</v>
      </c>
      <c r="K533" s="6"/>
      <c r="L533" s="6"/>
      <c r="M533" s="3">
        <v>2</v>
      </c>
    </row>
    <row r="534" spans="1:13" x14ac:dyDescent="0.25">
      <c r="A534" s="3" t="s">
        <v>569</v>
      </c>
      <c r="B534" s="3" t="s">
        <v>14</v>
      </c>
      <c r="C534" s="3" t="s">
        <v>15</v>
      </c>
      <c r="D534" s="3" t="s">
        <v>208</v>
      </c>
      <c r="E534" s="3" t="s">
        <v>209</v>
      </c>
      <c r="F534" s="3" t="s">
        <v>210</v>
      </c>
      <c r="G534" s="3" t="s">
        <v>19</v>
      </c>
      <c r="H534" s="5">
        <v>46201</v>
      </c>
      <c r="I534" s="6"/>
      <c r="J534" s="3" t="s">
        <v>27</v>
      </c>
      <c r="K534" s="6"/>
      <c r="L534" s="6"/>
      <c r="M534" s="3">
        <v>2</v>
      </c>
    </row>
    <row r="535" spans="1:13" x14ac:dyDescent="0.25">
      <c r="A535" s="3" t="s">
        <v>570</v>
      </c>
      <c r="B535" s="3" t="s">
        <v>14</v>
      </c>
      <c r="C535" s="3" t="s">
        <v>15</v>
      </c>
      <c r="D535" s="3" t="s">
        <v>208</v>
      </c>
      <c r="E535" s="3" t="s">
        <v>209</v>
      </c>
      <c r="F535" s="3" t="s">
        <v>210</v>
      </c>
      <c r="G535" s="3" t="s">
        <v>19</v>
      </c>
      <c r="H535" s="7">
        <v>46170</v>
      </c>
      <c r="I535" s="6"/>
      <c r="J535" s="3" t="s">
        <v>27</v>
      </c>
      <c r="K535" s="6"/>
      <c r="L535" s="6"/>
      <c r="M535" s="3">
        <v>33</v>
      </c>
    </row>
    <row r="536" spans="1:13" x14ac:dyDescent="0.25">
      <c r="A536" s="3" t="s">
        <v>571</v>
      </c>
      <c r="B536" s="3" t="s">
        <v>14</v>
      </c>
      <c r="C536" s="3" t="s">
        <v>15</v>
      </c>
      <c r="D536" s="3" t="s">
        <v>208</v>
      </c>
      <c r="E536" s="3" t="s">
        <v>209</v>
      </c>
      <c r="F536" s="3" t="s">
        <v>210</v>
      </c>
      <c r="G536" s="3" t="s">
        <v>19</v>
      </c>
      <c r="H536" s="7">
        <v>46170</v>
      </c>
      <c r="I536" s="4">
        <v>46181</v>
      </c>
      <c r="J536" s="3" t="s">
        <v>20</v>
      </c>
      <c r="K536" s="3" t="s">
        <v>24</v>
      </c>
      <c r="L536" s="3" t="s">
        <v>44</v>
      </c>
      <c r="M536" s="3">
        <v>11</v>
      </c>
    </row>
    <row r="537" spans="1:13" x14ac:dyDescent="0.25">
      <c r="A537" s="3" t="s">
        <v>572</v>
      </c>
      <c r="B537" s="3" t="s">
        <v>14</v>
      </c>
      <c r="C537" s="3" t="s">
        <v>15</v>
      </c>
      <c r="D537" s="3" t="s">
        <v>208</v>
      </c>
      <c r="E537" s="3" t="s">
        <v>209</v>
      </c>
      <c r="F537" s="3" t="s">
        <v>210</v>
      </c>
      <c r="G537" s="3" t="s">
        <v>19</v>
      </c>
      <c r="H537" s="7">
        <v>46170</v>
      </c>
      <c r="I537" s="5">
        <v>46183</v>
      </c>
      <c r="J537" s="3" t="s">
        <v>20</v>
      </c>
      <c r="K537" s="3" t="s">
        <v>24</v>
      </c>
      <c r="L537" s="3" t="s">
        <v>41</v>
      </c>
      <c r="M537" s="3">
        <v>13</v>
      </c>
    </row>
    <row r="538" spans="1:13" x14ac:dyDescent="0.25">
      <c r="A538" s="3" t="s">
        <v>573</v>
      </c>
      <c r="B538" s="3" t="s">
        <v>14</v>
      </c>
      <c r="C538" s="3" t="s">
        <v>15</v>
      </c>
      <c r="D538" s="3" t="s">
        <v>208</v>
      </c>
      <c r="E538" s="3" t="s">
        <v>209</v>
      </c>
      <c r="F538" s="3" t="s">
        <v>210</v>
      </c>
      <c r="G538" s="3" t="s">
        <v>19</v>
      </c>
      <c r="H538" s="7">
        <v>46170</v>
      </c>
      <c r="I538" s="5">
        <v>46186</v>
      </c>
      <c r="J538" s="3" t="s">
        <v>20</v>
      </c>
      <c r="K538" s="3" t="s">
        <v>24</v>
      </c>
      <c r="L538" s="3" t="s">
        <v>55</v>
      </c>
      <c r="M538" s="3">
        <v>16</v>
      </c>
    </row>
    <row r="539" spans="1:13" x14ac:dyDescent="0.25">
      <c r="A539" s="3" t="s">
        <v>574</v>
      </c>
      <c r="B539" s="3" t="s">
        <v>14</v>
      </c>
      <c r="C539" s="3" t="s">
        <v>15</v>
      </c>
      <c r="D539" s="3" t="s">
        <v>208</v>
      </c>
      <c r="E539" s="3" t="s">
        <v>209</v>
      </c>
      <c r="F539" s="3" t="s">
        <v>210</v>
      </c>
      <c r="G539" s="3" t="s">
        <v>19</v>
      </c>
      <c r="H539" s="5">
        <v>45776</v>
      </c>
      <c r="I539" s="6"/>
      <c r="J539" s="3" t="s">
        <v>27</v>
      </c>
      <c r="K539" s="6"/>
      <c r="L539" s="6"/>
      <c r="M539" s="3">
        <v>427</v>
      </c>
    </row>
    <row r="540" spans="1:13" x14ac:dyDescent="0.25">
      <c r="A540" s="3" t="s">
        <v>575</v>
      </c>
      <c r="B540" s="3" t="s">
        <v>14</v>
      </c>
      <c r="C540" s="3" t="s">
        <v>15</v>
      </c>
      <c r="D540" s="3" t="s">
        <v>208</v>
      </c>
      <c r="E540" s="3" t="s">
        <v>209</v>
      </c>
      <c r="F540" s="3" t="s">
        <v>210</v>
      </c>
      <c r="G540" s="3" t="s">
        <v>19</v>
      </c>
      <c r="H540" s="5">
        <v>46141</v>
      </c>
      <c r="I540" s="5">
        <v>46141</v>
      </c>
      <c r="J540" s="3" t="s">
        <v>20</v>
      </c>
      <c r="K540" s="3" t="s">
        <v>21</v>
      </c>
      <c r="L540" s="3" t="s">
        <v>30</v>
      </c>
      <c r="M540" s="3">
        <v>0</v>
      </c>
    </row>
    <row r="541" spans="1:13" x14ac:dyDescent="0.25">
      <c r="A541" s="3" t="s">
        <v>576</v>
      </c>
      <c r="B541" s="3" t="s">
        <v>14</v>
      </c>
      <c r="C541" s="3" t="s">
        <v>15</v>
      </c>
      <c r="D541" s="3" t="s">
        <v>208</v>
      </c>
      <c r="E541" s="3" t="s">
        <v>209</v>
      </c>
      <c r="F541" s="3" t="s">
        <v>210</v>
      </c>
      <c r="G541" s="3" t="s">
        <v>19</v>
      </c>
      <c r="H541" s="5">
        <v>46141</v>
      </c>
      <c r="I541" s="5">
        <v>46186</v>
      </c>
      <c r="J541" s="3" t="s">
        <v>20</v>
      </c>
      <c r="K541" s="3" t="s">
        <v>24</v>
      </c>
      <c r="L541" s="3" t="s">
        <v>41</v>
      </c>
      <c r="M541" s="3">
        <v>45</v>
      </c>
    </row>
    <row r="542" spans="1:13" x14ac:dyDescent="0.25">
      <c r="A542" s="3" t="s">
        <v>577</v>
      </c>
      <c r="B542" s="3" t="s">
        <v>14</v>
      </c>
      <c r="C542" s="3" t="s">
        <v>15</v>
      </c>
      <c r="D542" s="3" t="s">
        <v>208</v>
      </c>
      <c r="E542" s="3" t="s">
        <v>209</v>
      </c>
      <c r="F542" s="3" t="s">
        <v>210</v>
      </c>
      <c r="G542" s="3" t="s">
        <v>19</v>
      </c>
      <c r="H542" s="5">
        <v>46141</v>
      </c>
      <c r="I542" s="6"/>
      <c r="J542" s="3" t="s">
        <v>27</v>
      </c>
      <c r="K542" s="6"/>
      <c r="L542" s="6"/>
      <c r="M542" s="3">
        <v>62</v>
      </c>
    </row>
    <row r="543" spans="1:13" x14ac:dyDescent="0.25">
      <c r="A543" s="3" t="s">
        <v>578</v>
      </c>
      <c r="B543" s="3" t="s">
        <v>14</v>
      </c>
      <c r="C543" s="3" t="s">
        <v>15</v>
      </c>
      <c r="D543" s="3" t="s">
        <v>208</v>
      </c>
      <c r="E543" s="3" t="s">
        <v>209</v>
      </c>
      <c r="F543" s="3" t="s">
        <v>210</v>
      </c>
      <c r="G543" s="3" t="s">
        <v>19</v>
      </c>
      <c r="H543" s="5">
        <v>46141</v>
      </c>
      <c r="I543" s="6"/>
      <c r="J543" s="3" t="s">
        <v>27</v>
      </c>
      <c r="K543" s="6"/>
      <c r="L543" s="6"/>
      <c r="M543" s="3">
        <v>62</v>
      </c>
    </row>
    <row r="544" spans="1:13" x14ac:dyDescent="0.25">
      <c r="A544" s="3" t="s">
        <v>579</v>
      </c>
      <c r="B544" s="3" t="s">
        <v>14</v>
      </c>
      <c r="C544" s="3" t="s">
        <v>15</v>
      </c>
      <c r="D544" s="3" t="s">
        <v>208</v>
      </c>
      <c r="E544" s="3" t="s">
        <v>209</v>
      </c>
      <c r="F544" s="3" t="s">
        <v>210</v>
      </c>
      <c r="G544" s="3" t="s">
        <v>19</v>
      </c>
      <c r="H544" s="5">
        <v>46141</v>
      </c>
      <c r="I544" s="6"/>
      <c r="J544" s="3" t="s">
        <v>27</v>
      </c>
      <c r="K544" s="6"/>
      <c r="L544" s="6"/>
      <c r="M544" s="3">
        <v>62</v>
      </c>
    </row>
    <row r="545" spans="1:13" x14ac:dyDescent="0.25">
      <c r="A545" s="3" t="s">
        <v>580</v>
      </c>
      <c r="B545" s="3" t="s">
        <v>14</v>
      </c>
      <c r="C545" s="3" t="s">
        <v>15</v>
      </c>
      <c r="D545" s="3" t="s">
        <v>208</v>
      </c>
      <c r="E545" s="3" t="s">
        <v>209</v>
      </c>
      <c r="F545" s="3" t="s">
        <v>210</v>
      </c>
      <c r="G545" s="3" t="s">
        <v>19</v>
      </c>
      <c r="H545" s="5">
        <v>46051</v>
      </c>
      <c r="I545" s="6"/>
      <c r="J545" s="3" t="s">
        <v>27</v>
      </c>
      <c r="K545" s="6"/>
      <c r="L545" s="6"/>
      <c r="M545" s="3">
        <v>152</v>
      </c>
    </row>
    <row r="546" spans="1:13" x14ac:dyDescent="0.25">
      <c r="A546" s="3" t="s">
        <v>581</v>
      </c>
      <c r="B546" s="3" t="s">
        <v>14</v>
      </c>
      <c r="C546" s="3" t="s">
        <v>15</v>
      </c>
      <c r="D546" s="3" t="s">
        <v>208</v>
      </c>
      <c r="E546" s="3" t="s">
        <v>209</v>
      </c>
      <c r="F546" s="3" t="s">
        <v>210</v>
      </c>
      <c r="G546" s="3" t="s">
        <v>19</v>
      </c>
      <c r="H546" s="7">
        <v>46171</v>
      </c>
      <c r="I546" s="6"/>
      <c r="J546" s="3" t="s">
        <v>27</v>
      </c>
      <c r="K546" s="6"/>
      <c r="L546" s="6"/>
      <c r="M546" s="3">
        <v>32</v>
      </c>
    </row>
    <row r="547" spans="1:13" x14ac:dyDescent="0.25">
      <c r="A547" s="3" t="s">
        <v>582</v>
      </c>
      <c r="B547" s="3" t="s">
        <v>14</v>
      </c>
      <c r="C547" s="3" t="s">
        <v>15</v>
      </c>
      <c r="D547" s="3" t="s">
        <v>208</v>
      </c>
      <c r="E547" s="3" t="s">
        <v>209</v>
      </c>
      <c r="F547" s="3" t="s">
        <v>210</v>
      </c>
      <c r="G547" s="3" t="s">
        <v>19</v>
      </c>
      <c r="H547" s="7">
        <v>46171</v>
      </c>
      <c r="I547" s="6"/>
      <c r="J547" s="3" t="s">
        <v>27</v>
      </c>
      <c r="K547" s="6"/>
      <c r="L547" s="6"/>
      <c r="M547" s="3">
        <v>32</v>
      </c>
    </row>
    <row r="548" spans="1:13" x14ac:dyDescent="0.25">
      <c r="A548" s="3" t="s">
        <v>583</v>
      </c>
      <c r="B548" s="3" t="s">
        <v>14</v>
      </c>
      <c r="C548" s="3" t="s">
        <v>15</v>
      </c>
      <c r="D548" s="3" t="s">
        <v>208</v>
      </c>
      <c r="E548" s="3" t="s">
        <v>209</v>
      </c>
      <c r="F548" s="3" t="s">
        <v>210</v>
      </c>
      <c r="G548" s="3" t="s">
        <v>19</v>
      </c>
      <c r="H548" s="5">
        <v>45929</v>
      </c>
      <c r="I548" s="6"/>
      <c r="J548" s="3" t="s">
        <v>27</v>
      </c>
      <c r="K548" s="6"/>
      <c r="L548" s="6"/>
      <c r="M548" s="3">
        <v>274</v>
      </c>
    </row>
    <row r="549" spans="1:13" x14ac:dyDescent="0.25">
      <c r="A549" s="3" t="s">
        <v>584</v>
      </c>
      <c r="B549" s="3" t="s">
        <v>14</v>
      </c>
      <c r="C549" s="3" t="s">
        <v>15</v>
      </c>
      <c r="D549" s="3" t="s">
        <v>208</v>
      </c>
      <c r="E549" s="3" t="s">
        <v>209</v>
      </c>
      <c r="F549" s="3" t="s">
        <v>210</v>
      </c>
      <c r="G549" s="3" t="s">
        <v>19</v>
      </c>
      <c r="H549" s="5">
        <v>46142</v>
      </c>
      <c r="I549" s="5">
        <v>46142</v>
      </c>
      <c r="J549" s="3" t="s">
        <v>20</v>
      </c>
      <c r="K549" s="3" t="s">
        <v>21</v>
      </c>
      <c r="L549" s="3" t="s">
        <v>50</v>
      </c>
      <c r="M549" s="3">
        <v>0</v>
      </c>
    </row>
    <row r="550" spans="1:13" x14ac:dyDescent="0.25">
      <c r="A550" s="3" t="s">
        <v>585</v>
      </c>
      <c r="B550" s="3" t="s">
        <v>14</v>
      </c>
      <c r="C550" s="3" t="s">
        <v>15</v>
      </c>
      <c r="D550" s="3" t="s">
        <v>208</v>
      </c>
      <c r="E550" s="3" t="s">
        <v>209</v>
      </c>
      <c r="F550" s="3" t="s">
        <v>210</v>
      </c>
      <c r="G550" s="3" t="s">
        <v>19</v>
      </c>
      <c r="H550" s="5">
        <v>46142</v>
      </c>
      <c r="I550" s="6"/>
      <c r="J550" s="3" t="s">
        <v>27</v>
      </c>
      <c r="K550" s="6"/>
      <c r="L550" s="6"/>
      <c r="M550" s="3">
        <v>61</v>
      </c>
    </row>
    <row r="551" spans="1:13" x14ac:dyDescent="0.25">
      <c r="A551" s="3" t="s">
        <v>586</v>
      </c>
      <c r="B551" s="3" t="s">
        <v>14</v>
      </c>
      <c r="C551" s="3" t="s">
        <v>15</v>
      </c>
      <c r="D551" s="3" t="s">
        <v>208</v>
      </c>
      <c r="E551" s="3" t="s">
        <v>209</v>
      </c>
      <c r="F551" s="3" t="s">
        <v>210</v>
      </c>
      <c r="G551" s="3" t="s">
        <v>19</v>
      </c>
      <c r="H551" s="5">
        <v>46052</v>
      </c>
      <c r="I551" s="6"/>
      <c r="J551" s="3" t="s">
        <v>27</v>
      </c>
      <c r="K551" s="6"/>
      <c r="L551" s="6"/>
      <c r="M551" s="3">
        <v>151</v>
      </c>
    </row>
    <row r="552" spans="1:13" x14ac:dyDescent="0.25">
      <c r="A552" s="3" t="s">
        <v>587</v>
      </c>
      <c r="B552" s="3" t="s">
        <v>14</v>
      </c>
      <c r="C552" s="3" t="s">
        <v>15</v>
      </c>
      <c r="D552" s="3" t="s">
        <v>208</v>
      </c>
      <c r="E552" s="3" t="s">
        <v>209</v>
      </c>
      <c r="F552" s="3" t="s">
        <v>210</v>
      </c>
      <c r="G552" s="3" t="s">
        <v>19</v>
      </c>
      <c r="H552" s="5">
        <v>46203</v>
      </c>
      <c r="I552" s="6"/>
      <c r="J552" s="3" t="s">
        <v>27</v>
      </c>
      <c r="K552" s="6"/>
      <c r="L552" s="6"/>
      <c r="M552" s="3">
        <v>0</v>
      </c>
    </row>
    <row r="553" spans="1:13" x14ac:dyDescent="0.25">
      <c r="A553" s="3" t="s">
        <v>588</v>
      </c>
      <c r="B553" s="3" t="s">
        <v>14</v>
      </c>
      <c r="C553" s="3" t="s">
        <v>15</v>
      </c>
      <c r="D553" s="3" t="s">
        <v>208</v>
      </c>
      <c r="E553" s="3" t="s">
        <v>209</v>
      </c>
      <c r="F553" s="3" t="s">
        <v>210</v>
      </c>
      <c r="G553" s="3" t="s">
        <v>19</v>
      </c>
      <c r="H553" s="5">
        <v>46203</v>
      </c>
      <c r="I553" s="5">
        <v>46203</v>
      </c>
      <c r="J553" s="3" t="s">
        <v>20</v>
      </c>
      <c r="K553" s="3" t="s">
        <v>21</v>
      </c>
      <c r="L553" s="3" t="s">
        <v>22</v>
      </c>
      <c r="M553" s="3">
        <v>0</v>
      </c>
    </row>
    <row r="554" spans="1:13" x14ac:dyDescent="0.25">
      <c r="A554" s="3" t="s">
        <v>589</v>
      </c>
      <c r="B554" s="3" t="s">
        <v>14</v>
      </c>
      <c r="C554" s="3" t="s">
        <v>15</v>
      </c>
      <c r="D554" s="3" t="s">
        <v>208</v>
      </c>
      <c r="E554" s="3" t="s">
        <v>209</v>
      </c>
      <c r="F554" s="3" t="s">
        <v>210</v>
      </c>
      <c r="G554" s="3" t="s">
        <v>19</v>
      </c>
      <c r="H554" s="5">
        <v>46203</v>
      </c>
      <c r="I554" s="6"/>
      <c r="J554" s="3" t="s">
        <v>27</v>
      </c>
      <c r="K554" s="6"/>
      <c r="L554" s="6"/>
      <c r="M554" s="3">
        <v>0</v>
      </c>
    </row>
    <row r="555" spans="1:13" x14ac:dyDescent="0.25">
      <c r="A555" s="3" t="s">
        <v>590</v>
      </c>
      <c r="B555" s="3" t="s">
        <v>14</v>
      </c>
      <c r="C555" s="3" t="s">
        <v>15</v>
      </c>
      <c r="D555" s="3" t="s">
        <v>208</v>
      </c>
      <c r="E555" s="3" t="s">
        <v>209</v>
      </c>
      <c r="F555" s="3" t="s">
        <v>210</v>
      </c>
      <c r="G555" s="3" t="s">
        <v>19</v>
      </c>
      <c r="H555" s="5">
        <v>46111</v>
      </c>
      <c r="I555" s="5">
        <v>46125</v>
      </c>
      <c r="J555" s="3" t="s">
        <v>20</v>
      </c>
      <c r="K555" s="3" t="s">
        <v>21</v>
      </c>
      <c r="L555" s="3" t="s">
        <v>22</v>
      </c>
      <c r="M555" s="3">
        <v>14</v>
      </c>
    </row>
    <row r="556" spans="1:13" x14ac:dyDescent="0.25">
      <c r="A556" s="3" t="s">
        <v>591</v>
      </c>
      <c r="B556" s="3" t="s">
        <v>14</v>
      </c>
      <c r="C556" s="3" t="s">
        <v>15</v>
      </c>
      <c r="D556" s="3" t="s">
        <v>208</v>
      </c>
      <c r="E556" s="3" t="s">
        <v>209</v>
      </c>
      <c r="F556" s="3" t="s">
        <v>210</v>
      </c>
      <c r="G556" s="3" t="s">
        <v>19</v>
      </c>
      <c r="H556" s="5">
        <v>46111</v>
      </c>
      <c r="I556" s="6"/>
      <c r="J556" s="3" t="s">
        <v>27</v>
      </c>
      <c r="K556" s="6"/>
      <c r="L556" s="6"/>
      <c r="M556" s="3">
        <v>92</v>
      </c>
    </row>
    <row r="557" spans="1:13" x14ac:dyDescent="0.25">
      <c r="A557" s="3" t="s">
        <v>592</v>
      </c>
      <c r="B557" s="3" t="s">
        <v>14</v>
      </c>
      <c r="C557" s="3" t="s">
        <v>15</v>
      </c>
      <c r="D557" s="3" t="s">
        <v>208</v>
      </c>
      <c r="E557" s="3" t="s">
        <v>209</v>
      </c>
      <c r="F557" s="3" t="s">
        <v>210</v>
      </c>
      <c r="G557" s="3" t="s">
        <v>19</v>
      </c>
      <c r="H557" s="7">
        <v>46172</v>
      </c>
      <c r="I557" s="7">
        <v>46172</v>
      </c>
      <c r="J557" s="3" t="s">
        <v>20</v>
      </c>
      <c r="K557" s="3" t="s">
        <v>21</v>
      </c>
      <c r="L557" s="3" t="s">
        <v>50</v>
      </c>
      <c r="M557" s="3">
        <v>0</v>
      </c>
    </row>
    <row r="558" spans="1:13" x14ac:dyDescent="0.25">
      <c r="A558" s="3" t="s">
        <v>593</v>
      </c>
      <c r="B558" s="3" t="s">
        <v>14</v>
      </c>
      <c r="C558" s="3" t="s">
        <v>15</v>
      </c>
      <c r="D558" s="3" t="s">
        <v>208</v>
      </c>
      <c r="E558" s="3" t="s">
        <v>209</v>
      </c>
      <c r="F558" s="3" t="s">
        <v>210</v>
      </c>
      <c r="G558" s="3" t="s">
        <v>19</v>
      </c>
      <c r="H558" s="7">
        <v>46172</v>
      </c>
      <c r="I558" s="7">
        <v>46172</v>
      </c>
      <c r="J558" s="3" t="s">
        <v>20</v>
      </c>
      <c r="K558" s="3" t="s">
        <v>21</v>
      </c>
      <c r="L558" s="3" t="s">
        <v>33</v>
      </c>
      <c r="M558" s="3">
        <v>0</v>
      </c>
    </row>
    <row r="559" spans="1:13" x14ac:dyDescent="0.25">
      <c r="A559" s="3" t="s">
        <v>594</v>
      </c>
      <c r="B559" s="3" t="s">
        <v>14</v>
      </c>
      <c r="C559" s="3" t="s">
        <v>15</v>
      </c>
      <c r="D559" s="3" t="s">
        <v>208</v>
      </c>
      <c r="E559" s="3" t="s">
        <v>209</v>
      </c>
      <c r="F559" s="3" t="s">
        <v>210</v>
      </c>
      <c r="G559" s="3" t="s">
        <v>19</v>
      </c>
      <c r="H559" s="7">
        <v>46172</v>
      </c>
      <c r="I559" s="6"/>
      <c r="J559" s="3" t="s">
        <v>27</v>
      </c>
      <c r="K559" s="6"/>
      <c r="L559" s="6"/>
      <c r="M559" s="3">
        <v>31</v>
      </c>
    </row>
    <row r="560" spans="1:13" x14ac:dyDescent="0.25">
      <c r="A560" s="3" t="s">
        <v>595</v>
      </c>
      <c r="B560" s="3" t="s">
        <v>14</v>
      </c>
      <c r="C560" s="3" t="s">
        <v>15</v>
      </c>
      <c r="D560" s="3" t="s">
        <v>208</v>
      </c>
      <c r="E560" s="3" t="s">
        <v>209</v>
      </c>
      <c r="F560" s="3" t="s">
        <v>210</v>
      </c>
      <c r="G560" s="3" t="s">
        <v>19</v>
      </c>
      <c r="H560" s="7">
        <v>46172</v>
      </c>
      <c r="I560" s="7">
        <v>46172</v>
      </c>
      <c r="J560" s="3" t="s">
        <v>20</v>
      </c>
      <c r="K560" s="3" t="s">
        <v>21</v>
      </c>
      <c r="L560" s="3" t="s">
        <v>33</v>
      </c>
      <c r="M560" s="3">
        <v>0</v>
      </c>
    </row>
    <row r="561" spans="1:13" x14ac:dyDescent="0.25">
      <c r="A561" s="3" t="s">
        <v>596</v>
      </c>
      <c r="B561" s="3" t="s">
        <v>14</v>
      </c>
      <c r="C561" s="3" t="s">
        <v>15</v>
      </c>
      <c r="D561" s="3" t="s">
        <v>208</v>
      </c>
      <c r="E561" s="3" t="s">
        <v>209</v>
      </c>
      <c r="F561" s="3" t="s">
        <v>210</v>
      </c>
      <c r="G561" s="3" t="s">
        <v>19</v>
      </c>
      <c r="H561" s="7">
        <v>46172</v>
      </c>
      <c r="I561" s="7">
        <v>46172</v>
      </c>
      <c r="J561" s="3" t="s">
        <v>20</v>
      </c>
      <c r="K561" s="3" t="s">
        <v>21</v>
      </c>
      <c r="L561" s="3" t="s">
        <v>50</v>
      </c>
      <c r="M561" s="3">
        <v>0</v>
      </c>
    </row>
    <row r="562" spans="1:13" x14ac:dyDescent="0.25">
      <c r="A562" s="3" t="s">
        <v>597</v>
      </c>
      <c r="B562" s="3" t="s">
        <v>14</v>
      </c>
      <c r="C562" s="3" t="s">
        <v>15</v>
      </c>
      <c r="D562" s="3" t="s">
        <v>208</v>
      </c>
      <c r="E562" s="3" t="s">
        <v>209</v>
      </c>
      <c r="F562" s="3" t="s">
        <v>210</v>
      </c>
      <c r="G562" s="3" t="s">
        <v>19</v>
      </c>
      <c r="H562" s="7">
        <v>46173</v>
      </c>
      <c r="I562" s="7">
        <v>46173</v>
      </c>
      <c r="J562" s="3" t="s">
        <v>20</v>
      </c>
      <c r="K562" s="3" t="s">
        <v>21</v>
      </c>
      <c r="L562" s="3" t="s">
        <v>37</v>
      </c>
      <c r="M562" s="3">
        <v>0</v>
      </c>
    </row>
    <row r="563" spans="1:13" x14ac:dyDescent="0.25">
      <c r="A563" s="3" t="s">
        <v>598</v>
      </c>
      <c r="B563" s="3" t="s">
        <v>14</v>
      </c>
      <c r="C563" s="3" t="s">
        <v>15</v>
      </c>
      <c r="D563" s="3" t="s">
        <v>208</v>
      </c>
      <c r="E563" s="3" t="s">
        <v>209</v>
      </c>
      <c r="F563" s="3" t="s">
        <v>210</v>
      </c>
      <c r="G563" s="3" t="s">
        <v>142</v>
      </c>
      <c r="H563" s="4">
        <v>46174</v>
      </c>
      <c r="I563" s="6"/>
      <c r="J563" s="3" t="s">
        <v>27</v>
      </c>
      <c r="K563" s="6"/>
      <c r="L563" s="6"/>
      <c r="M563" s="3">
        <v>29</v>
      </c>
    </row>
    <row r="564" spans="1:13" x14ac:dyDescent="0.25">
      <c r="A564" s="3" t="s">
        <v>599</v>
      </c>
      <c r="B564" s="3" t="s">
        <v>14</v>
      </c>
      <c r="C564" s="3" t="s">
        <v>15</v>
      </c>
      <c r="D564" s="3" t="s">
        <v>208</v>
      </c>
      <c r="E564" s="3" t="s">
        <v>209</v>
      </c>
      <c r="F564" s="3" t="s">
        <v>210</v>
      </c>
      <c r="G564" s="3" t="s">
        <v>142</v>
      </c>
      <c r="H564" s="4">
        <v>46082</v>
      </c>
      <c r="I564" s="6"/>
      <c r="J564" s="3" t="s">
        <v>27</v>
      </c>
      <c r="K564" s="6"/>
      <c r="L564" s="6"/>
      <c r="M564" s="3">
        <v>121</v>
      </c>
    </row>
    <row r="565" spans="1:13" x14ac:dyDescent="0.25">
      <c r="A565" s="3" t="s">
        <v>600</v>
      </c>
      <c r="B565" s="3" t="s">
        <v>14</v>
      </c>
      <c r="C565" s="3" t="s">
        <v>15</v>
      </c>
      <c r="D565" s="3" t="s">
        <v>208</v>
      </c>
      <c r="E565" s="3" t="s">
        <v>209</v>
      </c>
      <c r="F565" s="3" t="s">
        <v>210</v>
      </c>
      <c r="G565" s="3" t="s">
        <v>142</v>
      </c>
      <c r="H565" s="4">
        <v>46114</v>
      </c>
      <c r="I565" s="5">
        <v>46126</v>
      </c>
      <c r="J565" s="3" t="s">
        <v>20</v>
      </c>
      <c r="K565" s="3" t="s">
        <v>21</v>
      </c>
      <c r="L565" s="3" t="s">
        <v>37</v>
      </c>
      <c r="M565" s="3">
        <v>12</v>
      </c>
    </row>
    <row r="566" spans="1:13" x14ac:dyDescent="0.25">
      <c r="A566" s="3" t="s">
        <v>601</v>
      </c>
      <c r="B566" s="3" t="s">
        <v>14</v>
      </c>
      <c r="C566" s="3" t="s">
        <v>15</v>
      </c>
      <c r="D566" s="3" t="s">
        <v>208</v>
      </c>
      <c r="E566" s="3" t="s">
        <v>209</v>
      </c>
      <c r="F566" s="3" t="s">
        <v>210</v>
      </c>
      <c r="G566" s="3" t="s">
        <v>142</v>
      </c>
      <c r="H566" s="4">
        <v>46024</v>
      </c>
      <c r="I566" s="5">
        <v>46141</v>
      </c>
      <c r="J566" s="3" t="s">
        <v>20</v>
      </c>
      <c r="K566" s="3" t="s">
        <v>24</v>
      </c>
      <c r="L566" s="3" t="s">
        <v>55</v>
      </c>
      <c r="M566" s="3">
        <v>117</v>
      </c>
    </row>
    <row r="567" spans="1:13" x14ac:dyDescent="0.25">
      <c r="A567" s="3" t="s">
        <v>602</v>
      </c>
      <c r="B567" s="3" t="s">
        <v>14</v>
      </c>
      <c r="C567" s="3" t="s">
        <v>15</v>
      </c>
      <c r="D567" s="3" t="s">
        <v>208</v>
      </c>
      <c r="E567" s="3" t="s">
        <v>209</v>
      </c>
      <c r="F567" s="3" t="s">
        <v>210</v>
      </c>
      <c r="G567" s="3" t="s">
        <v>142</v>
      </c>
      <c r="H567" s="4">
        <v>46175</v>
      </c>
      <c r="I567" s="6"/>
      <c r="J567" s="3" t="s">
        <v>27</v>
      </c>
      <c r="K567" s="6"/>
      <c r="L567" s="6"/>
      <c r="M567" s="3">
        <v>28</v>
      </c>
    </row>
    <row r="568" spans="1:13" x14ac:dyDescent="0.25">
      <c r="A568" s="3" t="s">
        <v>603</v>
      </c>
      <c r="B568" s="3" t="s">
        <v>14</v>
      </c>
      <c r="C568" s="3" t="s">
        <v>15</v>
      </c>
      <c r="D568" s="3" t="s">
        <v>208</v>
      </c>
      <c r="E568" s="3" t="s">
        <v>209</v>
      </c>
      <c r="F568" s="3" t="s">
        <v>210</v>
      </c>
      <c r="G568" s="3" t="s">
        <v>142</v>
      </c>
      <c r="H568" s="4">
        <v>46175</v>
      </c>
      <c r="I568" s="5">
        <v>46195</v>
      </c>
      <c r="J568" s="3" t="s">
        <v>20</v>
      </c>
      <c r="K568" s="3" t="s">
        <v>21</v>
      </c>
      <c r="L568" s="3" t="s">
        <v>61</v>
      </c>
      <c r="M568" s="3">
        <v>20</v>
      </c>
    </row>
    <row r="569" spans="1:13" x14ac:dyDescent="0.25">
      <c r="A569" s="3" t="s">
        <v>604</v>
      </c>
      <c r="B569" s="3" t="s">
        <v>14</v>
      </c>
      <c r="C569" s="3" t="s">
        <v>15</v>
      </c>
      <c r="D569" s="3" t="s">
        <v>208</v>
      </c>
      <c r="E569" s="3" t="s">
        <v>209</v>
      </c>
      <c r="F569" s="3" t="s">
        <v>210</v>
      </c>
      <c r="G569" s="3" t="s">
        <v>142</v>
      </c>
      <c r="H569" s="4">
        <v>45932</v>
      </c>
      <c r="I569" s="5">
        <v>46135</v>
      </c>
      <c r="J569" s="3" t="s">
        <v>20</v>
      </c>
      <c r="K569" s="3" t="s">
        <v>21</v>
      </c>
      <c r="L569" s="3" t="s">
        <v>37</v>
      </c>
      <c r="M569" s="3">
        <v>203</v>
      </c>
    </row>
    <row r="570" spans="1:13" x14ac:dyDescent="0.25">
      <c r="A570" s="3" t="s">
        <v>605</v>
      </c>
      <c r="B570" s="3" t="s">
        <v>14</v>
      </c>
      <c r="C570" s="3" t="s">
        <v>15</v>
      </c>
      <c r="D570" s="3" t="s">
        <v>208</v>
      </c>
      <c r="E570" s="3" t="s">
        <v>209</v>
      </c>
      <c r="F570" s="3" t="s">
        <v>210</v>
      </c>
      <c r="G570" s="3" t="s">
        <v>142</v>
      </c>
      <c r="H570" s="4">
        <v>46115</v>
      </c>
      <c r="I570" s="6"/>
      <c r="J570" s="3" t="s">
        <v>27</v>
      </c>
      <c r="K570" s="6"/>
      <c r="L570" s="6"/>
      <c r="M570" s="3">
        <v>88</v>
      </c>
    </row>
    <row r="571" spans="1:13" x14ac:dyDescent="0.25">
      <c r="A571" s="3" t="s">
        <v>606</v>
      </c>
      <c r="B571" s="3" t="s">
        <v>14</v>
      </c>
      <c r="C571" s="3" t="s">
        <v>15</v>
      </c>
      <c r="D571" s="3" t="s">
        <v>208</v>
      </c>
      <c r="E571" s="3" t="s">
        <v>209</v>
      </c>
      <c r="F571" s="3" t="s">
        <v>210</v>
      </c>
      <c r="G571" s="3" t="s">
        <v>142</v>
      </c>
      <c r="H571" s="4">
        <v>46115</v>
      </c>
      <c r="I571" s="6"/>
      <c r="J571" s="3" t="s">
        <v>27</v>
      </c>
      <c r="K571" s="6"/>
      <c r="L571" s="6"/>
      <c r="M571" s="3">
        <v>88</v>
      </c>
    </row>
    <row r="572" spans="1:13" x14ac:dyDescent="0.25">
      <c r="A572" s="3" t="s">
        <v>607</v>
      </c>
      <c r="B572" s="3" t="s">
        <v>14</v>
      </c>
      <c r="C572" s="3" t="s">
        <v>15</v>
      </c>
      <c r="D572" s="3" t="s">
        <v>208</v>
      </c>
      <c r="E572" s="3" t="s">
        <v>209</v>
      </c>
      <c r="F572" s="3" t="s">
        <v>210</v>
      </c>
      <c r="G572" s="3" t="s">
        <v>142</v>
      </c>
      <c r="H572" s="4">
        <v>45872</v>
      </c>
      <c r="I572" s="8">
        <v>46145</v>
      </c>
      <c r="J572" s="3" t="s">
        <v>20</v>
      </c>
      <c r="K572" s="3" t="s">
        <v>24</v>
      </c>
      <c r="L572" s="3" t="s">
        <v>41</v>
      </c>
      <c r="M572" s="3">
        <v>273</v>
      </c>
    </row>
    <row r="573" spans="1:13" x14ac:dyDescent="0.25">
      <c r="A573" s="3" t="s">
        <v>608</v>
      </c>
      <c r="B573" s="3" t="s">
        <v>14</v>
      </c>
      <c r="C573" s="3" t="s">
        <v>15</v>
      </c>
      <c r="D573" s="3" t="s">
        <v>208</v>
      </c>
      <c r="E573" s="3" t="s">
        <v>209</v>
      </c>
      <c r="F573" s="3" t="s">
        <v>210</v>
      </c>
      <c r="G573" s="3" t="s">
        <v>142</v>
      </c>
      <c r="H573" s="4">
        <v>45841</v>
      </c>
      <c r="I573" s="4">
        <v>46120</v>
      </c>
      <c r="J573" s="3" t="s">
        <v>20</v>
      </c>
      <c r="K573" s="3" t="s">
        <v>24</v>
      </c>
      <c r="L573" s="3" t="s">
        <v>55</v>
      </c>
      <c r="M573" s="3">
        <v>279</v>
      </c>
    </row>
    <row r="574" spans="1:13" x14ac:dyDescent="0.25">
      <c r="A574" s="3" t="s">
        <v>609</v>
      </c>
      <c r="B574" s="3" t="s">
        <v>14</v>
      </c>
      <c r="C574" s="3" t="s">
        <v>15</v>
      </c>
      <c r="D574" s="3" t="s">
        <v>208</v>
      </c>
      <c r="E574" s="3" t="s">
        <v>209</v>
      </c>
      <c r="F574" s="3" t="s">
        <v>210</v>
      </c>
      <c r="G574" s="3" t="s">
        <v>142</v>
      </c>
      <c r="H574" s="4">
        <v>46176</v>
      </c>
      <c r="I574" s="6"/>
      <c r="J574" s="3" t="s">
        <v>27</v>
      </c>
      <c r="K574" s="6"/>
      <c r="L574" s="6"/>
      <c r="M574" s="3">
        <v>27</v>
      </c>
    </row>
    <row r="575" spans="1:13" x14ac:dyDescent="0.25">
      <c r="A575" s="3" t="s">
        <v>610</v>
      </c>
      <c r="B575" s="3" t="s">
        <v>14</v>
      </c>
      <c r="C575" s="3" t="s">
        <v>15</v>
      </c>
      <c r="D575" s="3" t="s">
        <v>208</v>
      </c>
      <c r="E575" s="3" t="s">
        <v>209</v>
      </c>
      <c r="F575" s="3" t="s">
        <v>210</v>
      </c>
      <c r="G575" s="3" t="s">
        <v>142</v>
      </c>
      <c r="H575" s="8">
        <v>46145</v>
      </c>
      <c r="I575" s="7">
        <v>46171</v>
      </c>
      <c r="J575" s="3" t="s">
        <v>20</v>
      </c>
      <c r="K575" s="3" t="s">
        <v>21</v>
      </c>
      <c r="L575" s="3" t="s">
        <v>50</v>
      </c>
      <c r="M575" s="3">
        <v>26</v>
      </c>
    </row>
    <row r="576" spans="1:13" x14ac:dyDescent="0.25">
      <c r="A576" s="3" t="s">
        <v>611</v>
      </c>
      <c r="B576" s="3" t="s">
        <v>14</v>
      </c>
      <c r="C576" s="3" t="s">
        <v>15</v>
      </c>
      <c r="D576" s="3" t="s">
        <v>208</v>
      </c>
      <c r="E576" s="3" t="s">
        <v>209</v>
      </c>
      <c r="F576" s="3" t="s">
        <v>210</v>
      </c>
      <c r="G576" s="3" t="s">
        <v>142</v>
      </c>
      <c r="H576" s="4">
        <v>46116</v>
      </c>
      <c r="I576" s="7">
        <v>46166</v>
      </c>
      <c r="J576" s="3" t="s">
        <v>20</v>
      </c>
      <c r="K576" s="3" t="s">
        <v>24</v>
      </c>
      <c r="L576" s="3" t="s">
        <v>25</v>
      </c>
      <c r="M576" s="3">
        <v>50</v>
      </c>
    </row>
    <row r="577" spans="1:13" x14ac:dyDescent="0.25">
      <c r="A577" s="3" t="s">
        <v>612</v>
      </c>
      <c r="B577" s="3" t="s">
        <v>14</v>
      </c>
      <c r="C577" s="3" t="s">
        <v>15</v>
      </c>
      <c r="D577" s="3" t="s">
        <v>208</v>
      </c>
      <c r="E577" s="3" t="s">
        <v>209</v>
      </c>
      <c r="F577" s="3" t="s">
        <v>210</v>
      </c>
      <c r="G577" s="3" t="s">
        <v>142</v>
      </c>
      <c r="H577" s="4">
        <v>45661</v>
      </c>
      <c r="I577" s="6"/>
      <c r="J577" s="3" t="s">
        <v>27</v>
      </c>
      <c r="K577" s="6"/>
      <c r="L577" s="6"/>
      <c r="M577" s="3">
        <v>542</v>
      </c>
    </row>
    <row r="578" spans="1:13" x14ac:dyDescent="0.25">
      <c r="A578" s="3" t="s">
        <v>613</v>
      </c>
      <c r="B578" s="3" t="s">
        <v>14</v>
      </c>
      <c r="C578" s="3" t="s">
        <v>15</v>
      </c>
      <c r="D578" s="3" t="s">
        <v>208</v>
      </c>
      <c r="E578" s="3" t="s">
        <v>209</v>
      </c>
      <c r="F578" s="3" t="s">
        <v>210</v>
      </c>
      <c r="G578" s="3" t="s">
        <v>142</v>
      </c>
      <c r="H578" s="4">
        <v>46177</v>
      </c>
      <c r="I578" s="6"/>
      <c r="J578" s="3" t="s">
        <v>27</v>
      </c>
      <c r="K578" s="6"/>
      <c r="L578" s="6"/>
      <c r="M578" s="3">
        <v>26</v>
      </c>
    </row>
    <row r="579" spans="1:13" x14ac:dyDescent="0.25">
      <c r="A579" s="3" t="s">
        <v>614</v>
      </c>
      <c r="B579" s="3" t="s">
        <v>14</v>
      </c>
      <c r="C579" s="3" t="s">
        <v>15</v>
      </c>
      <c r="D579" s="3" t="s">
        <v>208</v>
      </c>
      <c r="E579" s="3" t="s">
        <v>209</v>
      </c>
      <c r="F579" s="3" t="s">
        <v>210</v>
      </c>
      <c r="G579" s="3" t="s">
        <v>142</v>
      </c>
      <c r="H579" s="8">
        <v>46146</v>
      </c>
      <c r="I579" s="6"/>
      <c r="J579" s="3" t="s">
        <v>27</v>
      </c>
      <c r="K579" s="6"/>
      <c r="L579" s="6"/>
      <c r="M579" s="3">
        <v>57</v>
      </c>
    </row>
    <row r="580" spans="1:13" x14ac:dyDescent="0.25">
      <c r="A580" s="3" t="s">
        <v>615</v>
      </c>
      <c r="B580" s="3" t="s">
        <v>14</v>
      </c>
      <c r="C580" s="3" t="s">
        <v>15</v>
      </c>
      <c r="D580" s="3" t="s">
        <v>208</v>
      </c>
      <c r="E580" s="3" t="s">
        <v>209</v>
      </c>
      <c r="F580" s="3" t="s">
        <v>210</v>
      </c>
      <c r="G580" s="3" t="s">
        <v>142</v>
      </c>
      <c r="H580" s="8">
        <v>46146</v>
      </c>
      <c r="I580" s="7">
        <v>46157</v>
      </c>
      <c r="J580" s="3" t="s">
        <v>20</v>
      </c>
      <c r="K580" s="3" t="s">
        <v>21</v>
      </c>
      <c r="L580" s="3" t="s">
        <v>22</v>
      </c>
      <c r="M580" s="3">
        <v>11</v>
      </c>
    </row>
    <row r="581" spans="1:13" x14ac:dyDescent="0.25">
      <c r="A581" s="3" t="s">
        <v>616</v>
      </c>
      <c r="B581" s="3" t="s">
        <v>14</v>
      </c>
      <c r="C581" s="3" t="s">
        <v>15</v>
      </c>
      <c r="D581" s="3" t="s">
        <v>208</v>
      </c>
      <c r="E581" s="3" t="s">
        <v>209</v>
      </c>
      <c r="F581" s="3" t="s">
        <v>210</v>
      </c>
      <c r="G581" s="3" t="s">
        <v>142</v>
      </c>
      <c r="H581" s="4">
        <v>45874</v>
      </c>
      <c r="I581" s="4">
        <v>46178</v>
      </c>
      <c r="J581" s="3" t="s">
        <v>20</v>
      </c>
      <c r="K581" s="3" t="s">
        <v>24</v>
      </c>
      <c r="L581" s="3" t="s">
        <v>55</v>
      </c>
      <c r="M581" s="3">
        <v>304</v>
      </c>
    </row>
    <row r="582" spans="1:13" x14ac:dyDescent="0.25">
      <c r="A582" s="3" t="s">
        <v>617</v>
      </c>
      <c r="B582" s="3" t="s">
        <v>14</v>
      </c>
      <c r="C582" s="3" t="s">
        <v>15</v>
      </c>
      <c r="D582" s="3" t="s">
        <v>208</v>
      </c>
      <c r="E582" s="3" t="s">
        <v>209</v>
      </c>
      <c r="F582" s="3" t="s">
        <v>210</v>
      </c>
      <c r="G582" s="3" t="s">
        <v>142</v>
      </c>
      <c r="H582" s="4">
        <v>45874</v>
      </c>
      <c r="I582" s="8">
        <v>46151</v>
      </c>
      <c r="J582" s="3" t="s">
        <v>20</v>
      </c>
      <c r="K582" s="3" t="s">
        <v>24</v>
      </c>
      <c r="L582" s="3" t="s">
        <v>55</v>
      </c>
      <c r="M582" s="3">
        <v>277</v>
      </c>
    </row>
    <row r="583" spans="1:13" x14ac:dyDescent="0.25">
      <c r="A583" s="3" t="s">
        <v>618</v>
      </c>
      <c r="B583" s="3" t="s">
        <v>14</v>
      </c>
      <c r="C583" s="3" t="s">
        <v>15</v>
      </c>
      <c r="D583" s="3" t="s">
        <v>208</v>
      </c>
      <c r="E583" s="3" t="s">
        <v>209</v>
      </c>
      <c r="F583" s="3" t="s">
        <v>210</v>
      </c>
      <c r="G583" s="3" t="s">
        <v>142</v>
      </c>
      <c r="H583" s="4">
        <v>45843</v>
      </c>
      <c r="I583" s="5">
        <v>46199</v>
      </c>
      <c r="J583" s="3" t="s">
        <v>20</v>
      </c>
      <c r="K583" s="3" t="s">
        <v>24</v>
      </c>
      <c r="L583" s="3" t="s">
        <v>25</v>
      </c>
      <c r="M583" s="3">
        <v>356</v>
      </c>
    </row>
    <row r="584" spans="1:13" x14ac:dyDescent="0.25">
      <c r="A584" s="3" t="s">
        <v>619</v>
      </c>
      <c r="B584" s="3" t="s">
        <v>14</v>
      </c>
      <c r="C584" s="3" t="s">
        <v>15</v>
      </c>
      <c r="D584" s="3" t="s">
        <v>208</v>
      </c>
      <c r="E584" s="3" t="s">
        <v>209</v>
      </c>
      <c r="F584" s="3" t="s">
        <v>210</v>
      </c>
      <c r="G584" s="3" t="s">
        <v>142</v>
      </c>
      <c r="H584" s="4">
        <v>46178</v>
      </c>
      <c r="I584" s="4">
        <v>46180</v>
      </c>
      <c r="J584" s="3" t="s">
        <v>20</v>
      </c>
      <c r="K584" s="3" t="s">
        <v>21</v>
      </c>
      <c r="L584" s="3" t="s">
        <v>61</v>
      </c>
      <c r="M584" s="3">
        <v>2</v>
      </c>
    </row>
    <row r="585" spans="1:13" x14ac:dyDescent="0.25">
      <c r="A585" s="3" t="s">
        <v>620</v>
      </c>
      <c r="B585" s="3" t="s">
        <v>14</v>
      </c>
      <c r="C585" s="3" t="s">
        <v>15</v>
      </c>
      <c r="D585" s="3" t="s">
        <v>208</v>
      </c>
      <c r="E585" s="3" t="s">
        <v>209</v>
      </c>
      <c r="F585" s="3" t="s">
        <v>210</v>
      </c>
      <c r="G585" s="3" t="s">
        <v>142</v>
      </c>
      <c r="H585" s="4">
        <v>46178</v>
      </c>
      <c r="I585" s="6"/>
      <c r="J585" s="3" t="s">
        <v>27</v>
      </c>
      <c r="K585" s="6"/>
      <c r="L585" s="6"/>
      <c r="M585" s="3">
        <v>25</v>
      </c>
    </row>
    <row r="586" spans="1:13" x14ac:dyDescent="0.25">
      <c r="A586" s="3" t="s">
        <v>621</v>
      </c>
      <c r="B586" s="3" t="s">
        <v>14</v>
      </c>
      <c r="C586" s="3" t="s">
        <v>15</v>
      </c>
      <c r="D586" s="3" t="s">
        <v>208</v>
      </c>
      <c r="E586" s="3" t="s">
        <v>209</v>
      </c>
      <c r="F586" s="3" t="s">
        <v>210</v>
      </c>
      <c r="G586" s="3" t="s">
        <v>142</v>
      </c>
      <c r="H586" s="4">
        <v>46178</v>
      </c>
      <c r="I586" s="5">
        <v>46196</v>
      </c>
      <c r="J586" s="3" t="s">
        <v>20</v>
      </c>
      <c r="K586" s="3" t="s">
        <v>21</v>
      </c>
      <c r="L586" s="3" t="s">
        <v>22</v>
      </c>
      <c r="M586" s="3">
        <v>18</v>
      </c>
    </row>
    <row r="587" spans="1:13" x14ac:dyDescent="0.25">
      <c r="A587" s="3" t="s">
        <v>622</v>
      </c>
      <c r="B587" s="3" t="s">
        <v>14</v>
      </c>
      <c r="C587" s="3" t="s">
        <v>15</v>
      </c>
      <c r="D587" s="3" t="s">
        <v>208</v>
      </c>
      <c r="E587" s="3" t="s">
        <v>209</v>
      </c>
      <c r="F587" s="3" t="s">
        <v>210</v>
      </c>
      <c r="G587" s="3" t="s">
        <v>142</v>
      </c>
      <c r="H587" s="4">
        <v>45721</v>
      </c>
      <c r="I587" s="5">
        <v>46184</v>
      </c>
      <c r="J587" s="3" t="s">
        <v>20</v>
      </c>
      <c r="K587" s="3" t="s">
        <v>21</v>
      </c>
      <c r="L587" s="3" t="s">
        <v>61</v>
      </c>
      <c r="M587" s="3">
        <v>463</v>
      </c>
    </row>
    <row r="588" spans="1:13" x14ac:dyDescent="0.25">
      <c r="A588" s="3" t="s">
        <v>623</v>
      </c>
      <c r="B588" s="3" t="s">
        <v>14</v>
      </c>
      <c r="C588" s="3" t="s">
        <v>15</v>
      </c>
      <c r="D588" s="3" t="s">
        <v>208</v>
      </c>
      <c r="E588" s="3" t="s">
        <v>209</v>
      </c>
      <c r="F588" s="3" t="s">
        <v>210</v>
      </c>
      <c r="G588" s="3" t="s">
        <v>142</v>
      </c>
      <c r="H588" s="8">
        <v>46147</v>
      </c>
      <c r="I588" s="7">
        <v>46162</v>
      </c>
      <c r="J588" s="3" t="s">
        <v>20</v>
      </c>
      <c r="K588" s="3" t="s">
        <v>24</v>
      </c>
      <c r="L588" s="3" t="s">
        <v>55</v>
      </c>
      <c r="M588" s="3">
        <v>15</v>
      </c>
    </row>
    <row r="589" spans="1:13" x14ac:dyDescent="0.25">
      <c r="A589" s="3" t="s">
        <v>624</v>
      </c>
      <c r="B589" s="3" t="s">
        <v>14</v>
      </c>
      <c r="C589" s="3" t="s">
        <v>15</v>
      </c>
      <c r="D589" s="3" t="s">
        <v>208</v>
      </c>
      <c r="E589" s="3" t="s">
        <v>209</v>
      </c>
      <c r="F589" s="3" t="s">
        <v>210</v>
      </c>
      <c r="G589" s="3" t="s">
        <v>142</v>
      </c>
      <c r="H589" s="4">
        <v>45966</v>
      </c>
      <c r="I589" s="5">
        <v>46123</v>
      </c>
      <c r="J589" s="3" t="s">
        <v>20</v>
      </c>
      <c r="K589" s="3" t="s">
        <v>24</v>
      </c>
      <c r="L589" s="3" t="s">
        <v>55</v>
      </c>
      <c r="M589" s="3">
        <v>157</v>
      </c>
    </row>
    <row r="590" spans="1:13" x14ac:dyDescent="0.25">
      <c r="A590" s="3" t="s">
        <v>625</v>
      </c>
      <c r="B590" s="3" t="s">
        <v>14</v>
      </c>
      <c r="C590" s="3" t="s">
        <v>15</v>
      </c>
      <c r="D590" s="3" t="s">
        <v>208</v>
      </c>
      <c r="E590" s="3" t="s">
        <v>209</v>
      </c>
      <c r="F590" s="3" t="s">
        <v>210</v>
      </c>
      <c r="G590" s="3" t="s">
        <v>142</v>
      </c>
      <c r="H590" s="4">
        <v>46118</v>
      </c>
      <c r="I590" s="5">
        <v>46142</v>
      </c>
      <c r="J590" s="3" t="s">
        <v>20</v>
      </c>
      <c r="K590" s="3" t="s">
        <v>21</v>
      </c>
      <c r="L590" s="3" t="s">
        <v>33</v>
      </c>
      <c r="M590" s="3">
        <v>24</v>
      </c>
    </row>
    <row r="591" spans="1:13" x14ac:dyDescent="0.25">
      <c r="A591" s="3" t="s">
        <v>626</v>
      </c>
      <c r="B591" s="3" t="s">
        <v>14</v>
      </c>
      <c r="C591" s="3" t="s">
        <v>15</v>
      </c>
      <c r="D591" s="3" t="s">
        <v>208</v>
      </c>
      <c r="E591" s="3" t="s">
        <v>209</v>
      </c>
      <c r="F591" s="3" t="s">
        <v>210</v>
      </c>
      <c r="G591" s="3" t="s">
        <v>142</v>
      </c>
      <c r="H591" s="4">
        <v>46179</v>
      </c>
      <c r="I591" s="5">
        <v>46183</v>
      </c>
      <c r="J591" s="3" t="s">
        <v>20</v>
      </c>
      <c r="K591" s="3" t="s">
        <v>21</v>
      </c>
      <c r="L591" s="3" t="s">
        <v>22</v>
      </c>
      <c r="M591" s="3">
        <v>4</v>
      </c>
    </row>
    <row r="592" spans="1:13" x14ac:dyDescent="0.25">
      <c r="A592" s="3" t="s">
        <v>627</v>
      </c>
      <c r="B592" s="3" t="s">
        <v>14</v>
      </c>
      <c r="C592" s="3" t="s">
        <v>15</v>
      </c>
      <c r="D592" s="3" t="s">
        <v>208</v>
      </c>
      <c r="E592" s="3" t="s">
        <v>209</v>
      </c>
      <c r="F592" s="3" t="s">
        <v>210</v>
      </c>
      <c r="G592" s="3" t="s">
        <v>142</v>
      </c>
      <c r="H592" s="8">
        <v>45783</v>
      </c>
      <c r="I592" s="6"/>
      <c r="J592" s="3" t="s">
        <v>27</v>
      </c>
      <c r="K592" s="6"/>
      <c r="L592" s="6"/>
      <c r="M592" s="3">
        <v>420</v>
      </c>
    </row>
    <row r="593" spans="1:13" x14ac:dyDescent="0.25">
      <c r="A593" s="3" t="s">
        <v>628</v>
      </c>
      <c r="B593" s="3" t="s">
        <v>14</v>
      </c>
      <c r="C593" s="3" t="s">
        <v>15</v>
      </c>
      <c r="D593" s="3" t="s">
        <v>208</v>
      </c>
      <c r="E593" s="3" t="s">
        <v>209</v>
      </c>
      <c r="F593" s="3" t="s">
        <v>210</v>
      </c>
      <c r="G593" s="3" t="s">
        <v>142</v>
      </c>
      <c r="H593" s="4">
        <v>45967</v>
      </c>
      <c r="I593" s="5">
        <v>46195</v>
      </c>
      <c r="J593" s="3" t="s">
        <v>20</v>
      </c>
      <c r="K593" s="3" t="s">
        <v>21</v>
      </c>
      <c r="L593" s="3" t="s">
        <v>37</v>
      </c>
      <c r="M593" s="3">
        <v>228</v>
      </c>
    </row>
    <row r="594" spans="1:13" x14ac:dyDescent="0.25">
      <c r="A594" s="3" t="s">
        <v>629</v>
      </c>
      <c r="B594" s="3" t="s">
        <v>14</v>
      </c>
      <c r="C594" s="3" t="s">
        <v>15</v>
      </c>
      <c r="D594" s="3" t="s">
        <v>208</v>
      </c>
      <c r="E594" s="3" t="s">
        <v>209</v>
      </c>
      <c r="F594" s="3" t="s">
        <v>210</v>
      </c>
      <c r="G594" s="3" t="s">
        <v>142</v>
      </c>
      <c r="H594" s="4">
        <v>46119</v>
      </c>
      <c r="I594" s="6"/>
      <c r="J594" s="3" t="s">
        <v>27</v>
      </c>
      <c r="K594" s="6"/>
      <c r="L594" s="6"/>
      <c r="M594" s="3">
        <v>84</v>
      </c>
    </row>
    <row r="595" spans="1:13" x14ac:dyDescent="0.25">
      <c r="A595" s="3" t="s">
        <v>630</v>
      </c>
      <c r="B595" s="3" t="s">
        <v>14</v>
      </c>
      <c r="C595" s="3" t="s">
        <v>15</v>
      </c>
      <c r="D595" s="3" t="s">
        <v>208</v>
      </c>
      <c r="E595" s="3" t="s">
        <v>209</v>
      </c>
      <c r="F595" s="3" t="s">
        <v>210</v>
      </c>
      <c r="G595" s="3" t="s">
        <v>142</v>
      </c>
      <c r="H595" s="4">
        <v>46119</v>
      </c>
      <c r="I595" s="5">
        <v>46139</v>
      </c>
      <c r="J595" s="3" t="s">
        <v>20</v>
      </c>
      <c r="K595" s="3" t="s">
        <v>21</v>
      </c>
      <c r="L595" s="3" t="s">
        <v>50</v>
      </c>
      <c r="M595" s="3">
        <v>20</v>
      </c>
    </row>
    <row r="596" spans="1:13" x14ac:dyDescent="0.25">
      <c r="A596" s="3" t="s">
        <v>631</v>
      </c>
      <c r="B596" s="3" t="s">
        <v>14</v>
      </c>
      <c r="C596" s="3" t="s">
        <v>15</v>
      </c>
      <c r="D596" s="3" t="s">
        <v>208</v>
      </c>
      <c r="E596" s="3" t="s">
        <v>209</v>
      </c>
      <c r="F596" s="3" t="s">
        <v>210</v>
      </c>
      <c r="G596" s="3" t="s">
        <v>142</v>
      </c>
      <c r="H596" s="8">
        <v>46149</v>
      </c>
      <c r="I596" s="7">
        <v>46169</v>
      </c>
      <c r="J596" s="3" t="s">
        <v>20</v>
      </c>
      <c r="K596" s="3" t="s">
        <v>24</v>
      </c>
      <c r="L596" s="3" t="s">
        <v>44</v>
      </c>
      <c r="M596" s="3">
        <v>20</v>
      </c>
    </row>
    <row r="597" spans="1:13" x14ac:dyDescent="0.25">
      <c r="A597" s="3" t="s">
        <v>632</v>
      </c>
      <c r="B597" s="3" t="s">
        <v>14</v>
      </c>
      <c r="C597" s="3" t="s">
        <v>15</v>
      </c>
      <c r="D597" s="3" t="s">
        <v>208</v>
      </c>
      <c r="E597" s="3" t="s">
        <v>209</v>
      </c>
      <c r="F597" s="3" t="s">
        <v>210</v>
      </c>
      <c r="G597" s="3" t="s">
        <v>142</v>
      </c>
      <c r="H597" s="8">
        <v>46149</v>
      </c>
      <c r="I597" s="8">
        <v>46149</v>
      </c>
      <c r="J597" s="3" t="s">
        <v>20</v>
      </c>
      <c r="K597" s="3" t="s">
        <v>21</v>
      </c>
      <c r="L597" s="3" t="s">
        <v>50</v>
      </c>
      <c r="M597" s="3">
        <v>0</v>
      </c>
    </row>
    <row r="598" spans="1:13" x14ac:dyDescent="0.25">
      <c r="A598" s="3" t="s">
        <v>633</v>
      </c>
      <c r="B598" s="3" t="s">
        <v>14</v>
      </c>
      <c r="C598" s="3" t="s">
        <v>15</v>
      </c>
      <c r="D598" s="3" t="s">
        <v>208</v>
      </c>
      <c r="E598" s="3" t="s">
        <v>209</v>
      </c>
      <c r="F598" s="3" t="s">
        <v>210</v>
      </c>
      <c r="G598" s="3" t="s">
        <v>142</v>
      </c>
      <c r="H598" s="4">
        <v>45937</v>
      </c>
      <c r="I598" s="5">
        <v>46131</v>
      </c>
      <c r="J598" s="3" t="s">
        <v>20</v>
      </c>
      <c r="K598" s="3" t="s">
        <v>24</v>
      </c>
      <c r="L598" s="3" t="s">
        <v>25</v>
      </c>
      <c r="M598" s="3">
        <v>194</v>
      </c>
    </row>
    <row r="599" spans="1:13" x14ac:dyDescent="0.25">
      <c r="A599" s="3" t="s">
        <v>634</v>
      </c>
      <c r="B599" s="3" t="s">
        <v>14</v>
      </c>
      <c r="C599" s="3" t="s">
        <v>15</v>
      </c>
      <c r="D599" s="3" t="s">
        <v>208</v>
      </c>
      <c r="E599" s="3" t="s">
        <v>209</v>
      </c>
      <c r="F599" s="3" t="s">
        <v>210</v>
      </c>
      <c r="G599" s="3" t="s">
        <v>142</v>
      </c>
      <c r="H599" s="4">
        <v>45937</v>
      </c>
      <c r="I599" s="6"/>
      <c r="J599" s="3" t="s">
        <v>27</v>
      </c>
      <c r="K599" s="6"/>
      <c r="L599" s="6"/>
      <c r="M599" s="3">
        <v>266</v>
      </c>
    </row>
    <row r="600" spans="1:13" x14ac:dyDescent="0.25">
      <c r="A600" s="3" t="s">
        <v>635</v>
      </c>
      <c r="B600" s="3" t="s">
        <v>14</v>
      </c>
      <c r="C600" s="3" t="s">
        <v>15</v>
      </c>
      <c r="D600" s="3" t="s">
        <v>208</v>
      </c>
      <c r="E600" s="3" t="s">
        <v>209</v>
      </c>
      <c r="F600" s="3" t="s">
        <v>210</v>
      </c>
      <c r="G600" s="3" t="s">
        <v>142</v>
      </c>
      <c r="H600" s="4">
        <v>46120</v>
      </c>
      <c r="I600" s="5">
        <v>46141</v>
      </c>
      <c r="J600" s="3" t="s">
        <v>20</v>
      </c>
      <c r="K600" s="3" t="s">
        <v>21</v>
      </c>
      <c r="L600" s="3" t="s">
        <v>33</v>
      </c>
      <c r="M600" s="3">
        <v>21</v>
      </c>
    </row>
    <row r="601" spans="1:13" x14ac:dyDescent="0.25">
      <c r="A601" s="3" t="s">
        <v>636</v>
      </c>
      <c r="B601" s="3" t="s">
        <v>14</v>
      </c>
      <c r="C601" s="3" t="s">
        <v>15</v>
      </c>
      <c r="D601" s="3" t="s">
        <v>208</v>
      </c>
      <c r="E601" s="3" t="s">
        <v>209</v>
      </c>
      <c r="F601" s="3" t="s">
        <v>210</v>
      </c>
      <c r="G601" s="3" t="s">
        <v>142</v>
      </c>
      <c r="H601" s="4">
        <v>46120</v>
      </c>
      <c r="I601" s="6"/>
      <c r="J601" s="3" t="s">
        <v>27</v>
      </c>
      <c r="K601" s="6"/>
      <c r="L601" s="6"/>
      <c r="M601" s="3">
        <v>83</v>
      </c>
    </row>
    <row r="602" spans="1:13" x14ac:dyDescent="0.25">
      <c r="A602" s="3" t="s">
        <v>637</v>
      </c>
      <c r="B602" s="3" t="s">
        <v>14</v>
      </c>
      <c r="C602" s="3" t="s">
        <v>15</v>
      </c>
      <c r="D602" s="3" t="s">
        <v>208</v>
      </c>
      <c r="E602" s="3" t="s">
        <v>209</v>
      </c>
      <c r="F602" s="3" t="s">
        <v>210</v>
      </c>
      <c r="G602" s="3" t="s">
        <v>142</v>
      </c>
      <c r="H602" s="8">
        <v>46150</v>
      </c>
      <c r="I602" s="7">
        <v>46154</v>
      </c>
      <c r="J602" s="3" t="s">
        <v>20</v>
      </c>
      <c r="K602" s="3" t="s">
        <v>21</v>
      </c>
      <c r="L602" s="3" t="s">
        <v>22</v>
      </c>
      <c r="M602" s="3">
        <v>4</v>
      </c>
    </row>
    <row r="603" spans="1:13" x14ac:dyDescent="0.25">
      <c r="A603" s="3" t="s">
        <v>638</v>
      </c>
      <c r="B603" s="3" t="s">
        <v>14</v>
      </c>
      <c r="C603" s="3" t="s">
        <v>15</v>
      </c>
      <c r="D603" s="3" t="s">
        <v>208</v>
      </c>
      <c r="E603" s="3" t="s">
        <v>209</v>
      </c>
      <c r="F603" s="3" t="s">
        <v>210</v>
      </c>
      <c r="G603" s="3" t="s">
        <v>142</v>
      </c>
      <c r="H603" s="8">
        <v>46150</v>
      </c>
      <c r="I603" s="6"/>
      <c r="J603" s="3" t="s">
        <v>27</v>
      </c>
      <c r="K603" s="6"/>
      <c r="L603" s="6"/>
      <c r="M603" s="3">
        <v>53</v>
      </c>
    </row>
    <row r="604" spans="1:13" x14ac:dyDescent="0.25">
      <c r="A604" s="3" t="s">
        <v>639</v>
      </c>
      <c r="B604" s="3" t="s">
        <v>14</v>
      </c>
      <c r="C604" s="3" t="s">
        <v>15</v>
      </c>
      <c r="D604" s="3" t="s">
        <v>208</v>
      </c>
      <c r="E604" s="3" t="s">
        <v>209</v>
      </c>
      <c r="F604" s="3" t="s">
        <v>210</v>
      </c>
      <c r="G604" s="3" t="s">
        <v>142</v>
      </c>
      <c r="H604" s="4">
        <v>46121</v>
      </c>
      <c r="I604" s="4">
        <v>46175</v>
      </c>
      <c r="J604" s="3" t="s">
        <v>20</v>
      </c>
      <c r="K604" s="3" t="s">
        <v>24</v>
      </c>
      <c r="L604" s="3" t="s">
        <v>25</v>
      </c>
      <c r="M604" s="3">
        <v>54</v>
      </c>
    </row>
    <row r="605" spans="1:13" x14ac:dyDescent="0.25">
      <c r="A605" s="3" t="s">
        <v>640</v>
      </c>
      <c r="B605" s="3" t="s">
        <v>14</v>
      </c>
      <c r="C605" s="3" t="s">
        <v>15</v>
      </c>
      <c r="D605" s="3" t="s">
        <v>208</v>
      </c>
      <c r="E605" s="3" t="s">
        <v>209</v>
      </c>
      <c r="F605" s="3" t="s">
        <v>210</v>
      </c>
      <c r="G605" s="3" t="s">
        <v>142</v>
      </c>
      <c r="H605" s="4">
        <v>46031</v>
      </c>
      <c r="I605" s="6"/>
      <c r="J605" s="3" t="s">
        <v>27</v>
      </c>
      <c r="K605" s="6"/>
      <c r="L605" s="6"/>
      <c r="M605" s="3">
        <v>172</v>
      </c>
    </row>
    <row r="606" spans="1:13" x14ac:dyDescent="0.25">
      <c r="A606" s="3" t="s">
        <v>641</v>
      </c>
      <c r="B606" s="3" t="s">
        <v>14</v>
      </c>
      <c r="C606" s="3" t="s">
        <v>15</v>
      </c>
      <c r="D606" s="3" t="s">
        <v>208</v>
      </c>
      <c r="E606" s="3" t="s">
        <v>209</v>
      </c>
      <c r="F606" s="3" t="s">
        <v>210</v>
      </c>
      <c r="G606" s="3" t="s">
        <v>142</v>
      </c>
      <c r="H606" s="4">
        <v>46182</v>
      </c>
      <c r="I606" s="5">
        <v>46202</v>
      </c>
      <c r="J606" s="3" t="s">
        <v>20</v>
      </c>
      <c r="K606" s="3" t="s">
        <v>21</v>
      </c>
      <c r="L606" s="3" t="s">
        <v>37</v>
      </c>
      <c r="M606" s="3">
        <v>20</v>
      </c>
    </row>
    <row r="607" spans="1:13" x14ac:dyDescent="0.25">
      <c r="A607" s="3" t="s">
        <v>642</v>
      </c>
      <c r="B607" s="3" t="s">
        <v>14</v>
      </c>
      <c r="C607" s="3" t="s">
        <v>15</v>
      </c>
      <c r="D607" s="3" t="s">
        <v>208</v>
      </c>
      <c r="E607" s="3" t="s">
        <v>209</v>
      </c>
      <c r="F607" s="3" t="s">
        <v>210</v>
      </c>
      <c r="G607" s="3" t="s">
        <v>142</v>
      </c>
      <c r="H607" s="8">
        <v>46151</v>
      </c>
      <c r="I607" s="7">
        <v>46163</v>
      </c>
      <c r="J607" s="3" t="s">
        <v>20</v>
      </c>
      <c r="K607" s="3" t="s">
        <v>21</v>
      </c>
      <c r="L607" s="3" t="s">
        <v>22</v>
      </c>
      <c r="M607" s="3">
        <v>12</v>
      </c>
    </row>
    <row r="608" spans="1:13" x14ac:dyDescent="0.25">
      <c r="A608" s="3" t="s">
        <v>643</v>
      </c>
      <c r="B608" s="3" t="s">
        <v>14</v>
      </c>
      <c r="C608" s="3" t="s">
        <v>15</v>
      </c>
      <c r="D608" s="3" t="s">
        <v>208</v>
      </c>
      <c r="E608" s="3" t="s">
        <v>209</v>
      </c>
      <c r="F608" s="3" t="s">
        <v>210</v>
      </c>
      <c r="G608" s="3" t="s">
        <v>142</v>
      </c>
      <c r="H608" s="5">
        <v>46122</v>
      </c>
      <c r="I608" s="6"/>
      <c r="J608" s="3" t="s">
        <v>27</v>
      </c>
      <c r="K608" s="6"/>
      <c r="L608" s="6"/>
      <c r="M608" s="3">
        <v>81</v>
      </c>
    </row>
    <row r="609" spans="1:13" x14ac:dyDescent="0.25">
      <c r="A609" s="3" t="s">
        <v>644</v>
      </c>
      <c r="B609" s="3" t="s">
        <v>14</v>
      </c>
      <c r="C609" s="3" t="s">
        <v>15</v>
      </c>
      <c r="D609" s="3" t="s">
        <v>208</v>
      </c>
      <c r="E609" s="3" t="s">
        <v>209</v>
      </c>
      <c r="F609" s="3" t="s">
        <v>210</v>
      </c>
      <c r="G609" s="3" t="s">
        <v>142</v>
      </c>
      <c r="H609" s="5">
        <v>45698</v>
      </c>
      <c r="I609" s="4">
        <v>46116</v>
      </c>
      <c r="J609" s="3" t="s">
        <v>20</v>
      </c>
      <c r="K609" s="3" t="s">
        <v>24</v>
      </c>
      <c r="L609" s="3" t="s">
        <v>25</v>
      </c>
      <c r="M609" s="3">
        <v>418</v>
      </c>
    </row>
    <row r="610" spans="1:13" x14ac:dyDescent="0.25">
      <c r="A610" s="3" t="s">
        <v>645</v>
      </c>
      <c r="B610" s="3" t="s">
        <v>14</v>
      </c>
      <c r="C610" s="3" t="s">
        <v>15</v>
      </c>
      <c r="D610" s="3" t="s">
        <v>208</v>
      </c>
      <c r="E610" s="3" t="s">
        <v>209</v>
      </c>
      <c r="F610" s="3" t="s">
        <v>210</v>
      </c>
      <c r="G610" s="3" t="s">
        <v>142</v>
      </c>
      <c r="H610" s="5">
        <v>46091</v>
      </c>
      <c r="I610" s="6"/>
      <c r="J610" s="3" t="s">
        <v>27</v>
      </c>
      <c r="K610" s="6"/>
      <c r="L610" s="6"/>
      <c r="M610" s="3">
        <v>112</v>
      </c>
    </row>
    <row r="611" spans="1:13" x14ac:dyDescent="0.25">
      <c r="A611" s="3" t="s">
        <v>646</v>
      </c>
      <c r="B611" s="3" t="s">
        <v>14</v>
      </c>
      <c r="C611" s="3" t="s">
        <v>15</v>
      </c>
      <c r="D611" s="3" t="s">
        <v>208</v>
      </c>
      <c r="E611" s="3" t="s">
        <v>209</v>
      </c>
      <c r="F611" s="3" t="s">
        <v>210</v>
      </c>
      <c r="G611" s="3" t="s">
        <v>142</v>
      </c>
      <c r="H611" s="5">
        <v>45940</v>
      </c>
      <c r="I611" s="6"/>
      <c r="J611" s="3" t="s">
        <v>27</v>
      </c>
      <c r="K611" s="6"/>
      <c r="L611" s="6"/>
      <c r="M611" s="3">
        <v>263</v>
      </c>
    </row>
    <row r="612" spans="1:13" x14ac:dyDescent="0.25">
      <c r="A612" s="3" t="s">
        <v>647</v>
      </c>
      <c r="B612" s="3" t="s">
        <v>14</v>
      </c>
      <c r="C612" s="3" t="s">
        <v>15</v>
      </c>
      <c r="D612" s="3" t="s">
        <v>208</v>
      </c>
      <c r="E612" s="3" t="s">
        <v>209</v>
      </c>
      <c r="F612" s="3" t="s">
        <v>210</v>
      </c>
      <c r="G612" s="3" t="s">
        <v>142</v>
      </c>
      <c r="H612" s="7">
        <v>46153</v>
      </c>
      <c r="I612" s="7">
        <v>46153</v>
      </c>
      <c r="J612" s="3" t="s">
        <v>20</v>
      </c>
      <c r="K612" s="3" t="s">
        <v>21</v>
      </c>
      <c r="L612" s="3" t="s">
        <v>22</v>
      </c>
      <c r="M612" s="3">
        <v>0</v>
      </c>
    </row>
    <row r="613" spans="1:13" x14ac:dyDescent="0.25">
      <c r="A613" s="3" t="s">
        <v>648</v>
      </c>
      <c r="B613" s="3" t="s">
        <v>14</v>
      </c>
      <c r="C613" s="3" t="s">
        <v>15</v>
      </c>
      <c r="D613" s="3" t="s">
        <v>208</v>
      </c>
      <c r="E613" s="3" t="s">
        <v>209</v>
      </c>
      <c r="F613" s="3" t="s">
        <v>210</v>
      </c>
      <c r="G613" s="3" t="s">
        <v>142</v>
      </c>
      <c r="H613" s="5">
        <v>45759</v>
      </c>
      <c r="I613" s="6"/>
      <c r="J613" s="3" t="s">
        <v>27</v>
      </c>
      <c r="K613" s="6"/>
      <c r="L613" s="6"/>
      <c r="M613" s="3">
        <v>444</v>
      </c>
    </row>
    <row r="614" spans="1:13" x14ac:dyDescent="0.25">
      <c r="A614" s="3" t="s">
        <v>649</v>
      </c>
      <c r="B614" s="3" t="s">
        <v>14</v>
      </c>
      <c r="C614" s="3" t="s">
        <v>15</v>
      </c>
      <c r="D614" s="3" t="s">
        <v>208</v>
      </c>
      <c r="E614" s="3" t="s">
        <v>209</v>
      </c>
      <c r="F614" s="3" t="s">
        <v>210</v>
      </c>
      <c r="G614" s="3" t="s">
        <v>142</v>
      </c>
      <c r="H614" s="5">
        <v>46124</v>
      </c>
      <c r="I614" s="5">
        <v>46137</v>
      </c>
      <c r="J614" s="3" t="s">
        <v>20</v>
      </c>
      <c r="K614" s="3" t="s">
        <v>21</v>
      </c>
      <c r="L614" s="3" t="s">
        <v>30</v>
      </c>
      <c r="M614" s="3">
        <v>13</v>
      </c>
    </row>
    <row r="615" spans="1:13" x14ac:dyDescent="0.25">
      <c r="A615" s="3" t="s">
        <v>650</v>
      </c>
      <c r="B615" s="3" t="s">
        <v>14</v>
      </c>
      <c r="C615" s="3" t="s">
        <v>15</v>
      </c>
      <c r="D615" s="3" t="s">
        <v>208</v>
      </c>
      <c r="E615" s="3" t="s">
        <v>209</v>
      </c>
      <c r="F615" s="3" t="s">
        <v>210</v>
      </c>
      <c r="G615" s="3" t="s">
        <v>142</v>
      </c>
      <c r="H615" s="5">
        <v>46124</v>
      </c>
      <c r="I615" s="5">
        <v>46124</v>
      </c>
      <c r="J615" s="3" t="s">
        <v>20</v>
      </c>
      <c r="K615" s="3" t="s">
        <v>21</v>
      </c>
      <c r="L615" s="3" t="s">
        <v>50</v>
      </c>
      <c r="M615" s="3">
        <v>0</v>
      </c>
    </row>
    <row r="616" spans="1:13" x14ac:dyDescent="0.25">
      <c r="A616" s="3" t="s">
        <v>651</v>
      </c>
      <c r="B616" s="3" t="s">
        <v>14</v>
      </c>
      <c r="C616" s="3" t="s">
        <v>15</v>
      </c>
      <c r="D616" s="3" t="s">
        <v>208</v>
      </c>
      <c r="E616" s="3" t="s">
        <v>209</v>
      </c>
      <c r="F616" s="3" t="s">
        <v>210</v>
      </c>
      <c r="G616" s="3" t="s">
        <v>142</v>
      </c>
      <c r="H616" s="5">
        <v>46124</v>
      </c>
      <c r="I616" s="5">
        <v>46183</v>
      </c>
      <c r="J616" s="3" t="s">
        <v>20</v>
      </c>
      <c r="K616" s="3" t="s">
        <v>24</v>
      </c>
      <c r="L616" s="3" t="s">
        <v>44</v>
      </c>
      <c r="M616" s="3">
        <v>59</v>
      </c>
    </row>
    <row r="617" spans="1:13" x14ac:dyDescent="0.25">
      <c r="A617" s="3" t="s">
        <v>652</v>
      </c>
      <c r="B617" s="3" t="s">
        <v>14</v>
      </c>
      <c r="C617" s="3" t="s">
        <v>15</v>
      </c>
      <c r="D617" s="3" t="s">
        <v>208</v>
      </c>
      <c r="E617" s="3" t="s">
        <v>209</v>
      </c>
      <c r="F617" s="3" t="s">
        <v>210</v>
      </c>
      <c r="G617" s="3" t="s">
        <v>142</v>
      </c>
      <c r="H617" s="5">
        <v>46185</v>
      </c>
      <c r="I617" s="6"/>
      <c r="J617" s="3" t="s">
        <v>27</v>
      </c>
      <c r="K617" s="6"/>
      <c r="L617" s="6"/>
      <c r="M617" s="3">
        <v>18</v>
      </c>
    </row>
    <row r="618" spans="1:13" x14ac:dyDescent="0.25">
      <c r="A618" s="3" t="s">
        <v>653</v>
      </c>
      <c r="B618" s="3" t="s">
        <v>14</v>
      </c>
      <c r="C618" s="3" t="s">
        <v>15</v>
      </c>
      <c r="D618" s="3" t="s">
        <v>208</v>
      </c>
      <c r="E618" s="3" t="s">
        <v>209</v>
      </c>
      <c r="F618" s="3" t="s">
        <v>210</v>
      </c>
      <c r="G618" s="3" t="s">
        <v>142</v>
      </c>
      <c r="H618" s="7">
        <v>46154</v>
      </c>
      <c r="I618" s="5">
        <v>46188</v>
      </c>
      <c r="J618" s="3" t="s">
        <v>20</v>
      </c>
      <c r="K618" s="3" t="s">
        <v>21</v>
      </c>
      <c r="L618" s="3" t="s">
        <v>61</v>
      </c>
      <c r="M618" s="3">
        <v>34</v>
      </c>
    </row>
    <row r="619" spans="1:13" x14ac:dyDescent="0.25">
      <c r="A619" s="3" t="s">
        <v>654</v>
      </c>
      <c r="B619" s="3" t="s">
        <v>14</v>
      </c>
      <c r="C619" s="3" t="s">
        <v>15</v>
      </c>
      <c r="D619" s="3" t="s">
        <v>208</v>
      </c>
      <c r="E619" s="3" t="s">
        <v>209</v>
      </c>
      <c r="F619" s="3" t="s">
        <v>210</v>
      </c>
      <c r="G619" s="3" t="s">
        <v>142</v>
      </c>
      <c r="H619" s="5">
        <v>46125</v>
      </c>
      <c r="I619" s="5">
        <v>46125</v>
      </c>
      <c r="J619" s="3" t="s">
        <v>20</v>
      </c>
      <c r="K619" s="3" t="s">
        <v>21</v>
      </c>
      <c r="L619" s="3" t="s">
        <v>30</v>
      </c>
      <c r="M619" s="3">
        <v>0</v>
      </c>
    </row>
    <row r="620" spans="1:13" x14ac:dyDescent="0.25">
      <c r="A620" s="3" t="s">
        <v>655</v>
      </c>
      <c r="B620" s="3" t="s">
        <v>14</v>
      </c>
      <c r="C620" s="3" t="s">
        <v>15</v>
      </c>
      <c r="D620" s="3" t="s">
        <v>208</v>
      </c>
      <c r="E620" s="3" t="s">
        <v>209</v>
      </c>
      <c r="F620" s="3" t="s">
        <v>210</v>
      </c>
      <c r="G620" s="3" t="s">
        <v>142</v>
      </c>
      <c r="H620" s="5">
        <v>46004</v>
      </c>
      <c r="I620" s="6"/>
      <c r="J620" s="3" t="s">
        <v>27</v>
      </c>
      <c r="K620" s="6"/>
      <c r="L620" s="6"/>
      <c r="M620" s="3">
        <v>199</v>
      </c>
    </row>
    <row r="621" spans="1:13" x14ac:dyDescent="0.25">
      <c r="A621" s="3" t="s">
        <v>656</v>
      </c>
      <c r="B621" s="3" t="s">
        <v>14</v>
      </c>
      <c r="C621" s="3" t="s">
        <v>15</v>
      </c>
      <c r="D621" s="3" t="s">
        <v>208</v>
      </c>
      <c r="E621" s="3" t="s">
        <v>209</v>
      </c>
      <c r="F621" s="3" t="s">
        <v>210</v>
      </c>
      <c r="G621" s="3" t="s">
        <v>142</v>
      </c>
      <c r="H621" s="5">
        <v>45670</v>
      </c>
      <c r="I621" s="5">
        <v>46135</v>
      </c>
      <c r="J621" s="3" t="s">
        <v>20</v>
      </c>
      <c r="K621" s="3" t="s">
        <v>24</v>
      </c>
      <c r="L621" s="3" t="s">
        <v>55</v>
      </c>
      <c r="M621" s="3">
        <v>465</v>
      </c>
    </row>
    <row r="622" spans="1:13" x14ac:dyDescent="0.25">
      <c r="A622" s="3" t="s">
        <v>657</v>
      </c>
      <c r="B622" s="3" t="s">
        <v>14</v>
      </c>
      <c r="C622" s="3" t="s">
        <v>15</v>
      </c>
      <c r="D622" s="3" t="s">
        <v>208</v>
      </c>
      <c r="E622" s="3" t="s">
        <v>209</v>
      </c>
      <c r="F622" s="3" t="s">
        <v>210</v>
      </c>
      <c r="G622" s="3" t="s">
        <v>142</v>
      </c>
      <c r="H622" s="5">
        <v>46035</v>
      </c>
      <c r="I622" s="6"/>
      <c r="J622" s="3" t="s">
        <v>27</v>
      </c>
      <c r="K622" s="6"/>
      <c r="L622" s="6"/>
      <c r="M622" s="3">
        <v>168</v>
      </c>
    </row>
    <row r="623" spans="1:13" x14ac:dyDescent="0.25">
      <c r="A623" s="3" t="s">
        <v>658</v>
      </c>
      <c r="B623" s="3" t="s">
        <v>14</v>
      </c>
      <c r="C623" s="3" t="s">
        <v>15</v>
      </c>
      <c r="D623" s="3" t="s">
        <v>208</v>
      </c>
      <c r="E623" s="3" t="s">
        <v>209</v>
      </c>
      <c r="F623" s="3" t="s">
        <v>210</v>
      </c>
      <c r="G623" s="3" t="s">
        <v>142</v>
      </c>
      <c r="H623" s="5">
        <v>45851</v>
      </c>
      <c r="I623" s="4">
        <v>46181</v>
      </c>
      <c r="J623" s="3" t="s">
        <v>20</v>
      </c>
      <c r="K623" s="3" t="s">
        <v>24</v>
      </c>
      <c r="L623" s="3" t="s">
        <v>25</v>
      </c>
      <c r="M623" s="3">
        <v>330</v>
      </c>
    </row>
    <row r="624" spans="1:13" x14ac:dyDescent="0.25">
      <c r="A624" s="3" t="s">
        <v>659</v>
      </c>
      <c r="B624" s="3" t="s">
        <v>14</v>
      </c>
      <c r="C624" s="3" t="s">
        <v>15</v>
      </c>
      <c r="D624" s="3" t="s">
        <v>208</v>
      </c>
      <c r="E624" s="3" t="s">
        <v>209</v>
      </c>
      <c r="F624" s="3" t="s">
        <v>210</v>
      </c>
      <c r="G624" s="3" t="s">
        <v>142</v>
      </c>
      <c r="H624" s="5">
        <v>45729</v>
      </c>
      <c r="I624" s="8">
        <v>46151</v>
      </c>
      <c r="J624" s="3" t="s">
        <v>20</v>
      </c>
      <c r="K624" s="3" t="s">
        <v>24</v>
      </c>
      <c r="L624" s="3" t="s">
        <v>44</v>
      </c>
      <c r="M624" s="3">
        <v>422</v>
      </c>
    </row>
    <row r="625" spans="1:13" x14ac:dyDescent="0.25">
      <c r="A625" s="3" t="s">
        <v>660</v>
      </c>
      <c r="B625" s="3" t="s">
        <v>14</v>
      </c>
      <c r="C625" s="3" t="s">
        <v>15</v>
      </c>
      <c r="D625" s="3" t="s">
        <v>208</v>
      </c>
      <c r="E625" s="3" t="s">
        <v>209</v>
      </c>
      <c r="F625" s="3" t="s">
        <v>210</v>
      </c>
      <c r="G625" s="3" t="s">
        <v>142</v>
      </c>
      <c r="H625" s="5">
        <v>45974</v>
      </c>
      <c r="I625" s="6"/>
      <c r="J625" s="3" t="s">
        <v>27</v>
      </c>
      <c r="K625" s="6"/>
      <c r="L625" s="6"/>
      <c r="M625" s="3">
        <v>229</v>
      </c>
    </row>
    <row r="626" spans="1:13" x14ac:dyDescent="0.25">
      <c r="A626" s="3" t="s">
        <v>661</v>
      </c>
      <c r="B626" s="3" t="s">
        <v>14</v>
      </c>
      <c r="C626" s="3" t="s">
        <v>15</v>
      </c>
      <c r="D626" s="3" t="s">
        <v>208</v>
      </c>
      <c r="E626" s="3" t="s">
        <v>209</v>
      </c>
      <c r="F626" s="3" t="s">
        <v>210</v>
      </c>
      <c r="G626" s="3" t="s">
        <v>142</v>
      </c>
      <c r="H626" s="5">
        <v>45702</v>
      </c>
      <c r="I626" s="7">
        <v>46165</v>
      </c>
      <c r="J626" s="3" t="s">
        <v>20</v>
      </c>
      <c r="K626" s="3" t="s">
        <v>24</v>
      </c>
      <c r="L626" s="3" t="s">
        <v>44</v>
      </c>
      <c r="M626" s="3">
        <v>463</v>
      </c>
    </row>
    <row r="627" spans="1:13" x14ac:dyDescent="0.25">
      <c r="A627" s="3" t="s">
        <v>662</v>
      </c>
      <c r="B627" s="3" t="s">
        <v>14</v>
      </c>
      <c r="C627" s="3" t="s">
        <v>15</v>
      </c>
      <c r="D627" s="3" t="s">
        <v>208</v>
      </c>
      <c r="E627" s="3" t="s">
        <v>209</v>
      </c>
      <c r="F627" s="3" t="s">
        <v>210</v>
      </c>
      <c r="G627" s="3" t="s">
        <v>142</v>
      </c>
      <c r="H627" s="5">
        <v>45671</v>
      </c>
      <c r="I627" s="6"/>
      <c r="J627" s="3" t="s">
        <v>27</v>
      </c>
      <c r="K627" s="6"/>
      <c r="L627" s="6"/>
      <c r="M627" s="3">
        <v>532</v>
      </c>
    </row>
    <row r="628" spans="1:13" x14ac:dyDescent="0.25">
      <c r="A628" s="3" t="s">
        <v>663</v>
      </c>
      <c r="B628" s="3" t="s">
        <v>14</v>
      </c>
      <c r="C628" s="3" t="s">
        <v>15</v>
      </c>
      <c r="D628" s="3" t="s">
        <v>208</v>
      </c>
      <c r="E628" s="3" t="s">
        <v>209</v>
      </c>
      <c r="F628" s="3" t="s">
        <v>210</v>
      </c>
      <c r="G628" s="3" t="s">
        <v>142</v>
      </c>
      <c r="H628" s="5">
        <v>45852</v>
      </c>
      <c r="I628" s="7">
        <v>46172</v>
      </c>
      <c r="J628" s="3" t="s">
        <v>20</v>
      </c>
      <c r="K628" s="3" t="s">
        <v>24</v>
      </c>
      <c r="L628" s="3" t="s">
        <v>55</v>
      </c>
      <c r="M628" s="3">
        <v>320</v>
      </c>
    </row>
    <row r="629" spans="1:13" x14ac:dyDescent="0.25">
      <c r="A629" s="3" t="s">
        <v>664</v>
      </c>
      <c r="B629" s="3" t="s">
        <v>14</v>
      </c>
      <c r="C629" s="3" t="s">
        <v>15</v>
      </c>
      <c r="D629" s="3" t="s">
        <v>208</v>
      </c>
      <c r="E629" s="3" t="s">
        <v>209</v>
      </c>
      <c r="F629" s="3" t="s">
        <v>210</v>
      </c>
      <c r="G629" s="3" t="s">
        <v>142</v>
      </c>
      <c r="H629" s="5">
        <v>46187</v>
      </c>
      <c r="I629" s="5">
        <v>46187</v>
      </c>
      <c r="J629" s="3" t="s">
        <v>20</v>
      </c>
      <c r="K629" s="3" t="s">
        <v>21</v>
      </c>
      <c r="L629" s="3" t="s">
        <v>61</v>
      </c>
      <c r="M629" s="3">
        <v>0</v>
      </c>
    </row>
    <row r="630" spans="1:13" x14ac:dyDescent="0.25">
      <c r="A630" s="3" t="s">
        <v>665</v>
      </c>
      <c r="B630" s="3" t="s">
        <v>14</v>
      </c>
      <c r="C630" s="3" t="s">
        <v>15</v>
      </c>
      <c r="D630" s="3" t="s">
        <v>208</v>
      </c>
      <c r="E630" s="3" t="s">
        <v>209</v>
      </c>
      <c r="F630" s="3" t="s">
        <v>210</v>
      </c>
      <c r="G630" s="3" t="s">
        <v>142</v>
      </c>
      <c r="H630" s="5">
        <v>46187</v>
      </c>
      <c r="I630" s="5">
        <v>46195</v>
      </c>
      <c r="J630" s="3" t="s">
        <v>20</v>
      </c>
      <c r="K630" s="3" t="s">
        <v>21</v>
      </c>
      <c r="L630" s="3" t="s">
        <v>30</v>
      </c>
      <c r="M630" s="3">
        <v>8</v>
      </c>
    </row>
    <row r="631" spans="1:13" x14ac:dyDescent="0.25">
      <c r="A631" s="3" t="s">
        <v>666</v>
      </c>
      <c r="B631" s="3" t="s">
        <v>14</v>
      </c>
      <c r="C631" s="3" t="s">
        <v>15</v>
      </c>
      <c r="D631" s="3" t="s">
        <v>208</v>
      </c>
      <c r="E631" s="3" t="s">
        <v>209</v>
      </c>
      <c r="F631" s="3" t="s">
        <v>210</v>
      </c>
      <c r="G631" s="3" t="s">
        <v>142</v>
      </c>
      <c r="H631" s="7">
        <v>46156</v>
      </c>
      <c r="I631" s="6"/>
      <c r="J631" s="3" t="s">
        <v>27</v>
      </c>
      <c r="K631" s="6"/>
      <c r="L631" s="6"/>
      <c r="M631" s="3">
        <v>47</v>
      </c>
    </row>
    <row r="632" spans="1:13" x14ac:dyDescent="0.25">
      <c r="A632" s="3" t="s">
        <v>667</v>
      </c>
      <c r="B632" s="3" t="s">
        <v>14</v>
      </c>
      <c r="C632" s="3" t="s">
        <v>15</v>
      </c>
      <c r="D632" s="3" t="s">
        <v>208</v>
      </c>
      <c r="E632" s="3" t="s">
        <v>209</v>
      </c>
      <c r="F632" s="3" t="s">
        <v>210</v>
      </c>
      <c r="G632" s="3" t="s">
        <v>142</v>
      </c>
      <c r="H632" s="7">
        <v>46156</v>
      </c>
      <c r="I632" s="5">
        <v>46190</v>
      </c>
      <c r="J632" s="3" t="s">
        <v>20</v>
      </c>
      <c r="K632" s="3" t="s">
        <v>24</v>
      </c>
      <c r="L632" s="3" t="s">
        <v>41</v>
      </c>
      <c r="M632" s="3">
        <v>34</v>
      </c>
    </row>
    <row r="633" spans="1:13" x14ac:dyDescent="0.25">
      <c r="A633" s="3" t="s">
        <v>668</v>
      </c>
      <c r="B633" s="3" t="s">
        <v>14</v>
      </c>
      <c r="C633" s="3" t="s">
        <v>15</v>
      </c>
      <c r="D633" s="3" t="s">
        <v>208</v>
      </c>
      <c r="E633" s="3" t="s">
        <v>209</v>
      </c>
      <c r="F633" s="3" t="s">
        <v>210</v>
      </c>
      <c r="G633" s="3" t="s">
        <v>142</v>
      </c>
      <c r="H633" s="7">
        <v>46156</v>
      </c>
      <c r="I633" s="6"/>
      <c r="J633" s="3" t="s">
        <v>27</v>
      </c>
      <c r="K633" s="6"/>
      <c r="L633" s="6"/>
      <c r="M633" s="3">
        <v>47</v>
      </c>
    </row>
    <row r="634" spans="1:13" x14ac:dyDescent="0.25">
      <c r="A634" s="3" t="s">
        <v>669</v>
      </c>
      <c r="B634" s="3" t="s">
        <v>14</v>
      </c>
      <c r="C634" s="3" t="s">
        <v>15</v>
      </c>
      <c r="D634" s="3" t="s">
        <v>208</v>
      </c>
      <c r="E634" s="3" t="s">
        <v>209</v>
      </c>
      <c r="F634" s="3" t="s">
        <v>210</v>
      </c>
      <c r="G634" s="3" t="s">
        <v>142</v>
      </c>
      <c r="H634" s="7">
        <v>46156</v>
      </c>
      <c r="I634" s="6"/>
      <c r="J634" s="3" t="s">
        <v>27</v>
      </c>
      <c r="K634" s="6"/>
      <c r="L634" s="6"/>
      <c r="M634" s="3">
        <v>47</v>
      </c>
    </row>
    <row r="635" spans="1:13" x14ac:dyDescent="0.25">
      <c r="A635" s="3" t="s">
        <v>670</v>
      </c>
      <c r="B635" s="3" t="s">
        <v>14</v>
      </c>
      <c r="C635" s="3" t="s">
        <v>15</v>
      </c>
      <c r="D635" s="3" t="s">
        <v>208</v>
      </c>
      <c r="E635" s="3" t="s">
        <v>209</v>
      </c>
      <c r="F635" s="3" t="s">
        <v>210</v>
      </c>
      <c r="G635" s="3" t="s">
        <v>142</v>
      </c>
      <c r="H635" s="5">
        <v>46127</v>
      </c>
      <c r="I635" s="6"/>
      <c r="J635" s="3" t="s">
        <v>27</v>
      </c>
      <c r="K635" s="6"/>
      <c r="L635" s="6"/>
      <c r="M635" s="3">
        <v>76</v>
      </c>
    </row>
    <row r="636" spans="1:13" x14ac:dyDescent="0.25">
      <c r="A636" s="3" t="s">
        <v>671</v>
      </c>
      <c r="B636" s="3" t="s">
        <v>14</v>
      </c>
      <c r="C636" s="3" t="s">
        <v>15</v>
      </c>
      <c r="D636" s="3" t="s">
        <v>208</v>
      </c>
      <c r="E636" s="3" t="s">
        <v>209</v>
      </c>
      <c r="F636" s="3" t="s">
        <v>210</v>
      </c>
      <c r="G636" s="3" t="s">
        <v>142</v>
      </c>
      <c r="H636" s="5">
        <v>46037</v>
      </c>
      <c r="I636" s="6"/>
      <c r="J636" s="3" t="s">
        <v>27</v>
      </c>
      <c r="K636" s="6"/>
      <c r="L636" s="6"/>
      <c r="M636" s="3">
        <v>166</v>
      </c>
    </row>
    <row r="637" spans="1:13" x14ac:dyDescent="0.25">
      <c r="A637" s="3" t="s">
        <v>672</v>
      </c>
      <c r="B637" s="3" t="s">
        <v>14</v>
      </c>
      <c r="C637" s="3" t="s">
        <v>15</v>
      </c>
      <c r="D637" s="3" t="s">
        <v>208</v>
      </c>
      <c r="E637" s="3" t="s">
        <v>209</v>
      </c>
      <c r="F637" s="3" t="s">
        <v>210</v>
      </c>
      <c r="G637" s="3" t="s">
        <v>142</v>
      </c>
      <c r="H637" s="5">
        <v>46037</v>
      </c>
      <c r="I637" s="5">
        <v>46133</v>
      </c>
      <c r="J637" s="3" t="s">
        <v>20</v>
      </c>
      <c r="K637" s="3" t="s">
        <v>21</v>
      </c>
      <c r="L637" s="3" t="s">
        <v>22</v>
      </c>
      <c r="M637" s="3">
        <v>96</v>
      </c>
    </row>
    <row r="638" spans="1:13" x14ac:dyDescent="0.25">
      <c r="A638" s="3" t="s">
        <v>673</v>
      </c>
      <c r="B638" s="3" t="s">
        <v>14</v>
      </c>
      <c r="C638" s="3" t="s">
        <v>15</v>
      </c>
      <c r="D638" s="3" t="s">
        <v>208</v>
      </c>
      <c r="E638" s="3" t="s">
        <v>209</v>
      </c>
      <c r="F638" s="3" t="s">
        <v>210</v>
      </c>
      <c r="G638" s="3" t="s">
        <v>142</v>
      </c>
      <c r="H638" s="5">
        <v>46188</v>
      </c>
      <c r="I638" s="6"/>
      <c r="J638" s="3" t="s">
        <v>27</v>
      </c>
      <c r="K638" s="6"/>
      <c r="L638" s="6"/>
      <c r="M638" s="3">
        <v>15</v>
      </c>
    </row>
    <row r="639" spans="1:13" x14ac:dyDescent="0.25">
      <c r="A639" s="3" t="s">
        <v>674</v>
      </c>
      <c r="B639" s="3" t="s">
        <v>14</v>
      </c>
      <c r="C639" s="3" t="s">
        <v>15</v>
      </c>
      <c r="D639" s="3" t="s">
        <v>208</v>
      </c>
      <c r="E639" s="3" t="s">
        <v>209</v>
      </c>
      <c r="F639" s="3" t="s">
        <v>210</v>
      </c>
      <c r="G639" s="3" t="s">
        <v>142</v>
      </c>
      <c r="H639" s="5">
        <v>45945</v>
      </c>
      <c r="I639" s="6"/>
      <c r="J639" s="3" t="s">
        <v>27</v>
      </c>
      <c r="K639" s="6"/>
      <c r="L639" s="6"/>
      <c r="M639" s="3">
        <v>258</v>
      </c>
    </row>
    <row r="640" spans="1:13" x14ac:dyDescent="0.25">
      <c r="A640" s="3" t="s">
        <v>675</v>
      </c>
      <c r="B640" s="3" t="s">
        <v>14</v>
      </c>
      <c r="C640" s="3" t="s">
        <v>15</v>
      </c>
      <c r="D640" s="3" t="s">
        <v>208</v>
      </c>
      <c r="E640" s="3" t="s">
        <v>209</v>
      </c>
      <c r="F640" s="3" t="s">
        <v>210</v>
      </c>
      <c r="G640" s="3" t="s">
        <v>142</v>
      </c>
      <c r="H640" s="5">
        <v>45673</v>
      </c>
      <c r="I640" s="6"/>
      <c r="J640" s="3" t="s">
        <v>27</v>
      </c>
      <c r="K640" s="6"/>
      <c r="L640" s="6"/>
      <c r="M640" s="3">
        <v>530</v>
      </c>
    </row>
    <row r="641" spans="1:13" x14ac:dyDescent="0.25">
      <c r="A641" s="3" t="s">
        <v>676</v>
      </c>
      <c r="B641" s="3" t="s">
        <v>14</v>
      </c>
      <c r="C641" s="3" t="s">
        <v>15</v>
      </c>
      <c r="D641" s="3" t="s">
        <v>208</v>
      </c>
      <c r="E641" s="3" t="s">
        <v>209</v>
      </c>
      <c r="F641" s="3" t="s">
        <v>210</v>
      </c>
      <c r="G641" s="3" t="s">
        <v>142</v>
      </c>
      <c r="H641" s="7">
        <v>45793</v>
      </c>
      <c r="I641" s="6"/>
      <c r="J641" s="3" t="s">
        <v>27</v>
      </c>
      <c r="K641" s="6"/>
      <c r="L641" s="6"/>
      <c r="M641" s="3">
        <v>410</v>
      </c>
    </row>
    <row r="642" spans="1:13" x14ac:dyDescent="0.25">
      <c r="A642" s="3" t="s">
        <v>677</v>
      </c>
      <c r="B642" s="3" t="s">
        <v>14</v>
      </c>
      <c r="C642" s="3" t="s">
        <v>15</v>
      </c>
      <c r="D642" s="3" t="s">
        <v>208</v>
      </c>
      <c r="E642" s="3" t="s">
        <v>209</v>
      </c>
      <c r="F642" s="3" t="s">
        <v>210</v>
      </c>
      <c r="G642" s="3" t="s">
        <v>142</v>
      </c>
      <c r="H642" s="7">
        <v>46158</v>
      </c>
      <c r="I642" s="7">
        <v>46158</v>
      </c>
      <c r="J642" s="3" t="s">
        <v>20</v>
      </c>
      <c r="K642" s="3" t="s">
        <v>21</v>
      </c>
      <c r="L642" s="3" t="s">
        <v>61</v>
      </c>
      <c r="M642" s="3">
        <v>0</v>
      </c>
    </row>
    <row r="643" spans="1:13" x14ac:dyDescent="0.25">
      <c r="A643" s="3" t="s">
        <v>678</v>
      </c>
      <c r="B643" s="3" t="s">
        <v>14</v>
      </c>
      <c r="C643" s="3" t="s">
        <v>15</v>
      </c>
      <c r="D643" s="3" t="s">
        <v>208</v>
      </c>
      <c r="E643" s="3" t="s">
        <v>209</v>
      </c>
      <c r="F643" s="3" t="s">
        <v>210</v>
      </c>
      <c r="G643" s="3" t="s">
        <v>142</v>
      </c>
      <c r="H643" s="7">
        <v>46158</v>
      </c>
      <c r="I643" s="6"/>
      <c r="J643" s="3" t="s">
        <v>27</v>
      </c>
      <c r="K643" s="6"/>
      <c r="L643" s="6"/>
      <c r="M643" s="3">
        <v>45</v>
      </c>
    </row>
    <row r="644" spans="1:13" x14ac:dyDescent="0.25">
      <c r="A644" s="3" t="s">
        <v>679</v>
      </c>
      <c r="B644" s="3" t="s">
        <v>14</v>
      </c>
      <c r="C644" s="3" t="s">
        <v>15</v>
      </c>
      <c r="D644" s="3" t="s">
        <v>208</v>
      </c>
      <c r="E644" s="3" t="s">
        <v>209</v>
      </c>
      <c r="F644" s="3" t="s">
        <v>210</v>
      </c>
      <c r="G644" s="3" t="s">
        <v>142</v>
      </c>
      <c r="H644" s="7">
        <v>46158</v>
      </c>
      <c r="I644" s="7">
        <v>46171</v>
      </c>
      <c r="J644" s="3" t="s">
        <v>20</v>
      </c>
      <c r="K644" s="3" t="s">
        <v>21</v>
      </c>
      <c r="L644" s="3" t="s">
        <v>37</v>
      </c>
      <c r="M644" s="3">
        <v>13</v>
      </c>
    </row>
    <row r="645" spans="1:13" x14ac:dyDescent="0.25">
      <c r="A645" s="3" t="s">
        <v>680</v>
      </c>
      <c r="B645" s="3" t="s">
        <v>14</v>
      </c>
      <c r="C645" s="3" t="s">
        <v>15</v>
      </c>
      <c r="D645" s="3" t="s">
        <v>208</v>
      </c>
      <c r="E645" s="3" t="s">
        <v>209</v>
      </c>
      <c r="F645" s="3" t="s">
        <v>210</v>
      </c>
      <c r="G645" s="3" t="s">
        <v>142</v>
      </c>
      <c r="H645" s="5">
        <v>45916</v>
      </c>
      <c r="I645" s="8">
        <v>46151</v>
      </c>
      <c r="J645" s="3" t="s">
        <v>20</v>
      </c>
      <c r="K645" s="3" t="s">
        <v>24</v>
      </c>
      <c r="L645" s="3" t="s">
        <v>55</v>
      </c>
      <c r="M645" s="3">
        <v>235</v>
      </c>
    </row>
    <row r="646" spans="1:13" x14ac:dyDescent="0.25">
      <c r="A646" s="3" t="s">
        <v>681</v>
      </c>
      <c r="B646" s="3" t="s">
        <v>14</v>
      </c>
      <c r="C646" s="3" t="s">
        <v>15</v>
      </c>
      <c r="D646" s="3" t="s">
        <v>208</v>
      </c>
      <c r="E646" s="3" t="s">
        <v>209</v>
      </c>
      <c r="F646" s="3" t="s">
        <v>210</v>
      </c>
      <c r="G646" s="3" t="s">
        <v>142</v>
      </c>
      <c r="H646" s="5">
        <v>45705</v>
      </c>
      <c r="I646" s="6"/>
      <c r="J646" s="3" t="s">
        <v>27</v>
      </c>
      <c r="K646" s="6"/>
      <c r="L646" s="6"/>
      <c r="M646" s="3">
        <v>498</v>
      </c>
    </row>
    <row r="647" spans="1:13" x14ac:dyDescent="0.25">
      <c r="A647" s="3" t="s">
        <v>682</v>
      </c>
      <c r="B647" s="3" t="s">
        <v>14</v>
      </c>
      <c r="C647" s="3" t="s">
        <v>15</v>
      </c>
      <c r="D647" s="3" t="s">
        <v>208</v>
      </c>
      <c r="E647" s="3" t="s">
        <v>209</v>
      </c>
      <c r="F647" s="3" t="s">
        <v>210</v>
      </c>
      <c r="G647" s="3" t="s">
        <v>142</v>
      </c>
      <c r="H647" s="5">
        <v>45705</v>
      </c>
      <c r="I647" s="6"/>
      <c r="J647" s="3" t="s">
        <v>27</v>
      </c>
      <c r="K647" s="6"/>
      <c r="L647" s="6"/>
      <c r="M647" s="3">
        <v>498</v>
      </c>
    </row>
    <row r="648" spans="1:13" x14ac:dyDescent="0.25">
      <c r="A648" s="3" t="s">
        <v>683</v>
      </c>
      <c r="B648" s="3" t="s">
        <v>14</v>
      </c>
      <c r="C648" s="3" t="s">
        <v>15</v>
      </c>
      <c r="D648" s="3" t="s">
        <v>208</v>
      </c>
      <c r="E648" s="3" t="s">
        <v>209</v>
      </c>
      <c r="F648" s="3" t="s">
        <v>210</v>
      </c>
      <c r="G648" s="3" t="s">
        <v>142</v>
      </c>
      <c r="H648" s="5">
        <v>46070</v>
      </c>
      <c r="I648" s="5">
        <v>46135</v>
      </c>
      <c r="J648" s="3" t="s">
        <v>20</v>
      </c>
      <c r="K648" s="3" t="s">
        <v>21</v>
      </c>
      <c r="L648" s="3" t="s">
        <v>22</v>
      </c>
      <c r="M648" s="3">
        <v>65</v>
      </c>
    </row>
    <row r="649" spans="1:13" x14ac:dyDescent="0.25">
      <c r="A649" s="3" t="s">
        <v>684</v>
      </c>
      <c r="B649" s="3" t="s">
        <v>14</v>
      </c>
      <c r="C649" s="3" t="s">
        <v>15</v>
      </c>
      <c r="D649" s="3" t="s">
        <v>208</v>
      </c>
      <c r="E649" s="3" t="s">
        <v>209</v>
      </c>
      <c r="F649" s="3" t="s">
        <v>210</v>
      </c>
      <c r="G649" s="3" t="s">
        <v>142</v>
      </c>
      <c r="H649" s="5">
        <v>45674</v>
      </c>
      <c r="I649" s="5">
        <v>46195</v>
      </c>
      <c r="J649" s="3" t="s">
        <v>20</v>
      </c>
      <c r="K649" s="3" t="s">
        <v>24</v>
      </c>
      <c r="L649" s="3" t="s">
        <v>55</v>
      </c>
      <c r="M649" s="3">
        <v>521</v>
      </c>
    </row>
    <row r="650" spans="1:13" x14ac:dyDescent="0.25">
      <c r="A650" s="3" t="s">
        <v>685</v>
      </c>
      <c r="B650" s="3" t="s">
        <v>14</v>
      </c>
      <c r="C650" s="3" t="s">
        <v>15</v>
      </c>
      <c r="D650" s="3" t="s">
        <v>208</v>
      </c>
      <c r="E650" s="3" t="s">
        <v>209</v>
      </c>
      <c r="F650" s="3" t="s">
        <v>210</v>
      </c>
      <c r="G650" s="3" t="s">
        <v>142</v>
      </c>
      <c r="H650" s="7">
        <v>46159</v>
      </c>
      <c r="I650" s="7">
        <v>46172</v>
      </c>
      <c r="J650" s="3" t="s">
        <v>20</v>
      </c>
      <c r="K650" s="3" t="s">
        <v>21</v>
      </c>
      <c r="L650" s="3" t="s">
        <v>50</v>
      </c>
      <c r="M650" s="3">
        <v>13</v>
      </c>
    </row>
    <row r="651" spans="1:13" x14ac:dyDescent="0.25">
      <c r="A651" s="3" t="s">
        <v>686</v>
      </c>
      <c r="B651" s="3" t="s">
        <v>14</v>
      </c>
      <c r="C651" s="3" t="s">
        <v>15</v>
      </c>
      <c r="D651" s="3" t="s">
        <v>208</v>
      </c>
      <c r="E651" s="3" t="s">
        <v>209</v>
      </c>
      <c r="F651" s="3" t="s">
        <v>210</v>
      </c>
      <c r="G651" s="3" t="s">
        <v>142</v>
      </c>
      <c r="H651" s="5">
        <v>45887</v>
      </c>
      <c r="I651" s="6"/>
      <c r="J651" s="3" t="s">
        <v>27</v>
      </c>
      <c r="K651" s="6"/>
      <c r="L651" s="6"/>
      <c r="M651" s="3">
        <v>316</v>
      </c>
    </row>
    <row r="652" spans="1:13" x14ac:dyDescent="0.25">
      <c r="A652" s="3" t="s">
        <v>687</v>
      </c>
      <c r="B652" s="3" t="s">
        <v>14</v>
      </c>
      <c r="C652" s="3" t="s">
        <v>15</v>
      </c>
      <c r="D652" s="3" t="s">
        <v>208</v>
      </c>
      <c r="E652" s="3" t="s">
        <v>209</v>
      </c>
      <c r="F652" s="3" t="s">
        <v>210</v>
      </c>
      <c r="G652" s="3" t="s">
        <v>142</v>
      </c>
      <c r="H652" s="5">
        <v>46071</v>
      </c>
      <c r="I652" s="6"/>
      <c r="J652" s="3" t="s">
        <v>27</v>
      </c>
      <c r="K652" s="6"/>
      <c r="L652" s="6"/>
      <c r="M652" s="3">
        <v>132</v>
      </c>
    </row>
    <row r="653" spans="1:13" x14ac:dyDescent="0.25">
      <c r="A653" s="3" t="s">
        <v>688</v>
      </c>
      <c r="B653" s="3" t="s">
        <v>14</v>
      </c>
      <c r="C653" s="3" t="s">
        <v>15</v>
      </c>
      <c r="D653" s="3" t="s">
        <v>208</v>
      </c>
      <c r="E653" s="3" t="s">
        <v>209</v>
      </c>
      <c r="F653" s="3" t="s">
        <v>210</v>
      </c>
      <c r="G653" s="3" t="s">
        <v>142</v>
      </c>
      <c r="H653" s="5">
        <v>46191</v>
      </c>
      <c r="I653" s="5">
        <v>46191</v>
      </c>
      <c r="J653" s="3" t="s">
        <v>20</v>
      </c>
      <c r="K653" s="3" t="s">
        <v>21</v>
      </c>
      <c r="L653" s="3" t="s">
        <v>61</v>
      </c>
      <c r="M653" s="3">
        <v>0</v>
      </c>
    </row>
    <row r="654" spans="1:13" x14ac:dyDescent="0.25">
      <c r="A654" s="3" t="s">
        <v>689</v>
      </c>
      <c r="B654" s="3" t="s">
        <v>14</v>
      </c>
      <c r="C654" s="3" t="s">
        <v>15</v>
      </c>
      <c r="D654" s="3" t="s">
        <v>208</v>
      </c>
      <c r="E654" s="3" t="s">
        <v>209</v>
      </c>
      <c r="F654" s="3" t="s">
        <v>210</v>
      </c>
      <c r="G654" s="3" t="s">
        <v>142</v>
      </c>
      <c r="H654" s="5">
        <v>46191</v>
      </c>
      <c r="I654" s="6"/>
      <c r="J654" s="3" t="s">
        <v>27</v>
      </c>
      <c r="K654" s="6"/>
      <c r="L654" s="6"/>
      <c r="M654" s="3">
        <v>12</v>
      </c>
    </row>
    <row r="655" spans="1:13" x14ac:dyDescent="0.25">
      <c r="A655" s="3" t="s">
        <v>690</v>
      </c>
      <c r="B655" s="3" t="s">
        <v>14</v>
      </c>
      <c r="C655" s="3" t="s">
        <v>15</v>
      </c>
      <c r="D655" s="3" t="s">
        <v>208</v>
      </c>
      <c r="E655" s="3" t="s">
        <v>209</v>
      </c>
      <c r="F655" s="3" t="s">
        <v>210</v>
      </c>
      <c r="G655" s="3" t="s">
        <v>142</v>
      </c>
      <c r="H655" s="5">
        <v>46191</v>
      </c>
      <c r="I655" s="5">
        <v>46191</v>
      </c>
      <c r="J655" s="3" t="s">
        <v>20</v>
      </c>
      <c r="K655" s="3" t="s">
        <v>21</v>
      </c>
      <c r="L655" s="3" t="s">
        <v>61</v>
      </c>
      <c r="M655" s="3">
        <v>0</v>
      </c>
    </row>
    <row r="656" spans="1:13" x14ac:dyDescent="0.25">
      <c r="A656" s="3" t="s">
        <v>691</v>
      </c>
      <c r="B656" s="3" t="s">
        <v>14</v>
      </c>
      <c r="C656" s="3" t="s">
        <v>15</v>
      </c>
      <c r="D656" s="3" t="s">
        <v>208</v>
      </c>
      <c r="E656" s="3" t="s">
        <v>209</v>
      </c>
      <c r="F656" s="3" t="s">
        <v>210</v>
      </c>
      <c r="G656" s="3" t="s">
        <v>142</v>
      </c>
      <c r="H656" s="5">
        <v>46191</v>
      </c>
      <c r="I656" s="5">
        <v>46193</v>
      </c>
      <c r="J656" s="3" t="s">
        <v>20</v>
      </c>
      <c r="K656" s="3" t="s">
        <v>21</v>
      </c>
      <c r="L656" s="3" t="s">
        <v>33</v>
      </c>
      <c r="M656" s="3">
        <v>2</v>
      </c>
    </row>
    <row r="657" spans="1:13" x14ac:dyDescent="0.25">
      <c r="A657" s="3" t="s">
        <v>692</v>
      </c>
      <c r="B657" s="3" t="s">
        <v>14</v>
      </c>
      <c r="C657" s="3" t="s">
        <v>15</v>
      </c>
      <c r="D657" s="3" t="s">
        <v>208</v>
      </c>
      <c r="E657" s="3" t="s">
        <v>209</v>
      </c>
      <c r="F657" s="3" t="s">
        <v>210</v>
      </c>
      <c r="G657" s="3" t="s">
        <v>142</v>
      </c>
      <c r="H657" s="5">
        <v>46099</v>
      </c>
      <c r="I657" s="7">
        <v>46164</v>
      </c>
      <c r="J657" s="3" t="s">
        <v>20</v>
      </c>
      <c r="K657" s="3" t="s">
        <v>24</v>
      </c>
      <c r="L657" s="3" t="s">
        <v>44</v>
      </c>
      <c r="M657" s="3">
        <v>65</v>
      </c>
    </row>
    <row r="658" spans="1:13" x14ac:dyDescent="0.25">
      <c r="A658" s="3" t="s">
        <v>693</v>
      </c>
      <c r="B658" s="3" t="s">
        <v>14</v>
      </c>
      <c r="C658" s="3" t="s">
        <v>15</v>
      </c>
      <c r="D658" s="3" t="s">
        <v>208</v>
      </c>
      <c r="E658" s="3" t="s">
        <v>209</v>
      </c>
      <c r="F658" s="3" t="s">
        <v>210</v>
      </c>
      <c r="G658" s="3" t="s">
        <v>142</v>
      </c>
      <c r="H658" s="7">
        <v>46160</v>
      </c>
      <c r="I658" s="6"/>
      <c r="J658" s="3" t="s">
        <v>27</v>
      </c>
      <c r="K658" s="6"/>
      <c r="L658" s="6"/>
      <c r="M658" s="3">
        <v>43</v>
      </c>
    </row>
    <row r="659" spans="1:13" x14ac:dyDescent="0.25">
      <c r="A659" s="3" t="s">
        <v>694</v>
      </c>
      <c r="B659" s="3" t="s">
        <v>14</v>
      </c>
      <c r="C659" s="3" t="s">
        <v>15</v>
      </c>
      <c r="D659" s="3" t="s">
        <v>208</v>
      </c>
      <c r="E659" s="3" t="s">
        <v>209</v>
      </c>
      <c r="F659" s="3" t="s">
        <v>210</v>
      </c>
      <c r="G659" s="3" t="s">
        <v>142</v>
      </c>
      <c r="H659" s="5">
        <v>45979</v>
      </c>
      <c r="I659" s="6"/>
      <c r="J659" s="3" t="s">
        <v>27</v>
      </c>
      <c r="K659" s="6"/>
      <c r="L659" s="6"/>
      <c r="M659" s="3">
        <v>224</v>
      </c>
    </row>
    <row r="660" spans="1:13" x14ac:dyDescent="0.25">
      <c r="A660" s="3" t="s">
        <v>695</v>
      </c>
      <c r="B660" s="3" t="s">
        <v>14</v>
      </c>
      <c r="C660" s="3" t="s">
        <v>15</v>
      </c>
      <c r="D660" s="3" t="s">
        <v>208</v>
      </c>
      <c r="E660" s="3" t="s">
        <v>209</v>
      </c>
      <c r="F660" s="3" t="s">
        <v>210</v>
      </c>
      <c r="G660" s="3" t="s">
        <v>142</v>
      </c>
      <c r="H660" s="5">
        <v>46131</v>
      </c>
      <c r="I660" s="5">
        <v>46137</v>
      </c>
      <c r="J660" s="3" t="s">
        <v>20</v>
      </c>
      <c r="K660" s="3" t="s">
        <v>21</v>
      </c>
      <c r="L660" s="3" t="s">
        <v>33</v>
      </c>
      <c r="M660" s="3">
        <v>6</v>
      </c>
    </row>
    <row r="661" spans="1:13" x14ac:dyDescent="0.25">
      <c r="A661" s="3" t="s">
        <v>696</v>
      </c>
      <c r="B661" s="3" t="s">
        <v>14</v>
      </c>
      <c r="C661" s="3" t="s">
        <v>15</v>
      </c>
      <c r="D661" s="3" t="s">
        <v>208</v>
      </c>
      <c r="E661" s="3" t="s">
        <v>209</v>
      </c>
      <c r="F661" s="3" t="s">
        <v>210</v>
      </c>
      <c r="G661" s="3" t="s">
        <v>142</v>
      </c>
      <c r="H661" s="5">
        <v>45707</v>
      </c>
      <c r="I661" s="5">
        <v>46131</v>
      </c>
      <c r="J661" s="3" t="s">
        <v>20</v>
      </c>
      <c r="K661" s="3" t="s">
        <v>24</v>
      </c>
      <c r="L661" s="3" t="s">
        <v>25</v>
      </c>
      <c r="M661" s="3">
        <v>424</v>
      </c>
    </row>
    <row r="662" spans="1:13" x14ac:dyDescent="0.25">
      <c r="A662" s="3" t="s">
        <v>697</v>
      </c>
      <c r="B662" s="3" t="s">
        <v>14</v>
      </c>
      <c r="C662" s="3" t="s">
        <v>15</v>
      </c>
      <c r="D662" s="3" t="s">
        <v>208</v>
      </c>
      <c r="E662" s="3" t="s">
        <v>209</v>
      </c>
      <c r="F662" s="3" t="s">
        <v>210</v>
      </c>
      <c r="G662" s="3" t="s">
        <v>142</v>
      </c>
      <c r="H662" s="5">
        <v>46072</v>
      </c>
      <c r="I662" s="6"/>
      <c r="J662" s="3" t="s">
        <v>27</v>
      </c>
      <c r="K662" s="6"/>
      <c r="L662" s="6"/>
      <c r="M662" s="3">
        <v>131</v>
      </c>
    </row>
    <row r="663" spans="1:13" x14ac:dyDescent="0.25">
      <c r="A663" s="3" t="s">
        <v>698</v>
      </c>
      <c r="B663" s="3" t="s">
        <v>14</v>
      </c>
      <c r="C663" s="3" t="s">
        <v>15</v>
      </c>
      <c r="D663" s="3" t="s">
        <v>208</v>
      </c>
      <c r="E663" s="3" t="s">
        <v>209</v>
      </c>
      <c r="F663" s="3" t="s">
        <v>210</v>
      </c>
      <c r="G663" s="3" t="s">
        <v>142</v>
      </c>
      <c r="H663" s="5">
        <v>46192</v>
      </c>
      <c r="I663" s="6"/>
      <c r="J663" s="3" t="s">
        <v>27</v>
      </c>
      <c r="K663" s="6"/>
      <c r="L663" s="6"/>
      <c r="M663" s="3">
        <v>11</v>
      </c>
    </row>
    <row r="664" spans="1:13" x14ac:dyDescent="0.25">
      <c r="A664" s="3" t="s">
        <v>699</v>
      </c>
      <c r="B664" s="3" t="s">
        <v>14</v>
      </c>
      <c r="C664" s="3" t="s">
        <v>15</v>
      </c>
      <c r="D664" s="3" t="s">
        <v>208</v>
      </c>
      <c r="E664" s="3" t="s">
        <v>209</v>
      </c>
      <c r="F664" s="3" t="s">
        <v>210</v>
      </c>
      <c r="G664" s="3" t="s">
        <v>142</v>
      </c>
      <c r="H664" s="7">
        <v>46161</v>
      </c>
      <c r="I664" s="6"/>
      <c r="J664" s="3" t="s">
        <v>27</v>
      </c>
      <c r="K664" s="6"/>
      <c r="L664" s="6"/>
      <c r="M664" s="3">
        <v>42</v>
      </c>
    </row>
    <row r="665" spans="1:13" x14ac:dyDescent="0.25">
      <c r="A665" s="3" t="s">
        <v>700</v>
      </c>
      <c r="B665" s="3" t="s">
        <v>14</v>
      </c>
      <c r="C665" s="3" t="s">
        <v>15</v>
      </c>
      <c r="D665" s="3" t="s">
        <v>208</v>
      </c>
      <c r="E665" s="3" t="s">
        <v>209</v>
      </c>
      <c r="F665" s="3" t="s">
        <v>210</v>
      </c>
      <c r="G665" s="3" t="s">
        <v>142</v>
      </c>
      <c r="H665" s="7">
        <v>46161</v>
      </c>
      <c r="I665" s="7">
        <v>46161</v>
      </c>
      <c r="J665" s="3" t="s">
        <v>20</v>
      </c>
      <c r="K665" s="3" t="s">
        <v>21</v>
      </c>
      <c r="L665" s="3" t="s">
        <v>37</v>
      </c>
      <c r="M665" s="3">
        <v>0</v>
      </c>
    </row>
    <row r="666" spans="1:13" x14ac:dyDescent="0.25">
      <c r="A666" s="3" t="s">
        <v>701</v>
      </c>
      <c r="B666" s="3" t="s">
        <v>14</v>
      </c>
      <c r="C666" s="3" t="s">
        <v>15</v>
      </c>
      <c r="D666" s="3" t="s">
        <v>208</v>
      </c>
      <c r="E666" s="3" t="s">
        <v>209</v>
      </c>
      <c r="F666" s="3" t="s">
        <v>210</v>
      </c>
      <c r="G666" s="3" t="s">
        <v>142</v>
      </c>
      <c r="H666" s="5">
        <v>45768</v>
      </c>
      <c r="I666" s="6"/>
      <c r="J666" s="3" t="s">
        <v>27</v>
      </c>
      <c r="K666" s="6"/>
      <c r="L666" s="6"/>
      <c r="M666" s="3">
        <v>435</v>
      </c>
    </row>
    <row r="667" spans="1:13" x14ac:dyDescent="0.25">
      <c r="A667" s="3" t="s">
        <v>702</v>
      </c>
      <c r="B667" s="3" t="s">
        <v>14</v>
      </c>
      <c r="C667" s="3" t="s">
        <v>15</v>
      </c>
      <c r="D667" s="3" t="s">
        <v>208</v>
      </c>
      <c r="E667" s="3" t="s">
        <v>209</v>
      </c>
      <c r="F667" s="3" t="s">
        <v>210</v>
      </c>
      <c r="G667" s="3" t="s">
        <v>142</v>
      </c>
      <c r="H667" s="5">
        <v>46133</v>
      </c>
      <c r="I667" s="5">
        <v>46133</v>
      </c>
      <c r="J667" s="3" t="s">
        <v>20</v>
      </c>
      <c r="K667" s="3" t="s">
        <v>21</v>
      </c>
      <c r="L667" s="3" t="s">
        <v>33</v>
      </c>
      <c r="M667" s="3">
        <v>0</v>
      </c>
    </row>
    <row r="668" spans="1:13" x14ac:dyDescent="0.25">
      <c r="A668" s="3" t="s">
        <v>703</v>
      </c>
      <c r="B668" s="3" t="s">
        <v>14</v>
      </c>
      <c r="C668" s="3" t="s">
        <v>15</v>
      </c>
      <c r="D668" s="3" t="s">
        <v>208</v>
      </c>
      <c r="E668" s="3" t="s">
        <v>209</v>
      </c>
      <c r="F668" s="3" t="s">
        <v>210</v>
      </c>
      <c r="G668" s="3" t="s">
        <v>142</v>
      </c>
      <c r="H668" s="5">
        <v>46194</v>
      </c>
      <c r="I668" s="5">
        <v>46194</v>
      </c>
      <c r="J668" s="3" t="s">
        <v>20</v>
      </c>
      <c r="K668" s="3" t="s">
        <v>21</v>
      </c>
      <c r="L668" s="3" t="s">
        <v>50</v>
      </c>
      <c r="M668" s="3">
        <v>0</v>
      </c>
    </row>
    <row r="669" spans="1:13" x14ac:dyDescent="0.25">
      <c r="A669" s="3" t="s">
        <v>704</v>
      </c>
      <c r="B669" s="3" t="s">
        <v>14</v>
      </c>
      <c r="C669" s="3" t="s">
        <v>15</v>
      </c>
      <c r="D669" s="3" t="s">
        <v>208</v>
      </c>
      <c r="E669" s="3" t="s">
        <v>209</v>
      </c>
      <c r="F669" s="3" t="s">
        <v>210</v>
      </c>
      <c r="G669" s="3" t="s">
        <v>142</v>
      </c>
      <c r="H669" s="5">
        <v>45737</v>
      </c>
      <c r="I669" s="8">
        <v>46149</v>
      </c>
      <c r="J669" s="3" t="s">
        <v>20</v>
      </c>
      <c r="K669" s="3" t="s">
        <v>24</v>
      </c>
      <c r="L669" s="3" t="s">
        <v>44</v>
      </c>
      <c r="M669" s="3">
        <v>412</v>
      </c>
    </row>
    <row r="670" spans="1:13" x14ac:dyDescent="0.25">
      <c r="A670" s="3" t="s">
        <v>705</v>
      </c>
      <c r="B670" s="3" t="s">
        <v>14</v>
      </c>
      <c r="C670" s="3" t="s">
        <v>15</v>
      </c>
      <c r="D670" s="3" t="s">
        <v>208</v>
      </c>
      <c r="E670" s="3" t="s">
        <v>209</v>
      </c>
      <c r="F670" s="3" t="s">
        <v>210</v>
      </c>
      <c r="G670" s="3" t="s">
        <v>142</v>
      </c>
      <c r="H670" s="7">
        <v>45798</v>
      </c>
      <c r="I670" s="6"/>
      <c r="J670" s="3" t="s">
        <v>27</v>
      </c>
      <c r="K670" s="6"/>
      <c r="L670" s="6"/>
      <c r="M670" s="3">
        <v>405</v>
      </c>
    </row>
    <row r="671" spans="1:13" x14ac:dyDescent="0.25">
      <c r="A671" s="3" t="s">
        <v>706</v>
      </c>
      <c r="B671" s="3" t="s">
        <v>14</v>
      </c>
      <c r="C671" s="3" t="s">
        <v>15</v>
      </c>
      <c r="D671" s="3" t="s">
        <v>208</v>
      </c>
      <c r="E671" s="3" t="s">
        <v>209</v>
      </c>
      <c r="F671" s="3" t="s">
        <v>210</v>
      </c>
      <c r="G671" s="3" t="s">
        <v>142</v>
      </c>
      <c r="H671" s="5">
        <v>45769</v>
      </c>
      <c r="I671" s="4">
        <v>46113</v>
      </c>
      <c r="J671" s="3" t="s">
        <v>20</v>
      </c>
      <c r="K671" s="3" t="s">
        <v>24</v>
      </c>
      <c r="L671" s="3" t="s">
        <v>55</v>
      </c>
      <c r="M671" s="3">
        <v>344</v>
      </c>
    </row>
    <row r="672" spans="1:13" x14ac:dyDescent="0.25">
      <c r="A672" s="3" t="s">
        <v>707</v>
      </c>
      <c r="B672" s="3" t="s">
        <v>14</v>
      </c>
      <c r="C672" s="3" t="s">
        <v>15</v>
      </c>
      <c r="D672" s="3" t="s">
        <v>208</v>
      </c>
      <c r="E672" s="3" t="s">
        <v>209</v>
      </c>
      <c r="F672" s="3" t="s">
        <v>210</v>
      </c>
      <c r="G672" s="3" t="s">
        <v>142</v>
      </c>
      <c r="H672" s="5">
        <v>46134</v>
      </c>
      <c r="I672" s="5">
        <v>46136</v>
      </c>
      <c r="J672" s="3" t="s">
        <v>20</v>
      </c>
      <c r="K672" s="3" t="s">
        <v>21</v>
      </c>
      <c r="L672" s="3" t="s">
        <v>61</v>
      </c>
      <c r="M672" s="3">
        <v>2</v>
      </c>
    </row>
    <row r="673" spans="1:13" x14ac:dyDescent="0.25">
      <c r="A673" s="3" t="s">
        <v>708</v>
      </c>
      <c r="B673" s="3" t="s">
        <v>14</v>
      </c>
      <c r="C673" s="3" t="s">
        <v>15</v>
      </c>
      <c r="D673" s="3" t="s">
        <v>208</v>
      </c>
      <c r="E673" s="3" t="s">
        <v>209</v>
      </c>
      <c r="F673" s="3" t="s">
        <v>210</v>
      </c>
      <c r="G673" s="3" t="s">
        <v>142</v>
      </c>
      <c r="H673" s="5">
        <v>45710</v>
      </c>
      <c r="I673" s="6"/>
      <c r="J673" s="3" t="s">
        <v>27</v>
      </c>
      <c r="K673" s="6"/>
      <c r="L673" s="6"/>
      <c r="M673" s="3">
        <v>493</v>
      </c>
    </row>
    <row r="674" spans="1:13" x14ac:dyDescent="0.25">
      <c r="A674" s="3" t="s">
        <v>709</v>
      </c>
      <c r="B674" s="3" t="s">
        <v>14</v>
      </c>
      <c r="C674" s="3" t="s">
        <v>15</v>
      </c>
      <c r="D674" s="3" t="s">
        <v>208</v>
      </c>
      <c r="E674" s="3" t="s">
        <v>209</v>
      </c>
      <c r="F674" s="3" t="s">
        <v>210</v>
      </c>
      <c r="G674" s="3" t="s">
        <v>142</v>
      </c>
      <c r="H674" s="5">
        <v>45710</v>
      </c>
      <c r="I674" s="5">
        <v>46127</v>
      </c>
      <c r="J674" s="3" t="s">
        <v>20</v>
      </c>
      <c r="K674" s="3" t="s">
        <v>24</v>
      </c>
      <c r="L674" s="3" t="s">
        <v>41</v>
      </c>
      <c r="M674" s="3">
        <v>417</v>
      </c>
    </row>
    <row r="675" spans="1:13" x14ac:dyDescent="0.25">
      <c r="A675" s="3" t="s">
        <v>710</v>
      </c>
      <c r="B675" s="3" t="s">
        <v>14</v>
      </c>
      <c r="C675" s="3" t="s">
        <v>15</v>
      </c>
      <c r="D675" s="3" t="s">
        <v>208</v>
      </c>
      <c r="E675" s="3" t="s">
        <v>209</v>
      </c>
      <c r="F675" s="3" t="s">
        <v>210</v>
      </c>
      <c r="G675" s="3" t="s">
        <v>142</v>
      </c>
      <c r="H675" s="5">
        <v>45830</v>
      </c>
      <c r="I675" s="6"/>
      <c r="J675" s="3" t="s">
        <v>27</v>
      </c>
      <c r="K675" s="6"/>
      <c r="L675" s="6"/>
      <c r="M675" s="3">
        <v>373</v>
      </c>
    </row>
    <row r="676" spans="1:13" x14ac:dyDescent="0.25">
      <c r="A676" s="3" t="s">
        <v>711</v>
      </c>
      <c r="B676" s="3" t="s">
        <v>14</v>
      </c>
      <c r="C676" s="3" t="s">
        <v>15</v>
      </c>
      <c r="D676" s="3" t="s">
        <v>208</v>
      </c>
      <c r="E676" s="3" t="s">
        <v>209</v>
      </c>
      <c r="F676" s="3" t="s">
        <v>210</v>
      </c>
      <c r="G676" s="3" t="s">
        <v>142</v>
      </c>
      <c r="H676" s="5">
        <v>46103</v>
      </c>
      <c r="I676" s="6"/>
      <c r="J676" s="3" t="s">
        <v>27</v>
      </c>
      <c r="K676" s="6"/>
      <c r="L676" s="6"/>
      <c r="M676" s="3">
        <v>100</v>
      </c>
    </row>
    <row r="677" spans="1:13" x14ac:dyDescent="0.25">
      <c r="A677" s="3" t="s">
        <v>712</v>
      </c>
      <c r="B677" s="3" t="s">
        <v>14</v>
      </c>
      <c r="C677" s="3" t="s">
        <v>15</v>
      </c>
      <c r="D677" s="3" t="s">
        <v>208</v>
      </c>
      <c r="E677" s="3" t="s">
        <v>209</v>
      </c>
      <c r="F677" s="3" t="s">
        <v>210</v>
      </c>
      <c r="G677" s="3" t="s">
        <v>142</v>
      </c>
      <c r="H677" s="7">
        <v>46164</v>
      </c>
      <c r="I677" s="7">
        <v>46164</v>
      </c>
      <c r="J677" s="3" t="s">
        <v>20</v>
      </c>
      <c r="K677" s="3" t="s">
        <v>21</v>
      </c>
      <c r="L677" s="3" t="s">
        <v>22</v>
      </c>
      <c r="M677" s="3">
        <v>0</v>
      </c>
    </row>
    <row r="678" spans="1:13" x14ac:dyDescent="0.25">
      <c r="A678" s="3" t="s">
        <v>713</v>
      </c>
      <c r="B678" s="3" t="s">
        <v>14</v>
      </c>
      <c r="C678" s="3" t="s">
        <v>15</v>
      </c>
      <c r="D678" s="3" t="s">
        <v>208</v>
      </c>
      <c r="E678" s="3" t="s">
        <v>209</v>
      </c>
      <c r="F678" s="3" t="s">
        <v>210</v>
      </c>
      <c r="G678" s="3" t="s">
        <v>142</v>
      </c>
      <c r="H678" s="7">
        <v>46164</v>
      </c>
      <c r="I678" s="7">
        <v>46164</v>
      </c>
      <c r="J678" s="3" t="s">
        <v>20</v>
      </c>
      <c r="K678" s="3" t="s">
        <v>21</v>
      </c>
      <c r="L678" s="3" t="s">
        <v>30</v>
      </c>
      <c r="M678" s="3">
        <v>0</v>
      </c>
    </row>
    <row r="679" spans="1:13" x14ac:dyDescent="0.25">
      <c r="A679" s="3" t="s">
        <v>714</v>
      </c>
      <c r="B679" s="3" t="s">
        <v>14</v>
      </c>
      <c r="C679" s="3" t="s">
        <v>15</v>
      </c>
      <c r="D679" s="3" t="s">
        <v>208</v>
      </c>
      <c r="E679" s="3" t="s">
        <v>209</v>
      </c>
      <c r="F679" s="3" t="s">
        <v>210</v>
      </c>
      <c r="G679" s="3" t="s">
        <v>142</v>
      </c>
      <c r="H679" s="5">
        <v>45770</v>
      </c>
      <c r="I679" s="6"/>
      <c r="J679" s="3" t="s">
        <v>27</v>
      </c>
      <c r="K679" s="6"/>
      <c r="L679" s="6"/>
      <c r="M679" s="3">
        <v>433</v>
      </c>
    </row>
    <row r="680" spans="1:13" x14ac:dyDescent="0.25">
      <c r="A680" s="3" t="s">
        <v>715</v>
      </c>
      <c r="B680" s="3" t="s">
        <v>14</v>
      </c>
      <c r="C680" s="3" t="s">
        <v>15</v>
      </c>
      <c r="D680" s="3" t="s">
        <v>208</v>
      </c>
      <c r="E680" s="3" t="s">
        <v>209</v>
      </c>
      <c r="F680" s="3" t="s">
        <v>210</v>
      </c>
      <c r="G680" s="3" t="s">
        <v>142</v>
      </c>
      <c r="H680" s="5">
        <v>46135</v>
      </c>
      <c r="I680" s="5">
        <v>46135</v>
      </c>
      <c r="J680" s="3" t="s">
        <v>20</v>
      </c>
      <c r="K680" s="3" t="s">
        <v>21</v>
      </c>
      <c r="L680" s="3" t="s">
        <v>22</v>
      </c>
      <c r="M680" s="3">
        <v>0</v>
      </c>
    </row>
    <row r="681" spans="1:13" x14ac:dyDescent="0.25">
      <c r="A681" s="3" t="s">
        <v>716</v>
      </c>
      <c r="B681" s="3" t="s">
        <v>14</v>
      </c>
      <c r="C681" s="3" t="s">
        <v>15</v>
      </c>
      <c r="D681" s="3" t="s">
        <v>208</v>
      </c>
      <c r="E681" s="3" t="s">
        <v>209</v>
      </c>
      <c r="F681" s="3" t="s">
        <v>210</v>
      </c>
      <c r="G681" s="3" t="s">
        <v>142</v>
      </c>
      <c r="H681" s="5">
        <v>45680</v>
      </c>
      <c r="I681" s="7">
        <v>46169</v>
      </c>
      <c r="J681" s="3" t="s">
        <v>20</v>
      </c>
      <c r="K681" s="3" t="s">
        <v>24</v>
      </c>
      <c r="L681" s="3" t="s">
        <v>44</v>
      </c>
      <c r="M681" s="3">
        <v>489</v>
      </c>
    </row>
    <row r="682" spans="1:13" x14ac:dyDescent="0.25">
      <c r="A682" s="3" t="s">
        <v>717</v>
      </c>
      <c r="B682" s="3" t="s">
        <v>14</v>
      </c>
      <c r="C682" s="3" t="s">
        <v>15</v>
      </c>
      <c r="D682" s="3" t="s">
        <v>208</v>
      </c>
      <c r="E682" s="3" t="s">
        <v>209</v>
      </c>
      <c r="F682" s="3" t="s">
        <v>210</v>
      </c>
      <c r="G682" s="3" t="s">
        <v>142</v>
      </c>
      <c r="H682" s="5">
        <v>46196</v>
      </c>
      <c r="I682" s="6"/>
      <c r="J682" s="3" t="s">
        <v>27</v>
      </c>
      <c r="K682" s="6"/>
      <c r="L682" s="6"/>
      <c r="M682" s="3">
        <v>7</v>
      </c>
    </row>
    <row r="683" spans="1:13" x14ac:dyDescent="0.25">
      <c r="A683" s="3" t="s">
        <v>718</v>
      </c>
      <c r="B683" s="3" t="s">
        <v>14</v>
      </c>
      <c r="C683" s="3" t="s">
        <v>15</v>
      </c>
      <c r="D683" s="3" t="s">
        <v>208</v>
      </c>
      <c r="E683" s="3" t="s">
        <v>209</v>
      </c>
      <c r="F683" s="3" t="s">
        <v>210</v>
      </c>
      <c r="G683" s="3" t="s">
        <v>142</v>
      </c>
      <c r="H683" s="5">
        <v>46196</v>
      </c>
      <c r="I683" s="5">
        <v>46196</v>
      </c>
      <c r="J683" s="3" t="s">
        <v>20</v>
      </c>
      <c r="K683" s="3" t="s">
        <v>21</v>
      </c>
      <c r="L683" s="3" t="s">
        <v>37</v>
      </c>
      <c r="M683" s="3">
        <v>0</v>
      </c>
    </row>
    <row r="684" spans="1:13" x14ac:dyDescent="0.25">
      <c r="A684" s="3" t="s">
        <v>719</v>
      </c>
      <c r="B684" s="3" t="s">
        <v>14</v>
      </c>
      <c r="C684" s="3" t="s">
        <v>15</v>
      </c>
      <c r="D684" s="3" t="s">
        <v>208</v>
      </c>
      <c r="E684" s="3" t="s">
        <v>209</v>
      </c>
      <c r="F684" s="3" t="s">
        <v>210</v>
      </c>
      <c r="G684" s="3" t="s">
        <v>142</v>
      </c>
      <c r="H684" s="5">
        <v>45739</v>
      </c>
      <c r="I684" s="5">
        <v>46193</v>
      </c>
      <c r="J684" s="3" t="s">
        <v>20</v>
      </c>
      <c r="K684" s="3" t="s">
        <v>21</v>
      </c>
      <c r="L684" s="3" t="s">
        <v>30</v>
      </c>
      <c r="M684" s="3">
        <v>454</v>
      </c>
    </row>
    <row r="685" spans="1:13" x14ac:dyDescent="0.25">
      <c r="A685" s="3" t="s">
        <v>720</v>
      </c>
      <c r="B685" s="3" t="s">
        <v>14</v>
      </c>
      <c r="C685" s="3" t="s">
        <v>15</v>
      </c>
      <c r="D685" s="3" t="s">
        <v>208</v>
      </c>
      <c r="E685" s="3" t="s">
        <v>209</v>
      </c>
      <c r="F685" s="3" t="s">
        <v>210</v>
      </c>
      <c r="G685" s="3" t="s">
        <v>142</v>
      </c>
      <c r="H685" s="7">
        <v>45800</v>
      </c>
      <c r="I685" s="7">
        <v>46162</v>
      </c>
      <c r="J685" s="3" t="s">
        <v>20</v>
      </c>
      <c r="K685" s="3" t="s">
        <v>24</v>
      </c>
      <c r="L685" s="3" t="s">
        <v>25</v>
      </c>
      <c r="M685" s="3">
        <v>362</v>
      </c>
    </row>
    <row r="686" spans="1:13" x14ac:dyDescent="0.25">
      <c r="A686" s="3" t="s">
        <v>721</v>
      </c>
      <c r="B686" s="3" t="s">
        <v>14</v>
      </c>
      <c r="C686" s="3" t="s">
        <v>15</v>
      </c>
      <c r="D686" s="3" t="s">
        <v>208</v>
      </c>
      <c r="E686" s="3" t="s">
        <v>209</v>
      </c>
      <c r="F686" s="3" t="s">
        <v>210</v>
      </c>
      <c r="G686" s="3" t="s">
        <v>142</v>
      </c>
      <c r="H686" s="7">
        <v>45800</v>
      </c>
      <c r="I686" s="6"/>
      <c r="J686" s="3" t="s">
        <v>27</v>
      </c>
      <c r="K686" s="6"/>
      <c r="L686" s="6"/>
      <c r="M686" s="3">
        <v>403</v>
      </c>
    </row>
    <row r="687" spans="1:13" x14ac:dyDescent="0.25">
      <c r="A687" s="3" t="s">
        <v>722</v>
      </c>
      <c r="B687" s="3" t="s">
        <v>14</v>
      </c>
      <c r="C687" s="3" t="s">
        <v>15</v>
      </c>
      <c r="D687" s="3" t="s">
        <v>208</v>
      </c>
      <c r="E687" s="3" t="s">
        <v>209</v>
      </c>
      <c r="F687" s="3" t="s">
        <v>210</v>
      </c>
      <c r="G687" s="3" t="s">
        <v>142</v>
      </c>
      <c r="H687" s="5">
        <v>45893</v>
      </c>
      <c r="I687" s="7">
        <v>46159</v>
      </c>
      <c r="J687" s="3" t="s">
        <v>20</v>
      </c>
      <c r="K687" s="3" t="s">
        <v>24</v>
      </c>
      <c r="L687" s="3" t="s">
        <v>41</v>
      </c>
      <c r="M687" s="3">
        <v>266</v>
      </c>
    </row>
    <row r="688" spans="1:13" x14ac:dyDescent="0.25">
      <c r="A688" s="3" t="s">
        <v>723</v>
      </c>
      <c r="B688" s="3" t="s">
        <v>14</v>
      </c>
      <c r="C688" s="3" t="s">
        <v>15</v>
      </c>
      <c r="D688" s="3" t="s">
        <v>208</v>
      </c>
      <c r="E688" s="3" t="s">
        <v>209</v>
      </c>
      <c r="F688" s="3" t="s">
        <v>210</v>
      </c>
      <c r="G688" s="3" t="s">
        <v>142</v>
      </c>
      <c r="H688" s="5">
        <v>46015</v>
      </c>
      <c r="I688" s="6"/>
      <c r="J688" s="3" t="s">
        <v>27</v>
      </c>
      <c r="K688" s="6"/>
      <c r="L688" s="6"/>
      <c r="M688" s="3">
        <v>188</v>
      </c>
    </row>
    <row r="689" spans="1:13" x14ac:dyDescent="0.25">
      <c r="A689" s="3" t="s">
        <v>724</v>
      </c>
      <c r="B689" s="3" t="s">
        <v>14</v>
      </c>
      <c r="C689" s="3" t="s">
        <v>15</v>
      </c>
      <c r="D689" s="3" t="s">
        <v>208</v>
      </c>
      <c r="E689" s="3" t="s">
        <v>209</v>
      </c>
      <c r="F689" s="3" t="s">
        <v>210</v>
      </c>
      <c r="G689" s="3" t="s">
        <v>142</v>
      </c>
      <c r="H689" s="5">
        <v>46046</v>
      </c>
      <c r="I689" s="6"/>
      <c r="J689" s="3" t="s">
        <v>27</v>
      </c>
      <c r="K689" s="6"/>
      <c r="L689" s="6"/>
      <c r="M689" s="3">
        <v>157</v>
      </c>
    </row>
    <row r="690" spans="1:13" x14ac:dyDescent="0.25">
      <c r="A690" s="3" t="s">
        <v>725</v>
      </c>
      <c r="B690" s="3" t="s">
        <v>14</v>
      </c>
      <c r="C690" s="3" t="s">
        <v>15</v>
      </c>
      <c r="D690" s="3" t="s">
        <v>208</v>
      </c>
      <c r="E690" s="3" t="s">
        <v>209</v>
      </c>
      <c r="F690" s="3" t="s">
        <v>210</v>
      </c>
      <c r="G690" s="3" t="s">
        <v>142</v>
      </c>
      <c r="H690" s="5">
        <v>45832</v>
      </c>
      <c r="I690" s="6"/>
      <c r="J690" s="3" t="s">
        <v>27</v>
      </c>
      <c r="K690" s="6"/>
      <c r="L690" s="6"/>
      <c r="M690" s="3">
        <v>371</v>
      </c>
    </row>
    <row r="691" spans="1:13" x14ac:dyDescent="0.25">
      <c r="A691" s="3" t="s">
        <v>726</v>
      </c>
      <c r="B691" s="3" t="s">
        <v>14</v>
      </c>
      <c r="C691" s="3" t="s">
        <v>15</v>
      </c>
      <c r="D691" s="3" t="s">
        <v>208</v>
      </c>
      <c r="E691" s="3" t="s">
        <v>209</v>
      </c>
      <c r="F691" s="3" t="s">
        <v>210</v>
      </c>
      <c r="G691" s="3" t="s">
        <v>142</v>
      </c>
      <c r="H691" s="5">
        <v>46197</v>
      </c>
      <c r="I691" s="6"/>
      <c r="J691" s="3" t="s">
        <v>27</v>
      </c>
      <c r="K691" s="6"/>
      <c r="L691" s="6"/>
      <c r="M691" s="3">
        <v>6</v>
      </c>
    </row>
    <row r="692" spans="1:13" x14ac:dyDescent="0.25">
      <c r="A692" s="3" t="s">
        <v>727</v>
      </c>
      <c r="B692" s="3" t="s">
        <v>14</v>
      </c>
      <c r="C692" s="3" t="s">
        <v>15</v>
      </c>
      <c r="D692" s="3" t="s">
        <v>208</v>
      </c>
      <c r="E692" s="3" t="s">
        <v>209</v>
      </c>
      <c r="F692" s="3" t="s">
        <v>210</v>
      </c>
      <c r="G692" s="3" t="s">
        <v>142</v>
      </c>
      <c r="H692" s="7">
        <v>46166</v>
      </c>
      <c r="I692" s="7">
        <v>46166</v>
      </c>
      <c r="J692" s="3" t="s">
        <v>20</v>
      </c>
      <c r="K692" s="3" t="s">
        <v>21</v>
      </c>
      <c r="L692" s="3" t="s">
        <v>61</v>
      </c>
      <c r="M692" s="3">
        <v>0</v>
      </c>
    </row>
    <row r="693" spans="1:13" x14ac:dyDescent="0.25">
      <c r="A693" s="3" t="s">
        <v>728</v>
      </c>
      <c r="B693" s="3" t="s">
        <v>14</v>
      </c>
      <c r="C693" s="3" t="s">
        <v>15</v>
      </c>
      <c r="D693" s="3" t="s">
        <v>208</v>
      </c>
      <c r="E693" s="3" t="s">
        <v>209</v>
      </c>
      <c r="F693" s="3" t="s">
        <v>210</v>
      </c>
      <c r="G693" s="3" t="s">
        <v>142</v>
      </c>
      <c r="H693" s="5">
        <v>45985</v>
      </c>
      <c r="I693" s="5">
        <v>46195</v>
      </c>
      <c r="J693" s="3" t="s">
        <v>20</v>
      </c>
      <c r="K693" s="3" t="s">
        <v>24</v>
      </c>
      <c r="L693" s="3" t="s">
        <v>44</v>
      </c>
      <c r="M693" s="3">
        <v>210</v>
      </c>
    </row>
    <row r="694" spans="1:13" x14ac:dyDescent="0.25">
      <c r="A694" s="3" t="s">
        <v>729</v>
      </c>
      <c r="B694" s="3" t="s">
        <v>14</v>
      </c>
      <c r="C694" s="3" t="s">
        <v>15</v>
      </c>
      <c r="D694" s="3" t="s">
        <v>208</v>
      </c>
      <c r="E694" s="3" t="s">
        <v>209</v>
      </c>
      <c r="F694" s="3" t="s">
        <v>210</v>
      </c>
      <c r="G694" s="3" t="s">
        <v>142</v>
      </c>
      <c r="H694" s="5">
        <v>45772</v>
      </c>
      <c r="I694" s="4">
        <v>46120</v>
      </c>
      <c r="J694" s="3" t="s">
        <v>20</v>
      </c>
      <c r="K694" s="3" t="s">
        <v>24</v>
      </c>
      <c r="L694" s="3" t="s">
        <v>55</v>
      </c>
      <c r="M694" s="3">
        <v>348</v>
      </c>
    </row>
    <row r="695" spans="1:13" x14ac:dyDescent="0.25">
      <c r="A695" s="3" t="s">
        <v>730</v>
      </c>
      <c r="B695" s="3" t="s">
        <v>14</v>
      </c>
      <c r="C695" s="3" t="s">
        <v>15</v>
      </c>
      <c r="D695" s="3" t="s">
        <v>208</v>
      </c>
      <c r="E695" s="3" t="s">
        <v>209</v>
      </c>
      <c r="F695" s="3" t="s">
        <v>210</v>
      </c>
      <c r="G695" s="3" t="s">
        <v>142</v>
      </c>
      <c r="H695" s="5">
        <v>46137</v>
      </c>
      <c r="I695" s="6"/>
      <c r="J695" s="3" t="s">
        <v>27</v>
      </c>
      <c r="K695" s="6"/>
      <c r="L695" s="6"/>
      <c r="M695" s="3">
        <v>66</v>
      </c>
    </row>
    <row r="696" spans="1:13" x14ac:dyDescent="0.25">
      <c r="A696" s="3" t="s">
        <v>731</v>
      </c>
      <c r="B696" s="3" t="s">
        <v>14</v>
      </c>
      <c r="C696" s="3" t="s">
        <v>15</v>
      </c>
      <c r="D696" s="3" t="s">
        <v>208</v>
      </c>
      <c r="E696" s="3" t="s">
        <v>209</v>
      </c>
      <c r="F696" s="3" t="s">
        <v>210</v>
      </c>
      <c r="G696" s="3" t="s">
        <v>142</v>
      </c>
      <c r="H696" s="5">
        <v>46017</v>
      </c>
      <c r="I696" s="6"/>
      <c r="J696" s="3" t="s">
        <v>27</v>
      </c>
      <c r="K696" s="6"/>
      <c r="L696" s="6"/>
      <c r="M696" s="3">
        <v>186</v>
      </c>
    </row>
    <row r="697" spans="1:13" x14ac:dyDescent="0.25">
      <c r="A697" s="3" t="s">
        <v>732</v>
      </c>
      <c r="B697" s="3" t="s">
        <v>14</v>
      </c>
      <c r="C697" s="3" t="s">
        <v>15</v>
      </c>
      <c r="D697" s="3" t="s">
        <v>208</v>
      </c>
      <c r="E697" s="3" t="s">
        <v>209</v>
      </c>
      <c r="F697" s="3" t="s">
        <v>210</v>
      </c>
      <c r="G697" s="3" t="s">
        <v>142</v>
      </c>
      <c r="H697" s="5">
        <v>46048</v>
      </c>
      <c r="I697" s="8">
        <v>46144</v>
      </c>
      <c r="J697" s="3" t="s">
        <v>20</v>
      </c>
      <c r="K697" s="3" t="s">
        <v>24</v>
      </c>
      <c r="L697" s="3" t="s">
        <v>55</v>
      </c>
      <c r="M697" s="3">
        <v>96</v>
      </c>
    </row>
    <row r="698" spans="1:13" x14ac:dyDescent="0.25">
      <c r="A698" s="3" t="s">
        <v>733</v>
      </c>
      <c r="B698" s="3" t="s">
        <v>14</v>
      </c>
      <c r="C698" s="3" t="s">
        <v>15</v>
      </c>
      <c r="D698" s="3" t="s">
        <v>208</v>
      </c>
      <c r="E698" s="3" t="s">
        <v>209</v>
      </c>
      <c r="F698" s="3" t="s">
        <v>210</v>
      </c>
      <c r="G698" s="3" t="s">
        <v>142</v>
      </c>
      <c r="H698" s="5">
        <v>45834</v>
      </c>
      <c r="I698" s="6"/>
      <c r="J698" s="3" t="s">
        <v>27</v>
      </c>
      <c r="K698" s="6"/>
      <c r="L698" s="6"/>
      <c r="M698" s="3">
        <v>369</v>
      </c>
    </row>
    <row r="699" spans="1:13" x14ac:dyDescent="0.25">
      <c r="A699" s="3" t="s">
        <v>734</v>
      </c>
      <c r="B699" s="3" t="s">
        <v>14</v>
      </c>
      <c r="C699" s="3" t="s">
        <v>15</v>
      </c>
      <c r="D699" s="3" t="s">
        <v>208</v>
      </c>
      <c r="E699" s="3" t="s">
        <v>209</v>
      </c>
      <c r="F699" s="3" t="s">
        <v>210</v>
      </c>
      <c r="G699" s="3" t="s">
        <v>142</v>
      </c>
      <c r="H699" s="7">
        <v>46168</v>
      </c>
      <c r="I699" s="6"/>
      <c r="J699" s="3" t="s">
        <v>27</v>
      </c>
      <c r="K699" s="6"/>
      <c r="L699" s="6"/>
      <c r="M699" s="3">
        <v>35</v>
      </c>
    </row>
    <row r="700" spans="1:13" x14ac:dyDescent="0.25">
      <c r="A700" s="3" t="s">
        <v>735</v>
      </c>
      <c r="B700" s="3" t="s">
        <v>14</v>
      </c>
      <c r="C700" s="3" t="s">
        <v>15</v>
      </c>
      <c r="D700" s="3" t="s">
        <v>208</v>
      </c>
      <c r="E700" s="3" t="s">
        <v>209</v>
      </c>
      <c r="F700" s="3" t="s">
        <v>210</v>
      </c>
      <c r="G700" s="3" t="s">
        <v>142</v>
      </c>
      <c r="H700" s="7">
        <v>46168</v>
      </c>
      <c r="I700" s="7">
        <v>46168</v>
      </c>
      <c r="J700" s="3" t="s">
        <v>20</v>
      </c>
      <c r="K700" s="3" t="s">
        <v>21</v>
      </c>
      <c r="L700" s="3" t="s">
        <v>33</v>
      </c>
      <c r="M700" s="3">
        <v>0</v>
      </c>
    </row>
    <row r="701" spans="1:13" x14ac:dyDescent="0.25">
      <c r="A701" s="3" t="s">
        <v>736</v>
      </c>
      <c r="B701" s="3" t="s">
        <v>14</v>
      </c>
      <c r="C701" s="3" t="s">
        <v>15</v>
      </c>
      <c r="D701" s="3" t="s">
        <v>208</v>
      </c>
      <c r="E701" s="3" t="s">
        <v>209</v>
      </c>
      <c r="F701" s="3" t="s">
        <v>210</v>
      </c>
      <c r="G701" s="3" t="s">
        <v>142</v>
      </c>
      <c r="H701" s="5">
        <v>46139</v>
      </c>
      <c r="I701" s="5">
        <v>46139</v>
      </c>
      <c r="J701" s="3" t="s">
        <v>20</v>
      </c>
      <c r="K701" s="3" t="s">
        <v>21</v>
      </c>
      <c r="L701" s="3" t="s">
        <v>33</v>
      </c>
      <c r="M701" s="3">
        <v>0</v>
      </c>
    </row>
    <row r="702" spans="1:13" x14ac:dyDescent="0.25">
      <c r="A702" s="3" t="s">
        <v>737</v>
      </c>
      <c r="B702" s="3" t="s">
        <v>14</v>
      </c>
      <c r="C702" s="3" t="s">
        <v>15</v>
      </c>
      <c r="D702" s="3" t="s">
        <v>208</v>
      </c>
      <c r="E702" s="3" t="s">
        <v>209</v>
      </c>
      <c r="F702" s="3" t="s">
        <v>210</v>
      </c>
      <c r="G702" s="3" t="s">
        <v>142</v>
      </c>
      <c r="H702" s="5">
        <v>45715</v>
      </c>
      <c r="I702" s="5">
        <v>46125</v>
      </c>
      <c r="J702" s="3" t="s">
        <v>20</v>
      </c>
      <c r="K702" s="3" t="s">
        <v>21</v>
      </c>
      <c r="L702" s="3" t="s">
        <v>30</v>
      </c>
      <c r="M702" s="3">
        <v>410</v>
      </c>
    </row>
    <row r="703" spans="1:13" x14ac:dyDescent="0.25">
      <c r="A703" s="3" t="s">
        <v>738</v>
      </c>
      <c r="B703" s="3" t="s">
        <v>14</v>
      </c>
      <c r="C703" s="3" t="s">
        <v>15</v>
      </c>
      <c r="D703" s="3" t="s">
        <v>208</v>
      </c>
      <c r="E703" s="3" t="s">
        <v>209</v>
      </c>
      <c r="F703" s="3" t="s">
        <v>210</v>
      </c>
      <c r="G703" s="3" t="s">
        <v>142</v>
      </c>
      <c r="H703" s="5">
        <v>46200</v>
      </c>
      <c r="I703" s="6"/>
      <c r="J703" s="3" t="s">
        <v>27</v>
      </c>
      <c r="K703" s="6"/>
      <c r="L703" s="6"/>
      <c r="M703" s="3">
        <v>3</v>
      </c>
    </row>
    <row r="704" spans="1:13" x14ac:dyDescent="0.25">
      <c r="A704" s="3" t="s">
        <v>739</v>
      </c>
      <c r="B704" s="3" t="s">
        <v>14</v>
      </c>
      <c r="C704" s="3" t="s">
        <v>15</v>
      </c>
      <c r="D704" s="3" t="s">
        <v>208</v>
      </c>
      <c r="E704" s="3" t="s">
        <v>209</v>
      </c>
      <c r="F704" s="3" t="s">
        <v>210</v>
      </c>
      <c r="G704" s="3" t="s">
        <v>142</v>
      </c>
      <c r="H704" s="5">
        <v>46140</v>
      </c>
      <c r="I704" s="5">
        <v>46140</v>
      </c>
      <c r="J704" s="3" t="s">
        <v>20</v>
      </c>
      <c r="K704" s="3" t="s">
        <v>21</v>
      </c>
      <c r="L704" s="3" t="s">
        <v>37</v>
      </c>
      <c r="M704" s="3">
        <v>0</v>
      </c>
    </row>
    <row r="705" spans="1:13" x14ac:dyDescent="0.25">
      <c r="A705" s="3" t="s">
        <v>740</v>
      </c>
      <c r="B705" s="3" t="s">
        <v>14</v>
      </c>
      <c r="C705" s="3" t="s">
        <v>15</v>
      </c>
      <c r="D705" s="3" t="s">
        <v>208</v>
      </c>
      <c r="E705" s="3" t="s">
        <v>209</v>
      </c>
      <c r="F705" s="3" t="s">
        <v>210</v>
      </c>
      <c r="G705" s="3" t="s">
        <v>142</v>
      </c>
      <c r="H705" s="5">
        <v>46140</v>
      </c>
      <c r="I705" s="5">
        <v>46140</v>
      </c>
      <c r="J705" s="3" t="s">
        <v>20</v>
      </c>
      <c r="K705" s="3" t="s">
        <v>21</v>
      </c>
      <c r="L705" s="3" t="s">
        <v>37</v>
      </c>
      <c r="M705" s="3">
        <v>0</v>
      </c>
    </row>
    <row r="706" spans="1:13" x14ac:dyDescent="0.25">
      <c r="A706" s="3" t="s">
        <v>741</v>
      </c>
      <c r="B706" s="3" t="s">
        <v>14</v>
      </c>
      <c r="C706" s="3" t="s">
        <v>15</v>
      </c>
      <c r="D706" s="3" t="s">
        <v>208</v>
      </c>
      <c r="E706" s="3" t="s">
        <v>209</v>
      </c>
      <c r="F706" s="3" t="s">
        <v>210</v>
      </c>
      <c r="G706" s="3" t="s">
        <v>142</v>
      </c>
      <c r="H706" s="7">
        <v>46170</v>
      </c>
      <c r="I706" s="6"/>
      <c r="J706" s="3" t="s">
        <v>27</v>
      </c>
      <c r="K706" s="6"/>
      <c r="L706" s="6"/>
      <c r="M706" s="3">
        <v>33</v>
      </c>
    </row>
    <row r="707" spans="1:13" x14ac:dyDescent="0.25">
      <c r="A707" s="3" t="s">
        <v>742</v>
      </c>
      <c r="B707" s="3" t="s">
        <v>14</v>
      </c>
      <c r="C707" s="3" t="s">
        <v>15</v>
      </c>
      <c r="D707" s="3" t="s">
        <v>208</v>
      </c>
      <c r="E707" s="3" t="s">
        <v>209</v>
      </c>
      <c r="F707" s="3" t="s">
        <v>210</v>
      </c>
      <c r="G707" s="3" t="s">
        <v>142</v>
      </c>
      <c r="H707" s="5">
        <v>46202</v>
      </c>
      <c r="I707" s="5">
        <v>46202</v>
      </c>
      <c r="J707" s="3" t="s">
        <v>20</v>
      </c>
      <c r="K707" s="3" t="s">
        <v>21</v>
      </c>
      <c r="L707" s="3" t="s">
        <v>33</v>
      </c>
      <c r="M707" s="3">
        <v>0</v>
      </c>
    </row>
    <row r="708" spans="1:13" x14ac:dyDescent="0.25">
      <c r="A708" s="3" t="s">
        <v>743</v>
      </c>
      <c r="B708" s="3" t="s">
        <v>14</v>
      </c>
      <c r="C708" s="3" t="s">
        <v>15</v>
      </c>
      <c r="D708" s="3" t="s">
        <v>208</v>
      </c>
      <c r="E708" s="3" t="s">
        <v>209</v>
      </c>
      <c r="F708" s="3" t="s">
        <v>210</v>
      </c>
      <c r="G708" s="3" t="s">
        <v>142</v>
      </c>
      <c r="H708" s="5">
        <v>46202</v>
      </c>
      <c r="I708" s="6"/>
      <c r="J708" s="3" t="s">
        <v>27</v>
      </c>
      <c r="K708" s="6"/>
      <c r="L708" s="6"/>
      <c r="M708" s="3">
        <v>1</v>
      </c>
    </row>
    <row r="709" spans="1:13" x14ac:dyDescent="0.25">
      <c r="A709" s="3" t="s">
        <v>744</v>
      </c>
      <c r="B709" s="3" t="s">
        <v>14</v>
      </c>
      <c r="C709" s="3" t="s">
        <v>15</v>
      </c>
      <c r="D709" s="3" t="s">
        <v>208</v>
      </c>
      <c r="E709" s="3" t="s">
        <v>209</v>
      </c>
      <c r="F709" s="3" t="s">
        <v>210</v>
      </c>
      <c r="G709" s="3" t="s">
        <v>142</v>
      </c>
      <c r="H709" s="7">
        <v>46171</v>
      </c>
      <c r="I709" s="6"/>
      <c r="J709" s="3" t="s">
        <v>27</v>
      </c>
      <c r="K709" s="6"/>
      <c r="L709" s="6"/>
      <c r="M709" s="3">
        <v>32</v>
      </c>
    </row>
    <row r="710" spans="1:13" x14ac:dyDescent="0.25">
      <c r="A710" s="3" t="s">
        <v>745</v>
      </c>
      <c r="B710" s="3" t="s">
        <v>14</v>
      </c>
      <c r="C710" s="3" t="s">
        <v>15</v>
      </c>
      <c r="D710" s="3" t="s">
        <v>208</v>
      </c>
      <c r="E710" s="3" t="s">
        <v>209</v>
      </c>
      <c r="F710" s="3" t="s">
        <v>210</v>
      </c>
      <c r="G710" s="3" t="s">
        <v>142</v>
      </c>
      <c r="H710" s="5">
        <v>45990</v>
      </c>
      <c r="I710" s="4">
        <v>46176</v>
      </c>
      <c r="J710" s="3" t="s">
        <v>20</v>
      </c>
      <c r="K710" s="3" t="s">
        <v>24</v>
      </c>
      <c r="L710" s="3" t="s">
        <v>25</v>
      </c>
      <c r="M710" s="3">
        <v>186</v>
      </c>
    </row>
    <row r="711" spans="1:13" x14ac:dyDescent="0.25">
      <c r="A711" s="3" t="s">
        <v>746</v>
      </c>
      <c r="B711" s="3" t="s">
        <v>14</v>
      </c>
      <c r="C711" s="3" t="s">
        <v>15</v>
      </c>
      <c r="D711" s="3" t="s">
        <v>208</v>
      </c>
      <c r="E711" s="3" t="s">
        <v>209</v>
      </c>
      <c r="F711" s="3" t="s">
        <v>210</v>
      </c>
      <c r="G711" s="3" t="s">
        <v>142</v>
      </c>
      <c r="H711" s="5">
        <v>45959</v>
      </c>
      <c r="I711" s="7">
        <v>46153</v>
      </c>
      <c r="J711" s="3" t="s">
        <v>20</v>
      </c>
      <c r="K711" s="3" t="s">
        <v>24</v>
      </c>
      <c r="L711" s="3" t="s">
        <v>25</v>
      </c>
      <c r="M711" s="3">
        <v>194</v>
      </c>
    </row>
    <row r="712" spans="1:13" x14ac:dyDescent="0.25">
      <c r="A712" s="3" t="s">
        <v>747</v>
      </c>
      <c r="B712" s="3" t="s">
        <v>14</v>
      </c>
      <c r="C712" s="3" t="s">
        <v>15</v>
      </c>
      <c r="D712" s="3" t="s">
        <v>208</v>
      </c>
      <c r="E712" s="3" t="s">
        <v>209</v>
      </c>
      <c r="F712" s="3" t="s">
        <v>210</v>
      </c>
      <c r="G712" s="3" t="s">
        <v>142</v>
      </c>
      <c r="H712" s="5">
        <v>45777</v>
      </c>
      <c r="I712" s="7">
        <v>46171</v>
      </c>
      <c r="J712" s="3" t="s">
        <v>20</v>
      </c>
      <c r="K712" s="3" t="s">
        <v>24</v>
      </c>
      <c r="L712" s="3" t="s">
        <v>55</v>
      </c>
      <c r="M712" s="3">
        <v>394</v>
      </c>
    </row>
    <row r="713" spans="1:13" x14ac:dyDescent="0.25">
      <c r="A713" s="3" t="s">
        <v>748</v>
      </c>
      <c r="B713" s="3" t="s">
        <v>14</v>
      </c>
      <c r="C713" s="3" t="s">
        <v>15</v>
      </c>
      <c r="D713" s="3" t="s">
        <v>208</v>
      </c>
      <c r="E713" s="3" t="s">
        <v>209</v>
      </c>
      <c r="F713" s="3" t="s">
        <v>210</v>
      </c>
      <c r="G713" s="3" t="s">
        <v>142</v>
      </c>
      <c r="H713" s="5">
        <v>46111</v>
      </c>
      <c r="I713" s="6"/>
      <c r="J713" s="3" t="s">
        <v>27</v>
      </c>
      <c r="K713" s="6"/>
      <c r="L713" s="6"/>
      <c r="M713" s="3">
        <v>92</v>
      </c>
    </row>
    <row r="714" spans="1:13" x14ac:dyDescent="0.25">
      <c r="A714" s="3" t="s">
        <v>749</v>
      </c>
      <c r="B714" s="3" t="s">
        <v>14</v>
      </c>
      <c r="C714" s="3" t="s">
        <v>15</v>
      </c>
      <c r="D714" s="3" t="s">
        <v>208</v>
      </c>
      <c r="E714" s="3" t="s">
        <v>209</v>
      </c>
      <c r="F714" s="3" t="s">
        <v>210</v>
      </c>
      <c r="G714" s="3" t="s">
        <v>142</v>
      </c>
      <c r="H714" s="7">
        <v>46172</v>
      </c>
      <c r="I714" s="6"/>
      <c r="J714" s="3" t="s">
        <v>27</v>
      </c>
      <c r="K714" s="6"/>
      <c r="L714" s="6"/>
      <c r="M714" s="3">
        <v>31</v>
      </c>
    </row>
    <row r="715" spans="1:13" x14ac:dyDescent="0.25">
      <c r="A715" s="3" t="s">
        <v>750</v>
      </c>
      <c r="B715" s="3" t="s">
        <v>14</v>
      </c>
      <c r="C715" s="3" t="s">
        <v>15</v>
      </c>
      <c r="D715" s="3" t="s">
        <v>208</v>
      </c>
      <c r="E715" s="3" t="s">
        <v>209</v>
      </c>
      <c r="F715" s="3" t="s">
        <v>210</v>
      </c>
      <c r="G715" s="3" t="s">
        <v>142</v>
      </c>
      <c r="H715" s="5">
        <v>45960</v>
      </c>
      <c r="I715" s="6"/>
      <c r="J715" s="3" t="s">
        <v>27</v>
      </c>
      <c r="K715" s="6"/>
      <c r="L715" s="6"/>
      <c r="M715" s="3">
        <v>243</v>
      </c>
    </row>
    <row r="716" spans="1:13" x14ac:dyDescent="0.25">
      <c r="A716" s="3" t="s">
        <v>751</v>
      </c>
      <c r="B716" s="3" t="s">
        <v>14</v>
      </c>
      <c r="C716" s="3" t="s">
        <v>15</v>
      </c>
      <c r="D716" s="3" t="s">
        <v>208</v>
      </c>
      <c r="E716" s="3" t="s">
        <v>209</v>
      </c>
      <c r="F716" s="3" t="s">
        <v>210</v>
      </c>
      <c r="G716" s="3" t="s">
        <v>142</v>
      </c>
      <c r="H716" s="7">
        <v>45808</v>
      </c>
      <c r="I716" s="7">
        <v>46173</v>
      </c>
      <c r="J716" s="3" t="s">
        <v>20</v>
      </c>
      <c r="K716" s="3" t="s">
        <v>24</v>
      </c>
      <c r="L716" s="3" t="s">
        <v>25</v>
      </c>
      <c r="M716" s="3">
        <v>365</v>
      </c>
    </row>
    <row r="717" spans="1:13" x14ac:dyDescent="0.25">
      <c r="A717" s="3" t="s">
        <v>752</v>
      </c>
      <c r="B717" s="3" t="s">
        <v>14</v>
      </c>
      <c r="C717" s="3" t="s">
        <v>15</v>
      </c>
      <c r="D717" s="3" t="s">
        <v>753</v>
      </c>
      <c r="E717" s="3" t="s">
        <v>754</v>
      </c>
      <c r="F717" s="3" t="s">
        <v>755</v>
      </c>
      <c r="G717" s="3" t="s">
        <v>19</v>
      </c>
      <c r="H717" s="4">
        <v>45962</v>
      </c>
      <c r="I717" s="6"/>
      <c r="J717" s="3" t="s">
        <v>27</v>
      </c>
      <c r="K717" s="6"/>
      <c r="L717" s="6"/>
      <c r="M717" s="3">
        <v>241</v>
      </c>
    </row>
    <row r="718" spans="1:13" x14ac:dyDescent="0.25">
      <c r="A718" s="3" t="s">
        <v>756</v>
      </c>
      <c r="B718" s="3" t="s">
        <v>14</v>
      </c>
      <c r="C718" s="3" t="s">
        <v>15</v>
      </c>
      <c r="D718" s="3" t="s">
        <v>753</v>
      </c>
      <c r="E718" s="3" t="s">
        <v>754</v>
      </c>
      <c r="F718" s="3" t="s">
        <v>755</v>
      </c>
      <c r="G718" s="3" t="s">
        <v>19</v>
      </c>
      <c r="H718" s="4">
        <v>46114</v>
      </c>
      <c r="I718" s="4">
        <v>46119</v>
      </c>
      <c r="J718" s="3" t="s">
        <v>20</v>
      </c>
      <c r="K718" s="3" t="s">
        <v>21</v>
      </c>
      <c r="L718" s="3" t="s">
        <v>37</v>
      </c>
      <c r="M718" s="3">
        <v>5</v>
      </c>
    </row>
    <row r="719" spans="1:13" x14ac:dyDescent="0.25">
      <c r="A719" s="3" t="s">
        <v>757</v>
      </c>
      <c r="B719" s="3" t="s">
        <v>14</v>
      </c>
      <c r="C719" s="3" t="s">
        <v>15</v>
      </c>
      <c r="D719" s="3" t="s">
        <v>753</v>
      </c>
      <c r="E719" s="3" t="s">
        <v>754</v>
      </c>
      <c r="F719" s="3" t="s">
        <v>755</v>
      </c>
      <c r="G719" s="3" t="s">
        <v>19</v>
      </c>
      <c r="H719" s="4">
        <v>46055</v>
      </c>
      <c r="I719" s="6"/>
      <c r="J719" s="3" t="s">
        <v>27</v>
      </c>
      <c r="K719" s="6"/>
      <c r="L719" s="6"/>
      <c r="M719" s="3">
        <v>148</v>
      </c>
    </row>
    <row r="720" spans="1:13" x14ac:dyDescent="0.25">
      <c r="A720" s="3" t="s">
        <v>758</v>
      </c>
      <c r="B720" s="3" t="s">
        <v>14</v>
      </c>
      <c r="C720" s="3" t="s">
        <v>15</v>
      </c>
      <c r="D720" s="3" t="s">
        <v>753</v>
      </c>
      <c r="E720" s="3" t="s">
        <v>754</v>
      </c>
      <c r="F720" s="3" t="s">
        <v>755</v>
      </c>
      <c r="G720" s="3" t="s">
        <v>19</v>
      </c>
      <c r="H720" s="4">
        <v>45964</v>
      </c>
      <c r="I720" s="6"/>
      <c r="J720" s="3" t="s">
        <v>27</v>
      </c>
      <c r="K720" s="6"/>
      <c r="L720" s="6"/>
      <c r="M720" s="3">
        <v>239</v>
      </c>
    </row>
    <row r="721" spans="1:13" x14ac:dyDescent="0.25">
      <c r="A721" s="3" t="s">
        <v>759</v>
      </c>
      <c r="B721" s="3" t="s">
        <v>14</v>
      </c>
      <c r="C721" s="3" t="s">
        <v>15</v>
      </c>
      <c r="D721" s="3" t="s">
        <v>753</v>
      </c>
      <c r="E721" s="3" t="s">
        <v>754</v>
      </c>
      <c r="F721" s="3" t="s">
        <v>755</v>
      </c>
      <c r="G721" s="3" t="s">
        <v>19</v>
      </c>
      <c r="H721" s="4">
        <v>45692</v>
      </c>
      <c r="I721" s="5">
        <v>46127</v>
      </c>
      <c r="J721" s="3" t="s">
        <v>20</v>
      </c>
      <c r="K721" s="3" t="s">
        <v>24</v>
      </c>
      <c r="L721" s="3" t="s">
        <v>55</v>
      </c>
      <c r="M721" s="3">
        <v>435</v>
      </c>
    </row>
    <row r="722" spans="1:13" x14ac:dyDescent="0.25">
      <c r="A722" s="3" t="s">
        <v>760</v>
      </c>
      <c r="B722" s="3" t="s">
        <v>14</v>
      </c>
      <c r="C722" s="3" t="s">
        <v>15</v>
      </c>
      <c r="D722" s="3" t="s">
        <v>753</v>
      </c>
      <c r="E722" s="3" t="s">
        <v>754</v>
      </c>
      <c r="F722" s="3" t="s">
        <v>755</v>
      </c>
      <c r="G722" s="3" t="s">
        <v>19</v>
      </c>
      <c r="H722" s="4">
        <v>46177</v>
      </c>
      <c r="I722" s="6"/>
      <c r="J722" s="3" t="s">
        <v>27</v>
      </c>
      <c r="K722" s="6"/>
      <c r="L722" s="6"/>
      <c r="M722" s="3">
        <v>26</v>
      </c>
    </row>
    <row r="723" spans="1:13" x14ac:dyDescent="0.25">
      <c r="A723" s="3" t="s">
        <v>761</v>
      </c>
      <c r="B723" s="3" t="s">
        <v>14</v>
      </c>
      <c r="C723" s="3" t="s">
        <v>15</v>
      </c>
      <c r="D723" s="3" t="s">
        <v>753</v>
      </c>
      <c r="E723" s="3" t="s">
        <v>754</v>
      </c>
      <c r="F723" s="3" t="s">
        <v>755</v>
      </c>
      <c r="G723" s="3" t="s">
        <v>19</v>
      </c>
      <c r="H723" s="4">
        <v>46177</v>
      </c>
      <c r="I723" s="5">
        <v>46203</v>
      </c>
      <c r="J723" s="3" t="s">
        <v>20</v>
      </c>
      <c r="K723" s="3" t="s">
        <v>21</v>
      </c>
      <c r="L723" s="3" t="s">
        <v>50</v>
      </c>
      <c r="M723" s="3">
        <v>26</v>
      </c>
    </row>
    <row r="724" spans="1:13" x14ac:dyDescent="0.25">
      <c r="A724" s="3" t="s">
        <v>762</v>
      </c>
      <c r="B724" s="3" t="s">
        <v>14</v>
      </c>
      <c r="C724" s="3" t="s">
        <v>15</v>
      </c>
      <c r="D724" s="3" t="s">
        <v>753</v>
      </c>
      <c r="E724" s="3" t="s">
        <v>754</v>
      </c>
      <c r="F724" s="3" t="s">
        <v>755</v>
      </c>
      <c r="G724" s="3" t="s">
        <v>19</v>
      </c>
      <c r="H724" s="8">
        <v>45781</v>
      </c>
      <c r="I724" s="5">
        <v>46124</v>
      </c>
      <c r="J724" s="3" t="s">
        <v>20</v>
      </c>
      <c r="K724" s="3" t="s">
        <v>24</v>
      </c>
      <c r="L724" s="3" t="s">
        <v>41</v>
      </c>
      <c r="M724" s="3">
        <v>343</v>
      </c>
    </row>
    <row r="725" spans="1:13" x14ac:dyDescent="0.25">
      <c r="A725" s="3" t="s">
        <v>763</v>
      </c>
      <c r="B725" s="3" t="s">
        <v>14</v>
      </c>
      <c r="C725" s="3" t="s">
        <v>15</v>
      </c>
      <c r="D725" s="3" t="s">
        <v>753</v>
      </c>
      <c r="E725" s="3" t="s">
        <v>754</v>
      </c>
      <c r="F725" s="3" t="s">
        <v>755</v>
      </c>
      <c r="G725" s="3" t="s">
        <v>19</v>
      </c>
      <c r="H725" s="4">
        <v>45934</v>
      </c>
      <c r="I725" s="5">
        <v>46130</v>
      </c>
      <c r="J725" s="3" t="s">
        <v>20</v>
      </c>
      <c r="K725" s="3" t="s">
        <v>24</v>
      </c>
      <c r="L725" s="3" t="s">
        <v>44</v>
      </c>
      <c r="M725" s="3">
        <v>196</v>
      </c>
    </row>
    <row r="726" spans="1:13" x14ac:dyDescent="0.25">
      <c r="A726" s="3" t="s">
        <v>764</v>
      </c>
      <c r="B726" s="3" t="s">
        <v>14</v>
      </c>
      <c r="C726" s="3" t="s">
        <v>15</v>
      </c>
      <c r="D726" s="3" t="s">
        <v>753</v>
      </c>
      <c r="E726" s="3" t="s">
        <v>754</v>
      </c>
      <c r="F726" s="3" t="s">
        <v>755</v>
      </c>
      <c r="G726" s="3" t="s">
        <v>19</v>
      </c>
      <c r="H726" s="4">
        <v>46117</v>
      </c>
      <c r="I726" s="6"/>
      <c r="J726" s="3" t="s">
        <v>27</v>
      </c>
      <c r="K726" s="6"/>
      <c r="L726" s="6"/>
      <c r="M726" s="3">
        <v>86</v>
      </c>
    </row>
    <row r="727" spans="1:13" x14ac:dyDescent="0.25">
      <c r="A727" s="3" t="s">
        <v>765</v>
      </c>
      <c r="B727" s="3" t="s">
        <v>14</v>
      </c>
      <c r="C727" s="3" t="s">
        <v>15</v>
      </c>
      <c r="D727" s="3" t="s">
        <v>753</v>
      </c>
      <c r="E727" s="3" t="s">
        <v>754</v>
      </c>
      <c r="F727" s="3" t="s">
        <v>755</v>
      </c>
      <c r="G727" s="3" t="s">
        <v>19</v>
      </c>
      <c r="H727" s="4">
        <v>46178</v>
      </c>
      <c r="I727" s="4">
        <v>46179</v>
      </c>
      <c r="J727" s="3" t="s">
        <v>20</v>
      </c>
      <c r="K727" s="3" t="s">
        <v>24</v>
      </c>
      <c r="L727" s="3" t="s">
        <v>44</v>
      </c>
      <c r="M727" s="3">
        <v>1</v>
      </c>
    </row>
    <row r="728" spans="1:13" x14ac:dyDescent="0.25">
      <c r="A728" s="3" t="s">
        <v>766</v>
      </c>
      <c r="B728" s="3" t="s">
        <v>14</v>
      </c>
      <c r="C728" s="3" t="s">
        <v>15</v>
      </c>
      <c r="D728" s="3" t="s">
        <v>753</v>
      </c>
      <c r="E728" s="3" t="s">
        <v>754</v>
      </c>
      <c r="F728" s="3" t="s">
        <v>755</v>
      </c>
      <c r="G728" s="3" t="s">
        <v>19</v>
      </c>
      <c r="H728" s="4">
        <v>46118</v>
      </c>
      <c r="I728" s="7">
        <v>46160</v>
      </c>
      <c r="J728" s="3" t="s">
        <v>20</v>
      </c>
      <c r="K728" s="3" t="s">
        <v>24</v>
      </c>
      <c r="L728" s="3" t="s">
        <v>44</v>
      </c>
      <c r="M728" s="3">
        <v>42</v>
      </c>
    </row>
    <row r="729" spans="1:13" x14ac:dyDescent="0.25">
      <c r="A729" s="3" t="s">
        <v>767</v>
      </c>
      <c r="B729" s="3" t="s">
        <v>14</v>
      </c>
      <c r="C729" s="3" t="s">
        <v>15</v>
      </c>
      <c r="D729" s="3" t="s">
        <v>753</v>
      </c>
      <c r="E729" s="3" t="s">
        <v>754</v>
      </c>
      <c r="F729" s="3" t="s">
        <v>755</v>
      </c>
      <c r="G729" s="3" t="s">
        <v>19</v>
      </c>
      <c r="H729" s="8">
        <v>45783</v>
      </c>
      <c r="I729" s="6"/>
      <c r="J729" s="3" t="s">
        <v>27</v>
      </c>
      <c r="K729" s="6"/>
      <c r="L729" s="6"/>
      <c r="M729" s="3">
        <v>420</v>
      </c>
    </row>
    <row r="730" spans="1:13" x14ac:dyDescent="0.25">
      <c r="A730" s="3" t="s">
        <v>768</v>
      </c>
      <c r="B730" s="3" t="s">
        <v>14</v>
      </c>
      <c r="C730" s="3" t="s">
        <v>15</v>
      </c>
      <c r="D730" s="3" t="s">
        <v>753</v>
      </c>
      <c r="E730" s="3" t="s">
        <v>754</v>
      </c>
      <c r="F730" s="3" t="s">
        <v>755</v>
      </c>
      <c r="G730" s="3" t="s">
        <v>19</v>
      </c>
      <c r="H730" s="4">
        <v>46180</v>
      </c>
      <c r="I730" s="5">
        <v>46195</v>
      </c>
      <c r="J730" s="3" t="s">
        <v>20</v>
      </c>
      <c r="K730" s="3" t="s">
        <v>21</v>
      </c>
      <c r="L730" s="3" t="s">
        <v>22</v>
      </c>
      <c r="M730" s="3">
        <v>15</v>
      </c>
    </row>
    <row r="731" spans="1:13" x14ac:dyDescent="0.25">
      <c r="A731" s="3" t="s">
        <v>769</v>
      </c>
      <c r="B731" s="3" t="s">
        <v>14</v>
      </c>
      <c r="C731" s="3" t="s">
        <v>15</v>
      </c>
      <c r="D731" s="3" t="s">
        <v>753</v>
      </c>
      <c r="E731" s="3" t="s">
        <v>754</v>
      </c>
      <c r="F731" s="3" t="s">
        <v>755</v>
      </c>
      <c r="G731" s="3" t="s">
        <v>19</v>
      </c>
      <c r="H731" s="8">
        <v>46149</v>
      </c>
      <c r="I731" s="6"/>
      <c r="J731" s="3" t="s">
        <v>27</v>
      </c>
      <c r="K731" s="6"/>
      <c r="L731" s="6"/>
      <c r="M731" s="3">
        <v>54</v>
      </c>
    </row>
    <row r="732" spans="1:13" x14ac:dyDescent="0.25">
      <c r="A732" s="3" t="s">
        <v>770</v>
      </c>
      <c r="B732" s="3" t="s">
        <v>14</v>
      </c>
      <c r="C732" s="3" t="s">
        <v>15</v>
      </c>
      <c r="D732" s="3" t="s">
        <v>753</v>
      </c>
      <c r="E732" s="3" t="s">
        <v>754</v>
      </c>
      <c r="F732" s="3" t="s">
        <v>755</v>
      </c>
      <c r="G732" s="3" t="s">
        <v>19</v>
      </c>
      <c r="H732" s="4">
        <v>46120</v>
      </c>
      <c r="I732" s="6"/>
      <c r="J732" s="3" t="s">
        <v>27</v>
      </c>
      <c r="K732" s="6"/>
      <c r="L732" s="6"/>
      <c r="M732" s="3">
        <v>83</v>
      </c>
    </row>
    <row r="733" spans="1:13" x14ac:dyDescent="0.25">
      <c r="A733" s="3" t="s">
        <v>771</v>
      </c>
      <c r="B733" s="3" t="s">
        <v>14</v>
      </c>
      <c r="C733" s="3" t="s">
        <v>15</v>
      </c>
      <c r="D733" s="3" t="s">
        <v>753</v>
      </c>
      <c r="E733" s="3" t="s">
        <v>754</v>
      </c>
      <c r="F733" s="3" t="s">
        <v>755</v>
      </c>
      <c r="G733" s="3" t="s">
        <v>19</v>
      </c>
      <c r="H733" s="4">
        <v>46120</v>
      </c>
      <c r="I733" s="6"/>
      <c r="J733" s="3" t="s">
        <v>27</v>
      </c>
      <c r="K733" s="6"/>
      <c r="L733" s="6"/>
      <c r="M733" s="3">
        <v>83</v>
      </c>
    </row>
    <row r="734" spans="1:13" x14ac:dyDescent="0.25">
      <c r="A734" s="3" t="s">
        <v>772</v>
      </c>
      <c r="B734" s="3" t="s">
        <v>14</v>
      </c>
      <c r="C734" s="3" t="s">
        <v>15</v>
      </c>
      <c r="D734" s="3" t="s">
        <v>753</v>
      </c>
      <c r="E734" s="3" t="s">
        <v>754</v>
      </c>
      <c r="F734" s="3" t="s">
        <v>755</v>
      </c>
      <c r="G734" s="3" t="s">
        <v>19</v>
      </c>
      <c r="H734" s="4">
        <v>46181</v>
      </c>
      <c r="I734" s="5">
        <v>46202</v>
      </c>
      <c r="J734" s="3" t="s">
        <v>20</v>
      </c>
      <c r="K734" s="3" t="s">
        <v>21</v>
      </c>
      <c r="L734" s="3" t="s">
        <v>33</v>
      </c>
      <c r="M734" s="3">
        <v>21</v>
      </c>
    </row>
    <row r="735" spans="1:13" x14ac:dyDescent="0.25">
      <c r="A735" s="3" t="s">
        <v>773</v>
      </c>
      <c r="B735" s="3" t="s">
        <v>14</v>
      </c>
      <c r="C735" s="3" t="s">
        <v>15</v>
      </c>
      <c r="D735" s="3" t="s">
        <v>753</v>
      </c>
      <c r="E735" s="3" t="s">
        <v>754</v>
      </c>
      <c r="F735" s="3" t="s">
        <v>755</v>
      </c>
      <c r="G735" s="3" t="s">
        <v>19</v>
      </c>
      <c r="H735" s="4">
        <v>46121</v>
      </c>
      <c r="I735" s="6"/>
      <c r="J735" s="3" t="s">
        <v>27</v>
      </c>
      <c r="K735" s="6"/>
      <c r="L735" s="6"/>
      <c r="M735" s="3">
        <v>82</v>
      </c>
    </row>
    <row r="736" spans="1:13" x14ac:dyDescent="0.25">
      <c r="A736" s="3" t="s">
        <v>774</v>
      </c>
      <c r="B736" s="3" t="s">
        <v>14</v>
      </c>
      <c r="C736" s="3" t="s">
        <v>15</v>
      </c>
      <c r="D736" s="3" t="s">
        <v>753</v>
      </c>
      <c r="E736" s="3" t="s">
        <v>754</v>
      </c>
      <c r="F736" s="3" t="s">
        <v>755</v>
      </c>
      <c r="G736" s="3" t="s">
        <v>19</v>
      </c>
      <c r="H736" s="5">
        <v>46122</v>
      </c>
      <c r="I736" s="5">
        <v>46122</v>
      </c>
      <c r="J736" s="3" t="s">
        <v>20</v>
      </c>
      <c r="K736" s="3" t="s">
        <v>21</v>
      </c>
      <c r="L736" s="3" t="s">
        <v>50</v>
      </c>
      <c r="M736" s="3">
        <v>0</v>
      </c>
    </row>
    <row r="737" spans="1:13" x14ac:dyDescent="0.25">
      <c r="A737" s="3" t="s">
        <v>775</v>
      </c>
      <c r="B737" s="3" t="s">
        <v>14</v>
      </c>
      <c r="C737" s="3" t="s">
        <v>15</v>
      </c>
      <c r="D737" s="3" t="s">
        <v>753</v>
      </c>
      <c r="E737" s="3" t="s">
        <v>754</v>
      </c>
      <c r="F737" s="3" t="s">
        <v>755</v>
      </c>
      <c r="G737" s="3" t="s">
        <v>19</v>
      </c>
      <c r="H737" s="5">
        <v>46122</v>
      </c>
      <c r="I737" s="5">
        <v>46136</v>
      </c>
      <c r="J737" s="3" t="s">
        <v>20</v>
      </c>
      <c r="K737" s="3" t="s">
        <v>21</v>
      </c>
      <c r="L737" s="3" t="s">
        <v>50</v>
      </c>
      <c r="M737" s="3">
        <v>14</v>
      </c>
    </row>
    <row r="738" spans="1:13" x14ac:dyDescent="0.25">
      <c r="A738" s="3" t="s">
        <v>776</v>
      </c>
      <c r="B738" s="3" t="s">
        <v>14</v>
      </c>
      <c r="C738" s="3" t="s">
        <v>15</v>
      </c>
      <c r="D738" s="3" t="s">
        <v>753</v>
      </c>
      <c r="E738" s="3" t="s">
        <v>754</v>
      </c>
      <c r="F738" s="3" t="s">
        <v>755</v>
      </c>
      <c r="G738" s="3" t="s">
        <v>19</v>
      </c>
      <c r="H738" s="5">
        <v>46032</v>
      </c>
      <c r="I738" s="8">
        <v>46143</v>
      </c>
      <c r="J738" s="3" t="s">
        <v>20</v>
      </c>
      <c r="K738" s="3" t="s">
        <v>21</v>
      </c>
      <c r="L738" s="3" t="s">
        <v>50</v>
      </c>
      <c r="M738" s="3">
        <v>111</v>
      </c>
    </row>
    <row r="739" spans="1:13" x14ac:dyDescent="0.25">
      <c r="A739" s="3" t="s">
        <v>777</v>
      </c>
      <c r="B739" s="3" t="s">
        <v>14</v>
      </c>
      <c r="C739" s="3" t="s">
        <v>15</v>
      </c>
      <c r="D739" s="3" t="s">
        <v>753</v>
      </c>
      <c r="E739" s="3" t="s">
        <v>754</v>
      </c>
      <c r="F739" s="3" t="s">
        <v>755</v>
      </c>
      <c r="G739" s="3" t="s">
        <v>19</v>
      </c>
      <c r="H739" s="5">
        <v>46123</v>
      </c>
      <c r="I739" s="7">
        <v>46164</v>
      </c>
      <c r="J739" s="3" t="s">
        <v>20</v>
      </c>
      <c r="K739" s="3" t="s">
        <v>21</v>
      </c>
      <c r="L739" s="3" t="s">
        <v>61</v>
      </c>
      <c r="M739" s="3">
        <v>41</v>
      </c>
    </row>
    <row r="740" spans="1:13" x14ac:dyDescent="0.25">
      <c r="A740" s="3" t="s">
        <v>778</v>
      </c>
      <c r="B740" s="3" t="s">
        <v>14</v>
      </c>
      <c r="C740" s="3" t="s">
        <v>15</v>
      </c>
      <c r="D740" s="3" t="s">
        <v>753</v>
      </c>
      <c r="E740" s="3" t="s">
        <v>754</v>
      </c>
      <c r="F740" s="3" t="s">
        <v>755</v>
      </c>
      <c r="G740" s="3" t="s">
        <v>19</v>
      </c>
      <c r="H740" s="5">
        <v>46002</v>
      </c>
      <c r="I740" s="5">
        <v>46183</v>
      </c>
      <c r="J740" s="3" t="s">
        <v>20</v>
      </c>
      <c r="K740" s="3" t="s">
        <v>24</v>
      </c>
      <c r="L740" s="3" t="s">
        <v>25</v>
      </c>
      <c r="M740" s="3">
        <v>181</v>
      </c>
    </row>
    <row r="741" spans="1:13" x14ac:dyDescent="0.25">
      <c r="A741" s="3" t="s">
        <v>779</v>
      </c>
      <c r="B741" s="3" t="s">
        <v>14</v>
      </c>
      <c r="C741" s="3" t="s">
        <v>15</v>
      </c>
      <c r="D741" s="3" t="s">
        <v>753</v>
      </c>
      <c r="E741" s="3" t="s">
        <v>754</v>
      </c>
      <c r="F741" s="3" t="s">
        <v>755</v>
      </c>
      <c r="G741" s="3" t="s">
        <v>19</v>
      </c>
      <c r="H741" s="7">
        <v>46153</v>
      </c>
      <c r="I741" s="7">
        <v>46153</v>
      </c>
      <c r="J741" s="3" t="s">
        <v>20</v>
      </c>
      <c r="K741" s="3" t="s">
        <v>21</v>
      </c>
      <c r="L741" s="3" t="s">
        <v>33</v>
      </c>
      <c r="M741" s="3">
        <v>0</v>
      </c>
    </row>
    <row r="742" spans="1:13" x14ac:dyDescent="0.25">
      <c r="A742" s="3" t="s">
        <v>780</v>
      </c>
      <c r="B742" s="3" t="s">
        <v>14</v>
      </c>
      <c r="C742" s="3" t="s">
        <v>15</v>
      </c>
      <c r="D742" s="3" t="s">
        <v>753</v>
      </c>
      <c r="E742" s="3" t="s">
        <v>754</v>
      </c>
      <c r="F742" s="3" t="s">
        <v>755</v>
      </c>
      <c r="G742" s="3" t="s">
        <v>19</v>
      </c>
      <c r="H742" s="7">
        <v>46154</v>
      </c>
      <c r="I742" s="7">
        <v>46163</v>
      </c>
      <c r="J742" s="3" t="s">
        <v>20</v>
      </c>
      <c r="K742" s="3" t="s">
        <v>21</v>
      </c>
      <c r="L742" s="3" t="s">
        <v>30</v>
      </c>
      <c r="M742" s="3">
        <v>9</v>
      </c>
    </row>
    <row r="743" spans="1:13" x14ac:dyDescent="0.25">
      <c r="A743" s="3" t="s">
        <v>781</v>
      </c>
      <c r="B743" s="3" t="s">
        <v>14</v>
      </c>
      <c r="C743" s="3" t="s">
        <v>15</v>
      </c>
      <c r="D743" s="3" t="s">
        <v>753</v>
      </c>
      <c r="E743" s="3" t="s">
        <v>754</v>
      </c>
      <c r="F743" s="3" t="s">
        <v>755</v>
      </c>
      <c r="G743" s="3" t="s">
        <v>19</v>
      </c>
      <c r="H743" s="5">
        <v>45882</v>
      </c>
      <c r="I743" s="8">
        <v>46143</v>
      </c>
      <c r="J743" s="3" t="s">
        <v>20</v>
      </c>
      <c r="K743" s="3" t="s">
        <v>24</v>
      </c>
      <c r="L743" s="3" t="s">
        <v>41</v>
      </c>
      <c r="M743" s="3">
        <v>261</v>
      </c>
    </row>
    <row r="744" spans="1:13" x14ac:dyDescent="0.25">
      <c r="A744" s="3" t="s">
        <v>782</v>
      </c>
      <c r="B744" s="3" t="s">
        <v>14</v>
      </c>
      <c r="C744" s="3" t="s">
        <v>15</v>
      </c>
      <c r="D744" s="3" t="s">
        <v>753</v>
      </c>
      <c r="E744" s="3" t="s">
        <v>754</v>
      </c>
      <c r="F744" s="3" t="s">
        <v>755</v>
      </c>
      <c r="G744" s="3" t="s">
        <v>19</v>
      </c>
      <c r="H744" s="5">
        <v>45821</v>
      </c>
      <c r="I744" s="6"/>
      <c r="J744" s="3" t="s">
        <v>27</v>
      </c>
      <c r="K744" s="6"/>
      <c r="L744" s="6"/>
      <c r="M744" s="3">
        <v>382</v>
      </c>
    </row>
    <row r="745" spans="1:13" x14ac:dyDescent="0.25">
      <c r="A745" s="3" t="s">
        <v>783</v>
      </c>
      <c r="B745" s="3" t="s">
        <v>14</v>
      </c>
      <c r="C745" s="3" t="s">
        <v>15</v>
      </c>
      <c r="D745" s="3" t="s">
        <v>753</v>
      </c>
      <c r="E745" s="3" t="s">
        <v>754</v>
      </c>
      <c r="F745" s="3" t="s">
        <v>755</v>
      </c>
      <c r="G745" s="3" t="s">
        <v>19</v>
      </c>
      <c r="H745" s="5">
        <v>45729</v>
      </c>
      <c r="I745" s="5">
        <v>46192</v>
      </c>
      <c r="J745" s="3" t="s">
        <v>20</v>
      </c>
      <c r="K745" s="3" t="s">
        <v>24</v>
      </c>
      <c r="L745" s="3" t="s">
        <v>25</v>
      </c>
      <c r="M745" s="3">
        <v>463</v>
      </c>
    </row>
    <row r="746" spans="1:13" x14ac:dyDescent="0.25">
      <c r="A746" s="3" t="s">
        <v>784</v>
      </c>
      <c r="B746" s="3" t="s">
        <v>14</v>
      </c>
      <c r="C746" s="3" t="s">
        <v>15</v>
      </c>
      <c r="D746" s="3" t="s">
        <v>753</v>
      </c>
      <c r="E746" s="3" t="s">
        <v>754</v>
      </c>
      <c r="F746" s="3" t="s">
        <v>755</v>
      </c>
      <c r="G746" s="3" t="s">
        <v>19</v>
      </c>
      <c r="H746" s="5">
        <v>46126</v>
      </c>
      <c r="I746" s="5">
        <v>46135</v>
      </c>
      <c r="J746" s="3" t="s">
        <v>20</v>
      </c>
      <c r="K746" s="3" t="s">
        <v>24</v>
      </c>
      <c r="L746" s="3" t="s">
        <v>25</v>
      </c>
      <c r="M746" s="3">
        <v>9</v>
      </c>
    </row>
    <row r="747" spans="1:13" x14ac:dyDescent="0.25">
      <c r="A747" s="3" t="s">
        <v>785</v>
      </c>
      <c r="B747" s="3" t="s">
        <v>14</v>
      </c>
      <c r="C747" s="3" t="s">
        <v>15</v>
      </c>
      <c r="D747" s="3" t="s">
        <v>753</v>
      </c>
      <c r="E747" s="3" t="s">
        <v>754</v>
      </c>
      <c r="F747" s="3" t="s">
        <v>755</v>
      </c>
      <c r="G747" s="3" t="s">
        <v>19</v>
      </c>
      <c r="H747" s="5">
        <v>46037</v>
      </c>
      <c r="I747" s="6"/>
      <c r="J747" s="3" t="s">
        <v>27</v>
      </c>
      <c r="K747" s="6"/>
      <c r="L747" s="6"/>
      <c r="M747" s="3">
        <v>166</v>
      </c>
    </row>
    <row r="748" spans="1:13" x14ac:dyDescent="0.25">
      <c r="A748" s="3" t="s">
        <v>786</v>
      </c>
      <c r="B748" s="3" t="s">
        <v>14</v>
      </c>
      <c r="C748" s="3" t="s">
        <v>15</v>
      </c>
      <c r="D748" s="3" t="s">
        <v>753</v>
      </c>
      <c r="E748" s="3" t="s">
        <v>754</v>
      </c>
      <c r="F748" s="3" t="s">
        <v>755</v>
      </c>
      <c r="G748" s="3" t="s">
        <v>19</v>
      </c>
      <c r="H748" s="5">
        <v>45915</v>
      </c>
      <c r="I748" s="5">
        <v>46125</v>
      </c>
      <c r="J748" s="3" t="s">
        <v>20</v>
      </c>
      <c r="K748" s="3" t="s">
        <v>24</v>
      </c>
      <c r="L748" s="3" t="s">
        <v>25</v>
      </c>
      <c r="M748" s="3">
        <v>210</v>
      </c>
    </row>
    <row r="749" spans="1:13" x14ac:dyDescent="0.25">
      <c r="A749" s="3" t="s">
        <v>787</v>
      </c>
      <c r="B749" s="3" t="s">
        <v>14</v>
      </c>
      <c r="C749" s="3" t="s">
        <v>15</v>
      </c>
      <c r="D749" s="3" t="s">
        <v>753</v>
      </c>
      <c r="E749" s="3" t="s">
        <v>754</v>
      </c>
      <c r="F749" s="3" t="s">
        <v>755</v>
      </c>
      <c r="G749" s="3" t="s">
        <v>19</v>
      </c>
      <c r="H749" s="5">
        <v>45763</v>
      </c>
      <c r="I749" s="7">
        <v>46168</v>
      </c>
      <c r="J749" s="3" t="s">
        <v>20</v>
      </c>
      <c r="K749" s="3" t="s">
        <v>24</v>
      </c>
      <c r="L749" s="3" t="s">
        <v>25</v>
      </c>
      <c r="M749" s="3">
        <v>405</v>
      </c>
    </row>
    <row r="750" spans="1:13" x14ac:dyDescent="0.25">
      <c r="A750" s="3" t="s">
        <v>788</v>
      </c>
      <c r="B750" s="3" t="s">
        <v>14</v>
      </c>
      <c r="C750" s="3" t="s">
        <v>15</v>
      </c>
      <c r="D750" s="3" t="s">
        <v>753</v>
      </c>
      <c r="E750" s="3" t="s">
        <v>754</v>
      </c>
      <c r="F750" s="3" t="s">
        <v>755</v>
      </c>
      <c r="G750" s="3" t="s">
        <v>19</v>
      </c>
      <c r="H750" s="7">
        <v>46158</v>
      </c>
      <c r="I750" s="7">
        <v>46158</v>
      </c>
      <c r="J750" s="3" t="s">
        <v>20</v>
      </c>
      <c r="K750" s="3" t="s">
        <v>21</v>
      </c>
      <c r="L750" s="3" t="s">
        <v>22</v>
      </c>
      <c r="M750" s="3">
        <v>0</v>
      </c>
    </row>
    <row r="751" spans="1:13" x14ac:dyDescent="0.25">
      <c r="A751" s="3" t="s">
        <v>789</v>
      </c>
      <c r="B751" s="3" t="s">
        <v>14</v>
      </c>
      <c r="C751" s="3" t="s">
        <v>15</v>
      </c>
      <c r="D751" s="3" t="s">
        <v>753</v>
      </c>
      <c r="E751" s="3" t="s">
        <v>754</v>
      </c>
      <c r="F751" s="3" t="s">
        <v>755</v>
      </c>
      <c r="G751" s="3" t="s">
        <v>19</v>
      </c>
      <c r="H751" s="5">
        <v>46129</v>
      </c>
      <c r="I751" s="6"/>
      <c r="J751" s="3" t="s">
        <v>27</v>
      </c>
      <c r="K751" s="6"/>
      <c r="L751" s="6"/>
      <c r="M751" s="3">
        <v>74</v>
      </c>
    </row>
    <row r="752" spans="1:13" x14ac:dyDescent="0.25">
      <c r="A752" s="3" t="s">
        <v>790</v>
      </c>
      <c r="B752" s="3" t="s">
        <v>14</v>
      </c>
      <c r="C752" s="3" t="s">
        <v>15</v>
      </c>
      <c r="D752" s="3" t="s">
        <v>753</v>
      </c>
      <c r="E752" s="3" t="s">
        <v>754</v>
      </c>
      <c r="F752" s="3" t="s">
        <v>755</v>
      </c>
      <c r="G752" s="3" t="s">
        <v>19</v>
      </c>
      <c r="H752" s="5">
        <v>45886</v>
      </c>
      <c r="I752" s="7">
        <v>46160</v>
      </c>
      <c r="J752" s="3" t="s">
        <v>20</v>
      </c>
      <c r="K752" s="3" t="s">
        <v>21</v>
      </c>
      <c r="L752" s="3" t="s">
        <v>33</v>
      </c>
      <c r="M752" s="3">
        <v>274</v>
      </c>
    </row>
    <row r="753" spans="1:13" x14ac:dyDescent="0.25">
      <c r="A753" s="3" t="s">
        <v>791</v>
      </c>
      <c r="B753" s="3" t="s">
        <v>14</v>
      </c>
      <c r="C753" s="3" t="s">
        <v>15</v>
      </c>
      <c r="D753" s="3" t="s">
        <v>753</v>
      </c>
      <c r="E753" s="3" t="s">
        <v>754</v>
      </c>
      <c r="F753" s="3" t="s">
        <v>755</v>
      </c>
      <c r="G753" s="3" t="s">
        <v>19</v>
      </c>
      <c r="H753" s="5">
        <v>46190</v>
      </c>
      <c r="I753" s="6"/>
      <c r="J753" s="3" t="s">
        <v>27</v>
      </c>
      <c r="K753" s="6"/>
      <c r="L753" s="6"/>
      <c r="M753" s="3">
        <v>13</v>
      </c>
    </row>
    <row r="754" spans="1:13" x14ac:dyDescent="0.25">
      <c r="A754" s="3" t="s">
        <v>792</v>
      </c>
      <c r="B754" s="3" t="s">
        <v>14</v>
      </c>
      <c r="C754" s="3" t="s">
        <v>15</v>
      </c>
      <c r="D754" s="3" t="s">
        <v>753</v>
      </c>
      <c r="E754" s="3" t="s">
        <v>754</v>
      </c>
      <c r="F754" s="3" t="s">
        <v>755</v>
      </c>
      <c r="G754" s="3" t="s">
        <v>19</v>
      </c>
      <c r="H754" s="5">
        <v>46130</v>
      </c>
      <c r="I754" s="5">
        <v>46203</v>
      </c>
      <c r="J754" s="3" t="s">
        <v>20</v>
      </c>
      <c r="K754" s="3" t="s">
        <v>24</v>
      </c>
      <c r="L754" s="3" t="s">
        <v>55</v>
      </c>
      <c r="M754" s="3">
        <v>73</v>
      </c>
    </row>
    <row r="755" spans="1:13" x14ac:dyDescent="0.25">
      <c r="A755" s="3" t="s">
        <v>793</v>
      </c>
      <c r="B755" s="3" t="s">
        <v>14</v>
      </c>
      <c r="C755" s="3" t="s">
        <v>15</v>
      </c>
      <c r="D755" s="3" t="s">
        <v>753</v>
      </c>
      <c r="E755" s="3" t="s">
        <v>754</v>
      </c>
      <c r="F755" s="3" t="s">
        <v>755</v>
      </c>
      <c r="G755" s="3" t="s">
        <v>19</v>
      </c>
      <c r="H755" s="5">
        <v>45675</v>
      </c>
      <c r="I755" s="5">
        <v>46130</v>
      </c>
      <c r="J755" s="3" t="s">
        <v>20</v>
      </c>
      <c r="K755" s="3" t="s">
        <v>24</v>
      </c>
      <c r="L755" s="3" t="s">
        <v>44</v>
      </c>
      <c r="M755" s="3">
        <v>455</v>
      </c>
    </row>
    <row r="756" spans="1:13" x14ac:dyDescent="0.25">
      <c r="A756" s="3" t="s">
        <v>794</v>
      </c>
      <c r="B756" s="3" t="s">
        <v>14</v>
      </c>
      <c r="C756" s="3" t="s">
        <v>15</v>
      </c>
      <c r="D756" s="3" t="s">
        <v>753</v>
      </c>
      <c r="E756" s="3" t="s">
        <v>754</v>
      </c>
      <c r="F756" s="3" t="s">
        <v>755</v>
      </c>
      <c r="G756" s="3" t="s">
        <v>19</v>
      </c>
      <c r="H756" s="5">
        <v>46131</v>
      </c>
      <c r="I756" s="5">
        <v>46140</v>
      </c>
      <c r="J756" s="3" t="s">
        <v>20</v>
      </c>
      <c r="K756" s="3" t="s">
        <v>21</v>
      </c>
      <c r="L756" s="3" t="s">
        <v>22</v>
      </c>
      <c r="M756" s="3">
        <v>9</v>
      </c>
    </row>
    <row r="757" spans="1:13" x14ac:dyDescent="0.25">
      <c r="A757" s="3" t="s">
        <v>795</v>
      </c>
      <c r="B757" s="3" t="s">
        <v>14</v>
      </c>
      <c r="C757" s="3" t="s">
        <v>15</v>
      </c>
      <c r="D757" s="3" t="s">
        <v>753</v>
      </c>
      <c r="E757" s="3" t="s">
        <v>754</v>
      </c>
      <c r="F757" s="3" t="s">
        <v>755</v>
      </c>
      <c r="G757" s="3" t="s">
        <v>19</v>
      </c>
      <c r="H757" s="5">
        <v>46100</v>
      </c>
      <c r="I757" s="5">
        <v>46125</v>
      </c>
      <c r="J757" s="3" t="s">
        <v>20</v>
      </c>
      <c r="K757" s="3" t="s">
        <v>24</v>
      </c>
      <c r="L757" s="3" t="s">
        <v>41</v>
      </c>
      <c r="M757" s="3">
        <v>25</v>
      </c>
    </row>
    <row r="758" spans="1:13" x14ac:dyDescent="0.25">
      <c r="A758" s="3" t="s">
        <v>796</v>
      </c>
      <c r="B758" s="3" t="s">
        <v>14</v>
      </c>
      <c r="C758" s="3" t="s">
        <v>15</v>
      </c>
      <c r="D758" s="3" t="s">
        <v>753</v>
      </c>
      <c r="E758" s="3" t="s">
        <v>754</v>
      </c>
      <c r="F758" s="3" t="s">
        <v>755</v>
      </c>
      <c r="G758" s="3" t="s">
        <v>19</v>
      </c>
      <c r="H758" s="5">
        <v>46132</v>
      </c>
      <c r="I758" s="6"/>
      <c r="J758" s="3" t="s">
        <v>27</v>
      </c>
      <c r="K758" s="6"/>
      <c r="L758" s="6"/>
      <c r="M758" s="3">
        <v>71</v>
      </c>
    </row>
    <row r="759" spans="1:13" x14ac:dyDescent="0.25">
      <c r="A759" s="3" t="s">
        <v>797</v>
      </c>
      <c r="B759" s="3" t="s">
        <v>14</v>
      </c>
      <c r="C759" s="3" t="s">
        <v>15</v>
      </c>
      <c r="D759" s="3" t="s">
        <v>753</v>
      </c>
      <c r="E759" s="3" t="s">
        <v>754</v>
      </c>
      <c r="F759" s="3" t="s">
        <v>755</v>
      </c>
      <c r="G759" s="3" t="s">
        <v>19</v>
      </c>
      <c r="H759" s="5">
        <v>46193</v>
      </c>
      <c r="I759" s="5">
        <v>46193</v>
      </c>
      <c r="J759" s="3" t="s">
        <v>20</v>
      </c>
      <c r="K759" s="3" t="s">
        <v>24</v>
      </c>
      <c r="L759" s="3" t="s">
        <v>25</v>
      </c>
      <c r="M759" s="3">
        <v>0</v>
      </c>
    </row>
    <row r="760" spans="1:13" x14ac:dyDescent="0.25">
      <c r="A760" s="3" t="s">
        <v>798</v>
      </c>
      <c r="B760" s="3" t="s">
        <v>14</v>
      </c>
      <c r="C760" s="3" t="s">
        <v>15</v>
      </c>
      <c r="D760" s="3" t="s">
        <v>753</v>
      </c>
      <c r="E760" s="3" t="s">
        <v>754</v>
      </c>
      <c r="F760" s="3" t="s">
        <v>755</v>
      </c>
      <c r="G760" s="3" t="s">
        <v>19</v>
      </c>
      <c r="H760" s="5">
        <v>46133</v>
      </c>
      <c r="I760" s="6"/>
      <c r="J760" s="3" t="s">
        <v>27</v>
      </c>
      <c r="K760" s="6"/>
      <c r="L760" s="6"/>
      <c r="M760" s="3">
        <v>70</v>
      </c>
    </row>
    <row r="761" spans="1:13" x14ac:dyDescent="0.25">
      <c r="A761" s="3" t="s">
        <v>799</v>
      </c>
      <c r="B761" s="3" t="s">
        <v>14</v>
      </c>
      <c r="C761" s="3" t="s">
        <v>15</v>
      </c>
      <c r="D761" s="3" t="s">
        <v>753</v>
      </c>
      <c r="E761" s="3" t="s">
        <v>754</v>
      </c>
      <c r="F761" s="3" t="s">
        <v>755</v>
      </c>
      <c r="G761" s="3" t="s">
        <v>19</v>
      </c>
      <c r="H761" s="5">
        <v>45709</v>
      </c>
      <c r="I761" s="6"/>
      <c r="J761" s="3" t="s">
        <v>27</v>
      </c>
      <c r="K761" s="6"/>
      <c r="L761" s="6"/>
      <c r="M761" s="3">
        <v>494</v>
      </c>
    </row>
    <row r="762" spans="1:13" x14ac:dyDescent="0.25">
      <c r="A762" s="3" t="s">
        <v>800</v>
      </c>
      <c r="B762" s="3" t="s">
        <v>14</v>
      </c>
      <c r="C762" s="3" t="s">
        <v>15</v>
      </c>
      <c r="D762" s="3" t="s">
        <v>753</v>
      </c>
      <c r="E762" s="3" t="s">
        <v>754</v>
      </c>
      <c r="F762" s="3" t="s">
        <v>755</v>
      </c>
      <c r="G762" s="3" t="s">
        <v>19</v>
      </c>
      <c r="H762" s="5">
        <v>45769</v>
      </c>
      <c r="I762" s="5">
        <v>46192</v>
      </c>
      <c r="J762" s="3" t="s">
        <v>20</v>
      </c>
      <c r="K762" s="3" t="s">
        <v>24</v>
      </c>
      <c r="L762" s="3" t="s">
        <v>41</v>
      </c>
      <c r="M762" s="3">
        <v>423</v>
      </c>
    </row>
    <row r="763" spans="1:13" x14ac:dyDescent="0.25">
      <c r="A763" s="3" t="s">
        <v>801</v>
      </c>
      <c r="B763" s="3" t="s">
        <v>14</v>
      </c>
      <c r="C763" s="3" t="s">
        <v>15</v>
      </c>
      <c r="D763" s="3" t="s">
        <v>753</v>
      </c>
      <c r="E763" s="3" t="s">
        <v>754</v>
      </c>
      <c r="F763" s="3" t="s">
        <v>755</v>
      </c>
      <c r="G763" s="3" t="s">
        <v>19</v>
      </c>
      <c r="H763" s="5">
        <v>46134</v>
      </c>
      <c r="I763" s="6"/>
      <c r="J763" s="3" t="s">
        <v>27</v>
      </c>
      <c r="K763" s="6"/>
      <c r="L763" s="6"/>
      <c r="M763" s="3">
        <v>69</v>
      </c>
    </row>
    <row r="764" spans="1:13" x14ac:dyDescent="0.25">
      <c r="A764" s="3" t="s">
        <v>802</v>
      </c>
      <c r="B764" s="3" t="s">
        <v>14</v>
      </c>
      <c r="C764" s="3" t="s">
        <v>15</v>
      </c>
      <c r="D764" s="3" t="s">
        <v>753</v>
      </c>
      <c r="E764" s="3" t="s">
        <v>754</v>
      </c>
      <c r="F764" s="3" t="s">
        <v>755</v>
      </c>
      <c r="G764" s="3" t="s">
        <v>19</v>
      </c>
      <c r="H764" s="5">
        <v>46134</v>
      </c>
      <c r="I764" s="6"/>
      <c r="J764" s="3" t="s">
        <v>27</v>
      </c>
      <c r="K764" s="6"/>
      <c r="L764" s="6"/>
      <c r="M764" s="3">
        <v>69</v>
      </c>
    </row>
    <row r="765" spans="1:13" x14ac:dyDescent="0.25">
      <c r="A765" s="3" t="s">
        <v>803</v>
      </c>
      <c r="B765" s="3" t="s">
        <v>14</v>
      </c>
      <c r="C765" s="3" t="s">
        <v>15</v>
      </c>
      <c r="D765" s="3" t="s">
        <v>753</v>
      </c>
      <c r="E765" s="3" t="s">
        <v>754</v>
      </c>
      <c r="F765" s="3" t="s">
        <v>755</v>
      </c>
      <c r="G765" s="3" t="s">
        <v>19</v>
      </c>
      <c r="H765" s="5">
        <v>46075</v>
      </c>
      <c r="I765" s="6"/>
      <c r="J765" s="3" t="s">
        <v>27</v>
      </c>
      <c r="K765" s="6"/>
      <c r="L765" s="6"/>
      <c r="M765" s="3">
        <v>128</v>
      </c>
    </row>
    <row r="766" spans="1:13" x14ac:dyDescent="0.25">
      <c r="A766" s="3" t="s">
        <v>804</v>
      </c>
      <c r="B766" s="3" t="s">
        <v>14</v>
      </c>
      <c r="C766" s="3" t="s">
        <v>15</v>
      </c>
      <c r="D766" s="3" t="s">
        <v>753</v>
      </c>
      <c r="E766" s="3" t="s">
        <v>754</v>
      </c>
      <c r="F766" s="3" t="s">
        <v>755</v>
      </c>
      <c r="G766" s="3" t="s">
        <v>19</v>
      </c>
      <c r="H766" s="5">
        <v>46044</v>
      </c>
      <c r="I766" s="6"/>
      <c r="J766" s="3" t="s">
        <v>27</v>
      </c>
      <c r="K766" s="6"/>
      <c r="L766" s="6"/>
      <c r="M766" s="3">
        <v>159</v>
      </c>
    </row>
    <row r="767" spans="1:13" x14ac:dyDescent="0.25">
      <c r="A767" s="3" t="s">
        <v>805</v>
      </c>
      <c r="B767" s="3" t="s">
        <v>14</v>
      </c>
      <c r="C767" s="3" t="s">
        <v>15</v>
      </c>
      <c r="D767" s="3" t="s">
        <v>753</v>
      </c>
      <c r="E767" s="3" t="s">
        <v>754</v>
      </c>
      <c r="F767" s="3" t="s">
        <v>755</v>
      </c>
      <c r="G767" s="3" t="s">
        <v>19</v>
      </c>
      <c r="H767" s="5">
        <v>45952</v>
      </c>
      <c r="I767" s="6"/>
      <c r="J767" s="3" t="s">
        <v>27</v>
      </c>
      <c r="K767" s="6"/>
      <c r="L767" s="6"/>
      <c r="M767" s="3">
        <v>251</v>
      </c>
    </row>
    <row r="768" spans="1:13" x14ac:dyDescent="0.25">
      <c r="A768" s="3" t="s">
        <v>806</v>
      </c>
      <c r="B768" s="3" t="s">
        <v>14</v>
      </c>
      <c r="C768" s="3" t="s">
        <v>15</v>
      </c>
      <c r="D768" s="3" t="s">
        <v>753</v>
      </c>
      <c r="E768" s="3" t="s">
        <v>754</v>
      </c>
      <c r="F768" s="3" t="s">
        <v>755</v>
      </c>
      <c r="G768" s="3" t="s">
        <v>19</v>
      </c>
      <c r="H768" s="5">
        <v>45680</v>
      </c>
      <c r="I768" s="6"/>
      <c r="J768" s="3" t="s">
        <v>27</v>
      </c>
      <c r="K768" s="6"/>
      <c r="L768" s="6"/>
      <c r="M768" s="3">
        <v>523</v>
      </c>
    </row>
    <row r="769" spans="1:13" x14ac:dyDescent="0.25">
      <c r="A769" s="3" t="s">
        <v>807</v>
      </c>
      <c r="B769" s="3" t="s">
        <v>14</v>
      </c>
      <c r="C769" s="3" t="s">
        <v>15</v>
      </c>
      <c r="D769" s="3" t="s">
        <v>753</v>
      </c>
      <c r="E769" s="3" t="s">
        <v>754</v>
      </c>
      <c r="F769" s="3" t="s">
        <v>755</v>
      </c>
      <c r="G769" s="3" t="s">
        <v>19</v>
      </c>
      <c r="H769" s="5">
        <v>46104</v>
      </c>
      <c r="I769" s="7">
        <v>46156</v>
      </c>
      <c r="J769" s="3" t="s">
        <v>20</v>
      </c>
      <c r="K769" s="3" t="s">
        <v>21</v>
      </c>
      <c r="L769" s="3" t="s">
        <v>50</v>
      </c>
      <c r="M769" s="3">
        <v>52</v>
      </c>
    </row>
    <row r="770" spans="1:13" x14ac:dyDescent="0.25">
      <c r="A770" s="3" t="s">
        <v>808</v>
      </c>
      <c r="B770" s="3" t="s">
        <v>14</v>
      </c>
      <c r="C770" s="3" t="s">
        <v>15</v>
      </c>
      <c r="D770" s="3" t="s">
        <v>753</v>
      </c>
      <c r="E770" s="3" t="s">
        <v>754</v>
      </c>
      <c r="F770" s="3" t="s">
        <v>755</v>
      </c>
      <c r="G770" s="3" t="s">
        <v>19</v>
      </c>
      <c r="H770" s="5">
        <v>45953</v>
      </c>
      <c r="I770" s="5">
        <v>46137</v>
      </c>
      <c r="J770" s="3" t="s">
        <v>20</v>
      </c>
      <c r="K770" s="3" t="s">
        <v>24</v>
      </c>
      <c r="L770" s="3" t="s">
        <v>44</v>
      </c>
      <c r="M770" s="3">
        <v>184</v>
      </c>
    </row>
    <row r="771" spans="1:13" x14ac:dyDescent="0.25">
      <c r="A771" s="3" t="s">
        <v>809</v>
      </c>
      <c r="B771" s="3" t="s">
        <v>14</v>
      </c>
      <c r="C771" s="3" t="s">
        <v>15</v>
      </c>
      <c r="D771" s="3" t="s">
        <v>753</v>
      </c>
      <c r="E771" s="3" t="s">
        <v>754</v>
      </c>
      <c r="F771" s="3" t="s">
        <v>755</v>
      </c>
      <c r="G771" s="3" t="s">
        <v>19</v>
      </c>
      <c r="H771" s="5">
        <v>46136</v>
      </c>
      <c r="I771" s="5">
        <v>46198</v>
      </c>
      <c r="J771" s="3" t="s">
        <v>20</v>
      </c>
      <c r="K771" s="3" t="s">
        <v>24</v>
      </c>
      <c r="L771" s="3" t="s">
        <v>41</v>
      </c>
      <c r="M771" s="3">
        <v>62</v>
      </c>
    </row>
    <row r="772" spans="1:13" x14ac:dyDescent="0.25">
      <c r="A772" s="3" t="s">
        <v>810</v>
      </c>
      <c r="B772" s="3" t="s">
        <v>14</v>
      </c>
      <c r="C772" s="3" t="s">
        <v>15</v>
      </c>
      <c r="D772" s="3" t="s">
        <v>753</v>
      </c>
      <c r="E772" s="3" t="s">
        <v>754</v>
      </c>
      <c r="F772" s="3" t="s">
        <v>755</v>
      </c>
      <c r="G772" s="3" t="s">
        <v>19</v>
      </c>
      <c r="H772" s="7">
        <v>46166</v>
      </c>
      <c r="I772" s="7">
        <v>46166</v>
      </c>
      <c r="J772" s="3" t="s">
        <v>20</v>
      </c>
      <c r="K772" s="3" t="s">
        <v>21</v>
      </c>
      <c r="L772" s="3" t="s">
        <v>30</v>
      </c>
      <c r="M772" s="3">
        <v>0</v>
      </c>
    </row>
    <row r="773" spans="1:13" x14ac:dyDescent="0.25">
      <c r="A773" s="3" t="s">
        <v>811</v>
      </c>
      <c r="B773" s="3" t="s">
        <v>14</v>
      </c>
      <c r="C773" s="3" t="s">
        <v>15</v>
      </c>
      <c r="D773" s="3" t="s">
        <v>753</v>
      </c>
      <c r="E773" s="3" t="s">
        <v>754</v>
      </c>
      <c r="F773" s="3" t="s">
        <v>755</v>
      </c>
      <c r="G773" s="3" t="s">
        <v>19</v>
      </c>
      <c r="H773" s="5">
        <v>46137</v>
      </c>
      <c r="I773" s="6"/>
      <c r="J773" s="3" t="s">
        <v>27</v>
      </c>
      <c r="K773" s="6"/>
      <c r="L773" s="6"/>
      <c r="M773" s="3">
        <v>66</v>
      </c>
    </row>
    <row r="774" spans="1:13" x14ac:dyDescent="0.25">
      <c r="A774" s="3" t="s">
        <v>812</v>
      </c>
      <c r="B774" s="3" t="s">
        <v>14</v>
      </c>
      <c r="C774" s="3" t="s">
        <v>15</v>
      </c>
      <c r="D774" s="3" t="s">
        <v>753</v>
      </c>
      <c r="E774" s="3" t="s">
        <v>754</v>
      </c>
      <c r="F774" s="3" t="s">
        <v>755</v>
      </c>
      <c r="G774" s="3" t="s">
        <v>19</v>
      </c>
      <c r="H774" s="5">
        <v>45682</v>
      </c>
      <c r="I774" s="5">
        <v>46192</v>
      </c>
      <c r="J774" s="3" t="s">
        <v>20</v>
      </c>
      <c r="K774" s="3" t="s">
        <v>24</v>
      </c>
      <c r="L774" s="3" t="s">
        <v>25</v>
      </c>
      <c r="M774" s="3">
        <v>510</v>
      </c>
    </row>
    <row r="775" spans="1:13" x14ac:dyDescent="0.25">
      <c r="A775" s="3" t="s">
        <v>813</v>
      </c>
      <c r="B775" s="3" t="s">
        <v>14</v>
      </c>
      <c r="C775" s="3" t="s">
        <v>15</v>
      </c>
      <c r="D775" s="3" t="s">
        <v>753</v>
      </c>
      <c r="E775" s="3" t="s">
        <v>754</v>
      </c>
      <c r="F775" s="3" t="s">
        <v>755</v>
      </c>
      <c r="G775" s="3" t="s">
        <v>19</v>
      </c>
      <c r="H775" s="5">
        <v>45863</v>
      </c>
      <c r="I775" s="6"/>
      <c r="J775" s="3" t="s">
        <v>27</v>
      </c>
      <c r="K775" s="6"/>
      <c r="L775" s="6"/>
      <c r="M775" s="3">
        <v>340</v>
      </c>
    </row>
    <row r="776" spans="1:13" x14ac:dyDescent="0.25">
      <c r="A776" s="3" t="s">
        <v>814</v>
      </c>
      <c r="B776" s="3" t="s">
        <v>14</v>
      </c>
      <c r="C776" s="3" t="s">
        <v>15</v>
      </c>
      <c r="D776" s="3" t="s">
        <v>753</v>
      </c>
      <c r="E776" s="3" t="s">
        <v>754</v>
      </c>
      <c r="F776" s="3" t="s">
        <v>755</v>
      </c>
      <c r="G776" s="3" t="s">
        <v>19</v>
      </c>
      <c r="H776" s="7">
        <v>46167</v>
      </c>
      <c r="I776" s="7">
        <v>46172</v>
      </c>
      <c r="J776" s="3" t="s">
        <v>20</v>
      </c>
      <c r="K776" s="3" t="s">
        <v>21</v>
      </c>
      <c r="L776" s="3" t="s">
        <v>61</v>
      </c>
      <c r="M776" s="3">
        <v>5</v>
      </c>
    </row>
    <row r="777" spans="1:13" x14ac:dyDescent="0.25">
      <c r="A777" s="3" t="s">
        <v>815</v>
      </c>
      <c r="B777" s="3" t="s">
        <v>14</v>
      </c>
      <c r="C777" s="3" t="s">
        <v>15</v>
      </c>
      <c r="D777" s="3" t="s">
        <v>753</v>
      </c>
      <c r="E777" s="3" t="s">
        <v>754</v>
      </c>
      <c r="F777" s="3" t="s">
        <v>755</v>
      </c>
      <c r="G777" s="3" t="s">
        <v>19</v>
      </c>
      <c r="H777" s="7">
        <v>46168</v>
      </c>
      <c r="I777" s="7">
        <v>46168</v>
      </c>
      <c r="J777" s="3" t="s">
        <v>20</v>
      </c>
      <c r="K777" s="3" t="s">
        <v>21</v>
      </c>
      <c r="L777" s="3" t="s">
        <v>50</v>
      </c>
      <c r="M777" s="3">
        <v>0</v>
      </c>
    </row>
    <row r="778" spans="1:13" x14ac:dyDescent="0.25">
      <c r="A778" s="3" t="s">
        <v>816</v>
      </c>
      <c r="B778" s="3" t="s">
        <v>14</v>
      </c>
      <c r="C778" s="3" t="s">
        <v>15</v>
      </c>
      <c r="D778" s="3" t="s">
        <v>753</v>
      </c>
      <c r="E778" s="3" t="s">
        <v>754</v>
      </c>
      <c r="F778" s="3" t="s">
        <v>755</v>
      </c>
      <c r="G778" s="3" t="s">
        <v>19</v>
      </c>
      <c r="H778" s="5">
        <v>46139</v>
      </c>
      <c r="I778" s="6"/>
      <c r="J778" s="3" t="s">
        <v>27</v>
      </c>
      <c r="K778" s="6"/>
      <c r="L778" s="6"/>
      <c r="M778" s="3">
        <v>64</v>
      </c>
    </row>
    <row r="779" spans="1:13" x14ac:dyDescent="0.25">
      <c r="A779" s="3" t="s">
        <v>817</v>
      </c>
      <c r="B779" s="3" t="s">
        <v>14</v>
      </c>
      <c r="C779" s="3" t="s">
        <v>15</v>
      </c>
      <c r="D779" s="3" t="s">
        <v>753</v>
      </c>
      <c r="E779" s="3" t="s">
        <v>754</v>
      </c>
      <c r="F779" s="3" t="s">
        <v>755</v>
      </c>
      <c r="G779" s="3" t="s">
        <v>19</v>
      </c>
      <c r="H779" s="5">
        <v>46018</v>
      </c>
      <c r="I779" s="8">
        <v>46143</v>
      </c>
      <c r="J779" s="3" t="s">
        <v>20</v>
      </c>
      <c r="K779" s="3" t="s">
        <v>24</v>
      </c>
      <c r="L779" s="3" t="s">
        <v>44</v>
      </c>
      <c r="M779" s="3">
        <v>125</v>
      </c>
    </row>
    <row r="780" spans="1:13" x14ac:dyDescent="0.25">
      <c r="A780" s="3" t="s">
        <v>818</v>
      </c>
      <c r="B780" s="3" t="s">
        <v>14</v>
      </c>
      <c r="C780" s="3" t="s">
        <v>15</v>
      </c>
      <c r="D780" s="3" t="s">
        <v>753</v>
      </c>
      <c r="E780" s="3" t="s">
        <v>754</v>
      </c>
      <c r="F780" s="3" t="s">
        <v>755</v>
      </c>
      <c r="G780" s="3" t="s">
        <v>19</v>
      </c>
      <c r="H780" s="7">
        <v>46169</v>
      </c>
      <c r="I780" s="7">
        <v>46172</v>
      </c>
      <c r="J780" s="3" t="s">
        <v>20</v>
      </c>
      <c r="K780" s="3" t="s">
        <v>21</v>
      </c>
      <c r="L780" s="3" t="s">
        <v>33</v>
      </c>
      <c r="M780" s="3">
        <v>3</v>
      </c>
    </row>
    <row r="781" spans="1:13" x14ac:dyDescent="0.25">
      <c r="A781" s="3" t="s">
        <v>819</v>
      </c>
      <c r="B781" s="3" t="s">
        <v>14</v>
      </c>
      <c r="C781" s="3" t="s">
        <v>15</v>
      </c>
      <c r="D781" s="3" t="s">
        <v>753</v>
      </c>
      <c r="E781" s="3" t="s">
        <v>754</v>
      </c>
      <c r="F781" s="3" t="s">
        <v>755</v>
      </c>
      <c r="G781" s="3" t="s">
        <v>19</v>
      </c>
      <c r="H781" s="5">
        <v>46141</v>
      </c>
      <c r="I781" s="6"/>
      <c r="J781" s="3" t="s">
        <v>27</v>
      </c>
      <c r="K781" s="6"/>
      <c r="L781" s="6"/>
      <c r="M781" s="3">
        <v>62</v>
      </c>
    </row>
    <row r="782" spans="1:13" x14ac:dyDescent="0.25">
      <c r="A782" s="3" t="s">
        <v>820</v>
      </c>
      <c r="B782" s="3" t="s">
        <v>14</v>
      </c>
      <c r="C782" s="3" t="s">
        <v>15</v>
      </c>
      <c r="D782" s="3" t="s">
        <v>753</v>
      </c>
      <c r="E782" s="3" t="s">
        <v>754</v>
      </c>
      <c r="F782" s="3" t="s">
        <v>755</v>
      </c>
      <c r="G782" s="3" t="s">
        <v>19</v>
      </c>
      <c r="H782" s="5">
        <v>46141</v>
      </c>
      <c r="I782" s="5">
        <v>46141</v>
      </c>
      <c r="J782" s="3" t="s">
        <v>20</v>
      </c>
      <c r="K782" s="3" t="s">
        <v>21</v>
      </c>
      <c r="L782" s="3" t="s">
        <v>61</v>
      </c>
      <c r="M782" s="3">
        <v>0</v>
      </c>
    </row>
    <row r="783" spans="1:13" x14ac:dyDescent="0.25">
      <c r="A783" s="3" t="s">
        <v>821</v>
      </c>
      <c r="B783" s="3" t="s">
        <v>14</v>
      </c>
      <c r="C783" s="3" t="s">
        <v>15</v>
      </c>
      <c r="D783" s="3" t="s">
        <v>753</v>
      </c>
      <c r="E783" s="3" t="s">
        <v>754</v>
      </c>
      <c r="F783" s="3" t="s">
        <v>755</v>
      </c>
      <c r="G783" s="3" t="s">
        <v>19</v>
      </c>
      <c r="H783" s="5">
        <v>45686</v>
      </c>
      <c r="I783" s="5">
        <v>46122</v>
      </c>
      <c r="J783" s="3" t="s">
        <v>20</v>
      </c>
      <c r="K783" s="3" t="s">
        <v>24</v>
      </c>
      <c r="L783" s="3" t="s">
        <v>44</v>
      </c>
      <c r="M783" s="3">
        <v>436</v>
      </c>
    </row>
    <row r="784" spans="1:13" x14ac:dyDescent="0.25">
      <c r="A784" s="3" t="s">
        <v>822</v>
      </c>
      <c r="B784" s="3" t="s">
        <v>14</v>
      </c>
      <c r="C784" s="3" t="s">
        <v>15</v>
      </c>
      <c r="D784" s="3" t="s">
        <v>753</v>
      </c>
      <c r="E784" s="3" t="s">
        <v>754</v>
      </c>
      <c r="F784" s="3" t="s">
        <v>755</v>
      </c>
      <c r="G784" s="3" t="s">
        <v>19</v>
      </c>
      <c r="H784" s="7">
        <v>45806</v>
      </c>
      <c r="I784" s="6"/>
      <c r="J784" s="3" t="s">
        <v>27</v>
      </c>
      <c r="K784" s="6"/>
      <c r="L784" s="6"/>
      <c r="M784" s="3">
        <v>397</v>
      </c>
    </row>
    <row r="785" spans="1:13" x14ac:dyDescent="0.25">
      <c r="A785" s="3" t="s">
        <v>823</v>
      </c>
      <c r="B785" s="3" t="s">
        <v>14</v>
      </c>
      <c r="C785" s="3" t="s">
        <v>15</v>
      </c>
      <c r="D785" s="3" t="s">
        <v>753</v>
      </c>
      <c r="E785" s="3" t="s">
        <v>754</v>
      </c>
      <c r="F785" s="3" t="s">
        <v>755</v>
      </c>
      <c r="G785" s="3" t="s">
        <v>19</v>
      </c>
      <c r="H785" s="5">
        <v>45777</v>
      </c>
      <c r="I785" s="6"/>
      <c r="J785" s="3" t="s">
        <v>27</v>
      </c>
      <c r="K785" s="6"/>
      <c r="L785" s="6"/>
      <c r="M785" s="3">
        <v>426</v>
      </c>
    </row>
    <row r="786" spans="1:13" x14ac:dyDescent="0.25">
      <c r="A786" s="3" t="s">
        <v>824</v>
      </c>
      <c r="B786" s="3" t="s">
        <v>14</v>
      </c>
      <c r="C786" s="3" t="s">
        <v>15</v>
      </c>
      <c r="D786" s="3" t="s">
        <v>753</v>
      </c>
      <c r="E786" s="3" t="s">
        <v>754</v>
      </c>
      <c r="F786" s="3" t="s">
        <v>755</v>
      </c>
      <c r="G786" s="3" t="s">
        <v>19</v>
      </c>
      <c r="H786" s="5">
        <v>45777</v>
      </c>
      <c r="I786" s="6"/>
      <c r="J786" s="3" t="s">
        <v>27</v>
      </c>
      <c r="K786" s="6"/>
      <c r="L786" s="6"/>
      <c r="M786" s="3">
        <v>426</v>
      </c>
    </row>
    <row r="787" spans="1:13" x14ac:dyDescent="0.25">
      <c r="A787" s="3" t="s">
        <v>825</v>
      </c>
      <c r="B787" s="3" t="s">
        <v>14</v>
      </c>
      <c r="C787" s="3" t="s">
        <v>15</v>
      </c>
      <c r="D787" s="3" t="s">
        <v>753</v>
      </c>
      <c r="E787" s="3" t="s">
        <v>754</v>
      </c>
      <c r="F787" s="3" t="s">
        <v>755</v>
      </c>
      <c r="G787" s="3" t="s">
        <v>19</v>
      </c>
      <c r="H787" s="5">
        <v>46142</v>
      </c>
      <c r="I787" s="5">
        <v>46142</v>
      </c>
      <c r="J787" s="3" t="s">
        <v>20</v>
      </c>
      <c r="K787" s="3" t="s">
        <v>24</v>
      </c>
      <c r="L787" s="3" t="s">
        <v>25</v>
      </c>
      <c r="M787" s="3">
        <v>0</v>
      </c>
    </row>
    <row r="788" spans="1:13" x14ac:dyDescent="0.25">
      <c r="A788" s="3" t="s">
        <v>826</v>
      </c>
      <c r="B788" s="3" t="s">
        <v>14</v>
      </c>
      <c r="C788" s="3" t="s">
        <v>15</v>
      </c>
      <c r="D788" s="3" t="s">
        <v>753</v>
      </c>
      <c r="E788" s="3" t="s">
        <v>754</v>
      </c>
      <c r="F788" s="3" t="s">
        <v>755</v>
      </c>
      <c r="G788" s="3" t="s">
        <v>19</v>
      </c>
      <c r="H788" s="5">
        <v>46203</v>
      </c>
      <c r="I788" s="5">
        <v>46203</v>
      </c>
      <c r="J788" s="3" t="s">
        <v>20</v>
      </c>
      <c r="K788" s="3" t="s">
        <v>24</v>
      </c>
      <c r="L788" s="3" t="s">
        <v>55</v>
      </c>
      <c r="M788" s="3">
        <v>0</v>
      </c>
    </row>
    <row r="789" spans="1:13" x14ac:dyDescent="0.25">
      <c r="A789" s="3" t="s">
        <v>827</v>
      </c>
      <c r="B789" s="3" t="s">
        <v>14</v>
      </c>
      <c r="C789" s="3" t="s">
        <v>15</v>
      </c>
      <c r="D789" s="3" t="s">
        <v>753</v>
      </c>
      <c r="E789" s="3" t="s">
        <v>754</v>
      </c>
      <c r="F789" s="3" t="s">
        <v>755</v>
      </c>
      <c r="G789" s="3" t="s">
        <v>19</v>
      </c>
      <c r="H789" s="7">
        <v>46172</v>
      </c>
      <c r="I789" s="7">
        <v>46172</v>
      </c>
      <c r="J789" s="3" t="s">
        <v>20</v>
      </c>
      <c r="K789" s="3" t="s">
        <v>21</v>
      </c>
      <c r="L789" s="3" t="s">
        <v>33</v>
      </c>
      <c r="M789" s="3">
        <v>0</v>
      </c>
    </row>
    <row r="790" spans="1:13" x14ac:dyDescent="0.25">
      <c r="A790" s="3" t="s">
        <v>828</v>
      </c>
      <c r="B790" s="3" t="s">
        <v>14</v>
      </c>
      <c r="C790" s="3" t="s">
        <v>15</v>
      </c>
      <c r="D790" s="3" t="s">
        <v>829</v>
      </c>
      <c r="E790" s="3" t="s">
        <v>754</v>
      </c>
      <c r="F790" s="3" t="s">
        <v>830</v>
      </c>
      <c r="G790" s="3" t="s">
        <v>19</v>
      </c>
      <c r="H790" s="4">
        <v>46113</v>
      </c>
      <c r="I790" s="5">
        <v>46125</v>
      </c>
      <c r="J790" s="3" t="s">
        <v>20</v>
      </c>
      <c r="K790" s="3" t="s">
        <v>21</v>
      </c>
      <c r="L790" s="3" t="s">
        <v>22</v>
      </c>
      <c r="M790" s="3">
        <v>12</v>
      </c>
    </row>
    <row r="791" spans="1:13" x14ac:dyDescent="0.25">
      <c r="A791" s="3" t="s">
        <v>831</v>
      </c>
      <c r="B791" s="3" t="s">
        <v>14</v>
      </c>
      <c r="C791" s="3" t="s">
        <v>15</v>
      </c>
      <c r="D791" s="3" t="s">
        <v>829</v>
      </c>
      <c r="E791" s="3" t="s">
        <v>754</v>
      </c>
      <c r="F791" s="3" t="s">
        <v>830</v>
      </c>
      <c r="G791" s="3" t="s">
        <v>19</v>
      </c>
      <c r="H791" s="4">
        <v>46054</v>
      </c>
      <c r="I791" s="5">
        <v>46191</v>
      </c>
      <c r="J791" s="3" t="s">
        <v>20</v>
      </c>
      <c r="K791" s="3" t="s">
        <v>24</v>
      </c>
      <c r="L791" s="3" t="s">
        <v>55</v>
      </c>
      <c r="M791" s="3">
        <v>137</v>
      </c>
    </row>
    <row r="792" spans="1:13" x14ac:dyDescent="0.25">
      <c r="A792" s="3" t="s">
        <v>832</v>
      </c>
      <c r="B792" s="3" t="s">
        <v>14</v>
      </c>
      <c r="C792" s="3" t="s">
        <v>15</v>
      </c>
      <c r="D792" s="3" t="s">
        <v>829</v>
      </c>
      <c r="E792" s="3" t="s">
        <v>754</v>
      </c>
      <c r="F792" s="3" t="s">
        <v>830</v>
      </c>
      <c r="G792" s="3" t="s">
        <v>19</v>
      </c>
      <c r="H792" s="4">
        <v>46174</v>
      </c>
      <c r="I792" s="5">
        <v>46196</v>
      </c>
      <c r="J792" s="3" t="s">
        <v>20</v>
      </c>
      <c r="K792" s="3" t="s">
        <v>21</v>
      </c>
      <c r="L792" s="3" t="s">
        <v>61</v>
      </c>
      <c r="M792" s="3">
        <v>22</v>
      </c>
    </row>
    <row r="793" spans="1:13" x14ac:dyDescent="0.25">
      <c r="A793" s="3" t="s">
        <v>833</v>
      </c>
      <c r="B793" s="3" t="s">
        <v>14</v>
      </c>
      <c r="C793" s="3" t="s">
        <v>15</v>
      </c>
      <c r="D793" s="3" t="s">
        <v>829</v>
      </c>
      <c r="E793" s="3" t="s">
        <v>754</v>
      </c>
      <c r="F793" s="3" t="s">
        <v>830</v>
      </c>
      <c r="G793" s="3" t="s">
        <v>19</v>
      </c>
      <c r="H793" s="4">
        <v>46174</v>
      </c>
      <c r="I793" s="6"/>
      <c r="J793" s="3" t="s">
        <v>27</v>
      </c>
      <c r="K793" s="6"/>
      <c r="L793" s="6"/>
      <c r="M793" s="3">
        <v>29</v>
      </c>
    </row>
    <row r="794" spans="1:13" x14ac:dyDescent="0.25">
      <c r="A794" s="3" t="s">
        <v>834</v>
      </c>
      <c r="B794" s="3" t="s">
        <v>14</v>
      </c>
      <c r="C794" s="3" t="s">
        <v>15</v>
      </c>
      <c r="D794" s="3" t="s">
        <v>829</v>
      </c>
      <c r="E794" s="3" t="s">
        <v>754</v>
      </c>
      <c r="F794" s="3" t="s">
        <v>830</v>
      </c>
      <c r="G794" s="3" t="s">
        <v>19</v>
      </c>
      <c r="H794" s="4">
        <v>45962</v>
      </c>
      <c r="I794" s="6"/>
      <c r="J794" s="3" t="s">
        <v>27</v>
      </c>
      <c r="K794" s="6"/>
      <c r="L794" s="6"/>
      <c r="M794" s="3">
        <v>241</v>
      </c>
    </row>
    <row r="795" spans="1:13" x14ac:dyDescent="0.25">
      <c r="A795" s="3" t="s">
        <v>835</v>
      </c>
      <c r="B795" s="3" t="s">
        <v>14</v>
      </c>
      <c r="C795" s="3" t="s">
        <v>15</v>
      </c>
      <c r="D795" s="3" t="s">
        <v>829</v>
      </c>
      <c r="E795" s="3" t="s">
        <v>754</v>
      </c>
      <c r="F795" s="3" t="s">
        <v>830</v>
      </c>
      <c r="G795" s="3" t="s">
        <v>19</v>
      </c>
      <c r="H795" s="4">
        <v>45840</v>
      </c>
      <c r="I795" s="5">
        <v>46185</v>
      </c>
      <c r="J795" s="3" t="s">
        <v>20</v>
      </c>
      <c r="K795" s="3" t="s">
        <v>24</v>
      </c>
      <c r="L795" s="3" t="s">
        <v>55</v>
      </c>
      <c r="M795" s="3">
        <v>345</v>
      </c>
    </row>
    <row r="796" spans="1:13" x14ac:dyDescent="0.25">
      <c r="A796" s="3" t="s">
        <v>836</v>
      </c>
      <c r="B796" s="3" t="s">
        <v>14</v>
      </c>
      <c r="C796" s="3" t="s">
        <v>15</v>
      </c>
      <c r="D796" s="3" t="s">
        <v>829</v>
      </c>
      <c r="E796" s="3" t="s">
        <v>754</v>
      </c>
      <c r="F796" s="3" t="s">
        <v>830</v>
      </c>
      <c r="G796" s="3" t="s">
        <v>19</v>
      </c>
      <c r="H796" s="4">
        <v>46115</v>
      </c>
      <c r="I796" s="5">
        <v>46122</v>
      </c>
      <c r="J796" s="3" t="s">
        <v>20</v>
      </c>
      <c r="K796" s="3" t="s">
        <v>21</v>
      </c>
      <c r="L796" s="3" t="s">
        <v>22</v>
      </c>
      <c r="M796" s="3">
        <v>7</v>
      </c>
    </row>
    <row r="797" spans="1:13" x14ac:dyDescent="0.25">
      <c r="A797" s="3" t="s">
        <v>837</v>
      </c>
      <c r="B797" s="3" t="s">
        <v>14</v>
      </c>
      <c r="C797" s="3" t="s">
        <v>15</v>
      </c>
      <c r="D797" s="3" t="s">
        <v>829</v>
      </c>
      <c r="E797" s="3" t="s">
        <v>754</v>
      </c>
      <c r="F797" s="3" t="s">
        <v>830</v>
      </c>
      <c r="G797" s="3" t="s">
        <v>19</v>
      </c>
      <c r="H797" s="4">
        <v>46115</v>
      </c>
      <c r="I797" s="5">
        <v>46132</v>
      </c>
      <c r="J797" s="3" t="s">
        <v>20</v>
      </c>
      <c r="K797" s="3" t="s">
        <v>21</v>
      </c>
      <c r="L797" s="3" t="s">
        <v>37</v>
      </c>
      <c r="M797" s="3">
        <v>17</v>
      </c>
    </row>
    <row r="798" spans="1:13" x14ac:dyDescent="0.25">
      <c r="A798" s="3" t="s">
        <v>838</v>
      </c>
      <c r="B798" s="3" t="s">
        <v>14</v>
      </c>
      <c r="C798" s="3" t="s">
        <v>15</v>
      </c>
      <c r="D798" s="3" t="s">
        <v>829</v>
      </c>
      <c r="E798" s="3" t="s">
        <v>754</v>
      </c>
      <c r="F798" s="3" t="s">
        <v>830</v>
      </c>
      <c r="G798" s="3" t="s">
        <v>19</v>
      </c>
      <c r="H798" s="4">
        <v>46115</v>
      </c>
      <c r="I798" s="4">
        <v>46177</v>
      </c>
      <c r="J798" s="3" t="s">
        <v>20</v>
      </c>
      <c r="K798" s="3" t="s">
        <v>24</v>
      </c>
      <c r="L798" s="3" t="s">
        <v>44</v>
      </c>
      <c r="M798" s="3">
        <v>62</v>
      </c>
    </row>
    <row r="799" spans="1:13" x14ac:dyDescent="0.25">
      <c r="A799" s="3" t="s">
        <v>839</v>
      </c>
      <c r="B799" s="3" t="s">
        <v>14</v>
      </c>
      <c r="C799" s="3" t="s">
        <v>15</v>
      </c>
      <c r="D799" s="3" t="s">
        <v>829</v>
      </c>
      <c r="E799" s="3" t="s">
        <v>754</v>
      </c>
      <c r="F799" s="3" t="s">
        <v>830</v>
      </c>
      <c r="G799" s="3" t="s">
        <v>19</v>
      </c>
      <c r="H799" s="4">
        <v>46115</v>
      </c>
      <c r="I799" s="8">
        <v>46150</v>
      </c>
      <c r="J799" s="3" t="s">
        <v>20</v>
      </c>
      <c r="K799" s="3" t="s">
        <v>24</v>
      </c>
      <c r="L799" s="3" t="s">
        <v>41</v>
      </c>
      <c r="M799" s="3">
        <v>35</v>
      </c>
    </row>
    <row r="800" spans="1:13" x14ac:dyDescent="0.25">
      <c r="A800" s="3" t="s">
        <v>840</v>
      </c>
      <c r="B800" s="3" t="s">
        <v>14</v>
      </c>
      <c r="C800" s="3" t="s">
        <v>15</v>
      </c>
      <c r="D800" s="3" t="s">
        <v>829</v>
      </c>
      <c r="E800" s="3" t="s">
        <v>754</v>
      </c>
      <c r="F800" s="3" t="s">
        <v>830</v>
      </c>
      <c r="G800" s="3" t="s">
        <v>19</v>
      </c>
      <c r="H800" s="8">
        <v>46145</v>
      </c>
      <c r="I800" s="6"/>
      <c r="J800" s="3" t="s">
        <v>27</v>
      </c>
      <c r="K800" s="6"/>
      <c r="L800" s="6"/>
      <c r="M800" s="3">
        <v>58</v>
      </c>
    </row>
    <row r="801" spans="1:13" x14ac:dyDescent="0.25">
      <c r="A801" s="3" t="s">
        <v>841</v>
      </c>
      <c r="B801" s="3" t="s">
        <v>14</v>
      </c>
      <c r="C801" s="3" t="s">
        <v>15</v>
      </c>
      <c r="D801" s="3" t="s">
        <v>829</v>
      </c>
      <c r="E801" s="3" t="s">
        <v>754</v>
      </c>
      <c r="F801" s="3" t="s">
        <v>830</v>
      </c>
      <c r="G801" s="3" t="s">
        <v>19</v>
      </c>
      <c r="H801" s="4">
        <v>46116</v>
      </c>
      <c r="I801" s="6"/>
      <c r="J801" s="3" t="s">
        <v>27</v>
      </c>
      <c r="K801" s="6"/>
      <c r="L801" s="6"/>
      <c r="M801" s="3">
        <v>87</v>
      </c>
    </row>
    <row r="802" spans="1:13" x14ac:dyDescent="0.25">
      <c r="A802" s="3" t="s">
        <v>842</v>
      </c>
      <c r="B802" s="3" t="s">
        <v>14</v>
      </c>
      <c r="C802" s="3" t="s">
        <v>15</v>
      </c>
      <c r="D802" s="3" t="s">
        <v>829</v>
      </c>
      <c r="E802" s="3" t="s">
        <v>754</v>
      </c>
      <c r="F802" s="3" t="s">
        <v>830</v>
      </c>
      <c r="G802" s="3" t="s">
        <v>19</v>
      </c>
      <c r="H802" s="4">
        <v>45934</v>
      </c>
      <c r="I802" s="7">
        <v>46153</v>
      </c>
      <c r="J802" s="3" t="s">
        <v>20</v>
      </c>
      <c r="K802" s="3" t="s">
        <v>24</v>
      </c>
      <c r="L802" s="3" t="s">
        <v>41</v>
      </c>
      <c r="M802" s="3">
        <v>219</v>
      </c>
    </row>
    <row r="803" spans="1:13" x14ac:dyDescent="0.25">
      <c r="A803" s="3" t="s">
        <v>843</v>
      </c>
      <c r="B803" s="3" t="s">
        <v>14</v>
      </c>
      <c r="C803" s="3" t="s">
        <v>15</v>
      </c>
      <c r="D803" s="3" t="s">
        <v>829</v>
      </c>
      <c r="E803" s="3" t="s">
        <v>754</v>
      </c>
      <c r="F803" s="3" t="s">
        <v>830</v>
      </c>
      <c r="G803" s="3" t="s">
        <v>19</v>
      </c>
      <c r="H803" s="4">
        <v>46117</v>
      </c>
      <c r="I803" s="5">
        <v>46139</v>
      </c>
      <c r="J803" s="3" t="s">
        <v>20</v>
      </c>
      <c r="K803" s="3" t="s">
        <v>21</v>
      </c>
      <c r="L803" s="3" t="s">
        <v>30</v>
      </c>
      <c r="M803" s="3">
        <v>22</v>
      </c>
    </row>
    <row r="804" spans="1:13" x14ac:dyDescent="0.25">
      <c r="A804" s="3" t="s">
        <v>844</v>
      </c>
      <c r="B804" s="3" t="s">
        <v>14</v>
      </c>
      <c r="C804" s="3" t="s">
        <v>15</v>
      </c>
      <c r="D804" s="3" t="s">
        <v>829</v>
      </c>
      <c r="E804" s="3" t="s">
        <v>754</v>
      </c>
      <c r="F804" s="3" t="s">
        <v>830</v>
      </c>
      <c r="G804" s="3" t="s">
        <v>19</v>
      </c>
      <c r="H804" s="4">
        <v>46117</v>
      </c>
      <c r="I804" s="6"/>
      <c r="J804" s="3" t="s">
        <v>27</v>
      </c>
      <c r="K804" s="6"/>
      <c r="L804" s="6"/>
      <c r="M804" s="3">
        <v>86</v>
      </c>
    </row>
    <row r="805" spans="1:13" x14ac:dyDescent="0.25">
      <c r="A805" s="3" t="s">
        <v>845</v>
      </c>
      <c r="B805" s="3" t="s">
        <v>14</v>
      </c>
      <c r="C805" s="3" t="s">
        <v>15</v>
      </c>
      <c r="D805" s="3" t="s">
        <v>829</v>
      </c>
      <c r="E805" s="3" t="s">
        <v>754</v>
      </c>
      <c r="F805" s="3" t="s">
        <v>830</v>
      </c>
      <c r="G805" s="3" t="s">
        <v>19</v>
      </c>
      <c r="H805" s="8">
        <v>46147</v>
      </c>
      <c r="I805" s="6"/>
      <c r="J805" s="3" t="s">
        <v>27</v>
      </c>
      <c r="K805" s="6"/>
      <c r="L805" s="6"/>
      <c r="M805" s="3">
        <v>56</v>
      </c>
    </row>
    <row r="806" spans="1:13" x14ac:dyDescent="0.25">
      <c r="A806" s="3" t="s">
        <v>846</v>
      </c>
      <c r="B806" s="3" t="s">
        <v>14</v>
      </c>
      <c r="C806" s="3" t="s">
        <v>15</v>
      </c>
      <c r="D806" s="3" t="s">
        <v>829</v>
      </c>
      <c r="E806" s="3" t="s">
        <v>754</v>
      </c>
      <c r="F806" s="3" t="s">
        <v>830</v>
      </c>
      <c r="G806" s="3" t="s">
        <v>19</v>
      </c>
      <c r="H806" s="8">
        <v>46147</v>
      </c>
      <c r="I806" s="8">
        <v>46147</v>
      </c>
      <c r="J806" s="3" t="s">
        <v>20</v>
      </c>
      <c r="K806" s="3" t="s">
        <v>21</v>
      </c>
      <c r="L806" s="3" t="s">
        <v>22</v>
      </c>
      <c r="M806" s="3">
        <v>0</v>
      </c>
    </row>
    <row r="807" spans="1:13" x14ac:dyDescent="0.25">
      <c r="A807" s="3" t="s">
        <v>847</v>
      </c>
      <c r="B807" s="3" t="s">
        <v>14</v>
      </c>
      <c r="C807" s="3" t="s">
        <v>15</v>
      </c>
      <c r="D807" s="3" t="s">
        <v>829</v>
      </c>
      <c r="E807" s="3" t="s">
        <v>754</v>
      </c>
      <c r="F807" s="3" t="s">
        <v>830</v>
      </c>
      <c r="G807" s="3" t="s">
        <v>19</v>
      </c>
      <c r="H807" s="4">
        <v>45753</v>
      </c>
      <c r="I807" s="6"/>
      <c r="J807" s="3" t="s">
        <v>27</v>
      </c>
      <c r="K807" s="6"/>
      <c r="L807" s="6"/>
      <c r="M807" s="3">
        <v>450</v>
      </c>
    </row>
    <row r="808" spans="1:13" x14ac:dyDescent="0.25">
      <c r="A808" s="3" t="s">
        <v>848</v>
      </c>
      <c r="B808" s="3" t="s">
        <v>14</v>
      </c>
      <c r="C808" s="3" t="s">
        <v>15</v>
      </c>
      <c r="D808" s="3" t="s">
        <v>829</v>
      </c>
      <c r="E808" s="3" t="s">
        <v>754</v>
      </c>
      <c r="F808" s="3" t="s">
        <v>830</v>
      </c>
      <c r="G808" s="3" t="s">
        <v>19</v>
      </c>
      <c r="H808" s="4">
        <v>46059</v>
      </c>
      <c r="I808" s="4">
        <v>46121</v>
      </c>
      <c r="J808" s="3" t="s">
        <v>20</v>
      </c>
      <c r="K808" s="3" t="s">
        <v>24</v>
      </c>
      <c r="L808" s="3" t="s">
        <v>41</v>
      </c>
      <c r="M808" s="3">
        <v>62</v>
      </c>
    </row>
    <row r="809" spans="1:13" x14ac:dyDescent="0.25">
      <c r="A809" s="3" t="s">
        <v>849</v>
      </c>
      <c r="B809" s="3" t="s">
        <v>14</v>
      </c>
      <c r="C809" s="3" t="s">
        <v>15</v>
      </c>
      <c r="D809" s="3" t="s">
        <v>829</v>
      </c>
      <c r="E809" s="3" t="s">
        <v>754</v>
      </c>
      <c r="F809" s="3" t="s">
        <v>830</v>
      </c>
      <c r="G809" s="3" t="s">
        <v>19</v>
      </c>
      <c r="H809" s="4">
        <v>46028</v>
      </c>
      <c r="I809" s="6"/>
      <c r="J809" s="3" t="s">
        <v>27</v>
      </c>
      <c r="K809" s="6"/>
      <c r="L809" s="6"/>
      <c r="M809" s="3">
        <v>175</v>
      </c>
    </row>
    <row r="810" spans="1:13" x14ac:dyDescent="0.25">
      <c r="A810" s="3" t="s">
        <v>850</v>
      </c>
      <c r="B810" s="3" t="s">
        <v>14</v>
      </c>
      <c r="C810" s="3" t="s">
        <v>15</v>
      </c>
      <c r="D810" s="3" t="s">
        <v>829</v>
      </c>
      <c r="E810" s="3" t="s">
        <v>754</v>
      </c>
      <c r="F810" s="3" t="s">
        <v>830</v>
      </c>
      <c r="G810" s="3" t="s">
        <v>19</v>
      </c>
      <c r="H810" s="4">
        <v>46179</v>
      </c>
      <c r="I810" s="6"/>
      <c r="J810" s="3" t="s">
        <v>27</v>
      </c>
      <c r="K810" s="6"/>
      <c r="L810" s="6"/>
      <c r="M810" s="3">
        <v>24</v>
      </c>
    </row>
    <row r="811" spans="1:13" x14ac:dyDescent="0.25">
      <c r="A811" s="3" t="s">
        <v>851</v>
      </c>
      <c r="B811" s="3" t="s">
        <v>14</v>
      </c>
      <c r="C811" s="3" t="s">
        <v>15</v>
      </c>
      <c r="D811" s="3" t="s">
        <v>829</v>
      </c>
      <c r="E811" s="3" t="s">
        <v>754</v>
      </c>
      <c r="F811" s="3" t="s">
        <v>830</v>
      </c>
      <c r="G811" s="3" t="s">
        <v>19</v>
      </c>
      <c r="H811" s="4">
        <v>46087</v>
      </c>
      <c r="I811" s="5">
        <v>46198</v>
      </c>
      <c r="J811" s="3" t="s">
        <v>20</v>
      </c>
      <c r="K811" s="3" t="s">
        <v>24</v>
      </c>
      <c r="L811" s="3" t="s">
        <v>44</v>
      </c>
      <c r="M811" s="3">
        <v>111</v>
      </c>
    </row>
    <row r="812" spans="1:13" x14ac:dyDescent="0.25">
      <c r="A812" s="3" t="s">
        <v>852</v>
      </c>
      <c r="B812" s="3" t="s">
        <v>14</v>
      </c>
      <c r="C812" s="3" t="s">
        <v>15</v>
      </c>
      <c r="D812" s="3" t="s">
        <v>829</v>
      </c>
      <c r="E812" s="3" t="s">
        <v>754</v>
      </c>
      <c r="F812" s="3" t="s">
        <v>830</v>
      </c>
      <c r="G812" s="3" t="s">
        <v>19</v>
      </c>
      <c r="H812" s="4">
        <v>45967</v>
      </c>
      <c r="I812" s="5">
        <v>46136</v>
      </c>
      <c r="J812" s="3" t="s">
        <v>20</v>
      </c>
      <c r="K812" s="3" t="s">
        <v>24</v>
      </c>
      <c r="L812" s="3" t="s">
        <v>41</v>
      </c>
      <c r="M812" s="3">
        <v>169</v>
      </c>
    </row>
    <row r="813" spans="1:13" x14ac:dyDescent="0.25">
      <c r="A813" s="3" t="s">
        <v>853</v>
      </c>
      <c r="B813" s="3" t="s">
        <v>14</v>
      </c>
      <c r="C813" s="3" t="s">
        <v>15</v>
      </c>
      <c r="D813" s="3" t="s">
        <v>829</v>
      </c>
      <c r="E813" s="3" t="s">
        <v>754</v>
      </c>
      <c r="F813" s="3" t="s">
        <v>830</v>
      </c>
      <c r="G813" s="3" t="s">
        <v>19</v>
      </c>
      <c r="H813" s="4">
        <v>46180</v>
      </c>
      <c r="I813" s="5">
        <v>46189</v>
      </c>
      <c r="J813" s="3" t="s">
        <v>20</v>
      </c>
      <c r="K813" s="3" t="s">
        <v>21</v>
      </c>
      <c r="L813" s="3" t="s">
        <v>61</v>
      </c>
      <c r="M813" s="3">
        <v>9</v>
      </c>
    </row>
    <row r="814" spans="1:13" x14ac:dyDescent="0.25">
      <c r="A814" s="3" t="s">
        <v>854</v>
      </c>
      <c r="B814" s="3" t="s">
        <v>14</v>
      </c>
      <c r="C814" s="3" t="s">
        <v>15</v>
      </c>
      <c r="D814" s="3" t="s">
        <v>829</v>
      </c>
      <c r="E814" s="3" t="s">
        <v>754</v>
      </c>
      <c r="F814" s="3" t="s">
        <v>830</v>
      </c>
      <c r="G814" s="3" t="s">
        <v>19</v>
      </c>
      <c r="H814" s="4">
        <v>46180</v>
      </c>
      <c r="I814" s="6"/>
      <c r="J814" s="3" t="s">
        <v>27</v>
      </c>
      <c r="K814" s="6"/>
      <c r="L814" s="6"/>
      <c r="M814" s="3">
        <v>23</v>
      </c>
    </row>
    <row r="815" spans="1:13" x14ac:dyDescent="0.25">
      <c r="A815" s="3" t="s">
        <v>855</v>
      </c>
      <c r="B815" s="3" t="s">
        <v>14</v>
      </c>
      <c r="C815" s="3" t="s">
        <v>15</v>
      </c>
      <c r="D815" s="3" t="s">
        <v>829</v>
      </c>
      <c r="E815" s="3" t="s">
        <v>754</v>
      </c>
      <c r="F815" s="3" t="s">
        <v>830</v>
      </c>
      <c r="G815" s="3" t="s">
        <v>19</v>
      </c>
      <c r="H815" s="4">
        <v>46180</v>
      </c>
      <c r="I815" s="5">
        <v>46183</v>
      </c>
      <c r="J815" s="3" t="s">
        <v>20</v>
      </c>
      <c r="K815" s="3" t="s">
        <v>21</v>
      </c>
      <c r="L815" s="3" t="s">
        <v>50</v>
      </c>
      <c r="M815" s="3">
        <v>3</v>
      </c>
    </row>
    <row r="816" spans="1:13" x14ac:dyDescent="0.25">
      <c r="A816" s="3" t="s">
        <v>856</v>
      </c>
      <c r="B816" s="3" t="s">
        <v>14</v>
      </c>
      <c r="C816" s="3" t="s">
        <v>15</v>
      </c>
      <c r="D816" s="3" t="s">
        <v>829</v>
      </c>
      <c r="E816" s="3" t="s">
        <v>754</v>
      </c>
      <c r="F816" s="3" t="s">
        <v>830</v>
      </c>
      <c r="G816" s="3" t="s">
        <v>19</v>
      </c>
      <c r="H816" s="4">
        <v>46120</v>
      </c>
      <c r="I816" s="5">
        <v>46188</v>
      </c>
      <c r="J816" s="3" t="s">
        <v>20</v>
      </c>
      <c r="K816" s="3" t="s">
        <v>24</v>
      </c>
      <c r="L816" s="3" t="s">
        <v>44</v>
      </c>
      <c r="M816" s="3">
        <v>68</v>
      </c>
    </row>
    <row r="817" spans="1:13" x14ac:dyDescent="0.25">
      <c r="A817" s="3" t="s">
        <v>857</v>
      </c>
      <c r="B817" s="3" t="s">
        <v>14</v>
      </c>
      <c r="C817" s="3" t="s">
        <v>15</v>
      </c>
      <c r="D817" s="3" t="s">
        <v>829</v>
      </c>
      <c r="E817" s="3" t="s">
        <v>754</v>
      </c>
      <c r="F817" s="3" t="s">
        <v>830</v>
      </c>
      <c r="G817" s="3" t="s">
        <v>19</v>
      </c>
      <c r="H817" s="4">
        <v>45696</v>
      </c>
      <c r="I817" s="5">
        <v>46142</v>
      </c>
      <c r="J817" s="3" t="s">
        <v>20</v>
      </c>
      <c r="K817" s="3" t="s">
        <v>24</v>
      </c>
      <c r="L817" s="3" t="s">
        <v>25</v>
      </c>
      <c r="M817" s="3">
        <v>446</v>
      </c>
    </row>
    <row r="818" spans="1:13" x14ac:dyDescent="0.25">
      <c r="A818" s="3" t="s">
        <v>858</v>
      </c>
      <c r="B818" s="3" t="s">
        <v>14</v>
      </c>
      <c r="C818" s="3" t="s">
        <v>15</v>
      </c>
      <c r="D818" s="3" t="s">
        <v>829</v>
      </c>
      <c r="E818" s="3" t="s">
        <v>754</v>
      </c>
      <c r="F818" s="3" t="s">
        <v>830</v>
      </c>
      <c r="G818" s="3" t="s">
        <v>19</v>
      </c>
      <c r="H818" s="8">
        <v>46150</v>
      </c>
      <c r="I818" s="6"/>
      <c r="J818" s="3" t="s">
        <v>27</v>
      </c>
      <c r="K818" s="6"/>
      <c r="L818" s="6"/>
      <c r="M818" s="3">
        <v>53</v>
      </c>
    </row>
    <row r="819" spans="1:13" x14ac:dyDescent="0.25">
      <c r="A819" s="3" t="s">
        <v>859</v>
      </c>
      <c r="B819" s="3" t="s">
        <v>14</v>
      </c>
      <c r="C819" s="3" t="s">
        <v>15</v>
      </c>
      <c r="D819" s="3" t="s">
        <v>829</v>
      </c>
      <c r="E819" s="3" t="s">
        <v>754</v>
      </c>
      <c r="F819" s="3" t="s">
        <v>830</v>
      </c>
      <c r="G819" s="3" t="s">
        <v>19</v>
      </c>
      <c r="H819" s="4">
        <v>46121</v>
      </c>
      <c r="I819" s="4">
        <v>46121</v>
      </c>
      <c r="J819" s="3" t="s">
        <v>20</v>
      </c>
      <c r="K819" s="3" t="s">
        <v>21</v>
      </c>
      <c r="L819" s="3" t="s">
        <v>61</v>
      </c>
      <c r="M819" s="3">
        <v>0</v>
      </c>
    </row>
    <row r="820" spans="1:13" x14ac:dyDescent="0.25">
      <c r="A820" s="3" t="s">
        <v>860</v>
      </c>
      <c r="B820" s="3" t="s">
        <v>14</v>
      </c>
      <c r="C820" s="3" t="s">
        <v>15</v>
      </c>
      <c r="D820" s="3" t="s">
        <v>829</v>
      </c>
      <c r="E820" s="3" t="s">
        <v>754</v>
      </c>
      <c r="F820" s="3" t="s">
        <v>830</v>
      </c>
      <c r="G820" s="3" t="s">
        <v>19</v>
      </c>
      <c r="H820" s="4">
        <v>46062</v>
      </c>
      <c r="I820" s="5">
        <v>46135</v>
      </c>
      <c r="J820" s="3" t="s">
        <v>20</v>
      </c>
      <c r="K820" s="3" t="s">
        <v>24</v>
      </c>
      <c r="L820" s="3" t="s">
        <v>25</v>
      </c>
      <c r="M820" s="3">
        <v>73</v>
      </c>
    </row>
    <row r="821" spans="1:13" x14ac:dyDescent="0.25">
      <c r="A821" s="3" t="s">
        <v>861</v>
      </c>
      <c r="B821" s="3" t="s">
        <v>14</v>
      </c>
      <c r="C821" s="3" t="s">
        <v>15</v>
      </c>
      <c r="D821" s="3" t="s">
        <v>829</v>
      </c>
      <c r="E821" s="3" t="s">
        <v>754</v>
      </c>
      <c r="F821" s="3" t="s">
        <v>830</v>
      </c>
      <c r="G821" s="3" t="s">
        <v>19</v>
      </c>
      <c r="H821" s="4">
        <v>46182</v>
      </c>
      <c r="I821" s="4">
        <v>46182</v>
      </c>
      <c r="J821" s="3" t="s">
        <v>20</v>
      </c>
      <c r="K821" s="3" t="s">
        <v>21</v>
      </c>
      <c r="L821" s="3" t="s">
        <v>37</v>
      </c>
      <c r="M821" s="3">
        <v>0</v>
      </c>
    </row>
    <row r="822" spans="1:13" x14ac:dyDescent="0.25">
      <c r="A822" s="3" t="s">
        <v>862</v>
      </c>
      <c r="B822" s="3" t="s">
        <v>14</v>
      </c>
      <c r="C822" s="3" t="s">
        <v>15</v>
      </c>
      <c r="D822" s="3" t="s">
        <v>829</v>
      </c>
      <c r="E822" s="3" t="s">
        <v>754</v>
      </c>
      <c r="F822" s="3" t="s">
        <v>830</v>
      </c>
      <c r="G822" s="3" t="s">
        <v>19</v>
      </c>
      <c r="H822" s="8">
        <v>46151</v>
      </c>
      <c r="I822" s="7">
        <v>46154</v>
      </c>
      <c r="J822" s="3" t="s">
        <v>20</v>
      </c>
      <c r="K822" s="3" t="s">
        <v>21</v>
      </c>
      <c r="L822" s="3" t="s">
        <v>61</v>
      </c>
      <c r="M822" s="3">
        <v>3</v>
      </c>
    </row>
    <row r="823" spans="1:13" x14ac:dyDescent="0.25">
      <c r="A823" s="3" t="s">
        <v>863</v>
      </c>
      <c r="B823" s="3" t="s">
        <v>14</v>
      </c>
      <c r="C823" s="3" t="s">
        <v>15</v>
      </c>
      <c r="D823" s="3" t="s">
        <v>829</v>
      </c>
      <c r="E823" s="3" t="s">
        <v>754</v>
      </c>
      <c r="F823" s="3" t="s">
        <v>830</v>
      </c>
      <c r="G823" s="3" t="s">
        <v>19</v>
      </c>
      <c r="H823" s="4">
        <v>45909</v>
      </c>
      <c r="I823" s="6"/>
      <c r="J823" s="3" t="s">
        <v>27</v>
      </c>
      <c r="K823" s="6"/>
      <c r="L823" s="6"/>
      <c r="M823" s="3">
        <v>294</v>
      </c>
    </row>
    <row r="824" spans="1:13" x14ac:dyDescent="0.25">
      <c r="A824" s="3" t="s">
        <v>864</v>
      </c>
      <c r="B824" s="3" t="s">
        <v>14</v>
      </c>
      <c r="C824" s="3" t="s">
        <v>15</v>
      </c>
      <c r="D824" s="3" t="s">
        <v>829</v>
      </c>
      <c r="E824" s="3" t="s">
        <v>754</v>
      </c>
      <c r="F824" s="3" t="s">
        <v>830</v>
      </c>
      <c r="G824" s="3" t="s">
        <v>19</v>
      </c>
      <c r="H824" s="5">
        <v>46122</v>
      </c>
      <c r="I824" s="6"/>
      <c r="J824" s="3" t="s">
        <v>27</v>
      </c>
      <c r="K824" s="6"/>
      <c r="L824" s="6"/>
      <c r="M824" s="3">
        <v>81</v>
      </c>
    </row>
    <row r="825" spans="1:13" x14ac:dyDescent="0.25">
      <c r="A825" s="3" t="s">
        <v>865</v>
      </c>
      <c r="B825" s="3" t="s">
        <v>14</v>
      </c>
      <c r="C825" s="3" t="s">
        <v>15</v>
      </c>
      <c r="D825" s="3" t="s">
        <v>829</v>
      </c>
      <c r="E825" s="3" t="s">
        <v>754</v>
      </c>
      <c r="F825" s="3" t="s">
        <v>830</v>
      </c>
      <c r="G825" s="3" t="s">
        <v>19</v>
      </c>
      <c r="H825" s="5">
        <v>46122</v>
      </c>
      <c r="I825" s="7">
        <v>46164</v>
      </c>
      <c r="J825" s="3" t="s">
        <v>20</v>
      </c>
      <c r="K825" s="3" t="s">
        <v>21</v>
      </c>
      <c r="L825" s="3" t="s">
        <v>37</v>
      </c>
      <c r="M825" s="3">
        <v>42</v>
      </c>
    </row>
    <row r="826" spans="1:13" x14ac:dyDescent="0.25">
      <c r="A826" s="3" t="s">
        <v>866</v>
      </c>
      <c r="B826" s="3" t="s">
        <v>14</v>
      </c>
      <c r="C826" s="3" t="s">
        <v>15</v>
      </c>
      <c r="D826" s="3" t="s">
        <v>829</v>
      </c>
      <c r="E826" s="3" t="s">
        <v>754</v>
      </c>
      <c r="F826" s="3" t="s">
        <v>830</v>
      </c>
      <c r="G826" s="3" t="s">
        <v>19</v>
      </c>
      <c r="H826" s="5">
        <v>45879</v>
      </c>
      <c r="I826" s="6"/>
      <c r="J826" s="3" t="s">
        <v>27</v>
      </c>
      <c r="K826" s="6"/>
      <c r="L826" s="6"/>
      <c r="M826" s="3">
        <v>324</v>
      </c>
    </row>
    <row r="827" spans="1:13" x14ac:dyDescent="0.25">
      <c r="A827" s="3" t="s">
        <v>867</v>
      </c>
      <c r="B827" s="3" t="s">
        <v>14</v>
      </c>
      <c r="C827" s="3" t="s">
        <v>15</v>
      </c>
      <c r="D827" s="3" t="s">
        <v>829</v>
      </c>
      <c r="E827" s="3" t="s">
        <v>754</v>
      </c>
      <c r="F827" s="3" t="s">
        <v>830</v>
      </c>
      <c r="G827" s="3" t="s">
        <v>19</v>
      </c>
      <c r="H827" s="5">
        <v>45698</v>
      </c>
      <c r="I827" s="6"/>
      <c r="J827" s="3" t="s">
        <v>27</v>
      </c>
      <c r="K827" s="6"/>
      <c r="L827" s="6"/>
      <c r="M827" s="3">
        <v>505</v>
      </c>
    </row>
    <row r="828" spans="1:13" x14ac:dyDescent="0.25">
      <c r="A828" s="3" t="s">
        <v>868</v>
      </c>
      <c r="B828" s="3" t="s">
        <v>14</v>
      </c>
      <c r="C828" s="3" t="s">
        <v>15</v>
      </c>
      <c r="D828" s="3" t="s">
        <v>829</v>
      </c>
      <c r="E828" s="3" t="s">
        <v>754</v>
      </c>
      <c r="F828" s="3" t="s">
        <v>830</v>
      </c>
      <c r="G828" s="3" t="s">
        <v>19</v>
      </c>
      <c r="H828" s="7">
        <v>46152</v>
      </c>
      <c r="I828" s="6"/>
      <c r="J828" s="3" t="s">
        <v>27</v>
      </c>
      <c r="K828" s="6"/>
      <c r="L828" s="6"/>
      <c r="M828" s="3">
        <v>51</v>
      </c>
    </row>
    <row r="829" spans="1:13" x14ac:dyDescent="0.25">
      <c r="A829" s="3" t="s">
        <v>869</v>
      </c>
      <c r="B829" s="3" t="s">
        <v>14</v>
      </c>
      <c r="C829" s="3" t="s">
        <v>15</v>
      </c>
      <c r="D829" s="3" t="s">
        <v>829</v>
      </c>
      <c r="E829" s="3" t="s">
        <v>754</v>
      </c>
      <c r="F829" s="3" t="s">
        <v>830</v>
      </c>
      <c r="G829" s="3" t="s">
        <v>19</v>
      </c>
      <c r="H829" s="5">
        <v>46123</v>
      </c>
      <c r="I829" s="6"/>
      <c r="J829" s="3" t="s">
        <v>27</v>
      </c>
      <c r="K829" s="6"/>
      <c r="L829" s="6"/>
      <c r="M829" s="3">
        <v>80</v>
      </c>
    </row>
    <row r="830" spans="1:13" x14ac:dyDescent="0.25">
      <c r="A830" s="3" t="s">
        <v>870</v>
      </c>
      <c r="B830" s="3" t="s">
        <v>14</v>
      </c>
      <c r="C830" s="3" t="s">
        <v>15</v>
      </c>
      <c r="D830" s="3" t="s">
        <v>829</v>
      </c>
      <c r="E830" s="3" t="s">
        <v>754</v>
      </c>
      <c r="F830" s="3" t="s">
        <v>830</v>
      </c>
      <c r="G830" s="3" t="s">
        <v>19</v>
      </c>
      <c r="H830" s="5">
        <v>45972</v>
      </c>
      <c r="I830" s="5">
        <v>46127</v>
      </c>
      <c r="J830" s="3" t="s">
        <v>20</v>
      </c>
      <c r="K830" s="3" t="s">
        <v>24</v>
      </c>
      <c r="L830" s="3" t="s">
        <v>44</v>
      </c>
      <c r="M830" s="3">
        <v>155</v>
      </c>
    </row>
    <row r="831" spans="1:13" x14ac:dyDescent="0.25">
      <c r="A831" s="3" t="s">
        <v>871</v>
      </c>
      <c r="B831" s="3" t="s">
        <v>14</v>
      </c>
      <c r="C831" s="3" t="s">
        <v>15</v>
      </c>
      <c r="D831" s="3" t="s">
        <v>829</v>
      </c>
      <c r="E831" s="3" t="s">
        <v>754</v>
      </c>
      <c r="F831" s="3" t="s">
        <v>830</v>
      </c>
      <c r="G831" s="3" t="s">
        <v>19</v>
      </c>
      <c r="H831" s="5">
        <v>45941</v>
      </c>
      <c r="I831" s="6"/>
      <c r="J831" s="3" t="s">
        <v>27</v>
      </c>
      <c r="K831" s="6"/>
      <c r="L831" s="6"/>
      <c r="M831" s="3">
        <v>262</v>
      </c>
    </row>
    <row r="832" spans="1:13" x14ac:dyDescent="0.25">
      <c r="A832" s="3" t="s">
        <v>872</v>
      </c>
      <c r="B832" s="3" t="s">
        <v>14</v>
      </c>
      <c r="C832" s="3" t="s">
        <v>15</v>
      </c>
      <c r="D832" s="3" t="s">
        <v>829</v>
      </c>
      <c r="E832" s="3" t="s">
        <v>754</v>
      </c>
      <c r="F832" s="3" t="s">
        <v>830</v>
      </c>
      <c r="G832" s="3" t="s">
        <v>19</v>
      </c>
      <c r="H832" s="5">
        <v>46124</v>
      </c>
      <c r="I832" s="5">
        <v>46124</v>
      </c>
      <c r="J832" s="3" t="s">
        <v>20</v>
      </c>
      <c r="K832" s="3" t="s">
        <v>21</v>
      </c>
      <c r="L832" s="3" t="s">
        <v>37</v>
      </c>
      <c r="M832" s="3">
        <v>0</v>
      </c>
    </row>
    <row r="833" spans="1:13" x14ac:dyDescent="0.25">
      <c r="A833" s="3" t="s">
        <v>873</v>
      </c>
      <c r="B833" s="3" t="s">
        <v>14</v>
      </c>
      <c r="C833" s="3" t="s">
        <v>15</v>
      </c>
      <c r="D833" s="3" t="s">
        <v>829</v>
      </c>
      <c r="E833" s="3" t="s">
        <v>754</v>
      </c>
      <c r="F833" s="3" t="s">
        <v>830</v>
      </c>
      <c r="G833" s="3" t="s">
        <v>19</v>
      </c>
      <c r="H833" s="5">
        <v>45881</v>
      </c>
      <c r="I833" s="5">
        <v>46183</v>
      </c>
      <c r="J833" s="3" t="s">
        <v>20</v>
      </c>
      <c r="K833" s="3" t="s">
        <v>24</v>
      </c>
      <c r="L833" s="3" t="s">
        <v>55</v>
      </c>
      <c r="M833" s="3">
        <v>302</v>
      </c>
    </row>
    <row r="834" spans="1:13" x14ac:dyDescent="0.25">
      <c r="A834" s="3" t="s">
        <v>874</v>
      </c>
      <c r="B834" s="3" t="s">
        <v>14</v>
      </c>
      <c r="C834" s="3" t="s">
        <v>15</v>
      </c>
      <c r="D834" s="3" t="s">
        <v>829</v>
      </c>
      <c r="E834" s="3" t="s">
        <v>754</v>
      </c>
      <c r="F834" s="3" t="s">
        <v>830</v>
      </c>
      <c r="G834" s="3" t="s">
        <v>19</v>
      </c>
      <c r="H834" s="5">
        <v>45850</v>
      </c>
      <c r="I834" s="5">
        <v>46123</v>
      </c>
      <c r="J834" s="3" t="s">
        <v>20</v>
      </c>
      <c r="K834" s="3" t="s">
        <v>24</v>
      </c>
      <c r="L834" s="3" t="s">
        <v>41</v>
      </c>
      <c r="M834" s="3">
        <v>273</v>
      </c>
    </row>
    <row r="835" spans="1:13" x14ac:dyDescent="0.25">
      <c r="A835" s="3" t="s">
        <v>875</v>
      </c>
      <c r="B835" s="3" t="s">
        <v>14</v>
      </c>
      <c r="C835" s="3" t="s">
        <v>15</v>
      </c>
      <c r="D835" s="3" t="s">
        <v>829</v>
      </c>
      <c r="E835" s="3" t="s">
        <v>754</v>
      </c>
      <c r="F835" s="3" t="s">
        <v>830</v>
      </c>
      <c r="G835" s="3" t="s">
        <v>19</v>
      </c>
      <c r="H835" s="5">
        <v>46125</v>
      </c>
      <c r="I835" s="5">
        <v>46125</v>
      </c>
      <c r="J835" s="3" t="s">
        <v>20</v>
      </c>
      <c r="K835" s="3" t="s">
        <v>21</v>
      </c>
      <c r="L835" s="3" t="s">
        <v>61</v>
      </c>
      <c r="M835" s="3">
        <v>0</v>
      </c>
    </row>
    <row r="836" spans="1:13" x14ac:dyDescent="0.25">
      <c r="A836" s="3" t="s">
        <v>876</v>
      </c>
      <c r="B836" s="3" t="s">
        <v>14</v>
      </c>
      <c r="C836" s="3" t="s">
        <v>15</v>
      </c>
      <c r="D836" s="3" t="s">
        <v>829</v>
      </c>
      <c r="E836" s="3" t="s">
        <v>754</v>
      </c>
      <c r="F836" s="3" t="s">
        <v>830</v>
      </c>
      <c r="G836" s="3" t="s">
        <v>19</v>
      </c>
      <c r="H836" s="5">
        <v>46125</v>
      </c>
      <c r="I836" s="6"/>
      <c r="J836" s="3" t="s">
        <v>27</v>
      </c>
      <c r="K836" s="6"/>
      <c r="L836" s="6"/>
      <c r="M836" s="3">
        <v>78</v>
      </c>
    </row>
    <row r="837" spans="1:13" x14ac:dyDescent="0.25">
      <c r="A837" s="3" t="s">
        <v>877</v>
      </c>
      <c r="B837" s="3" t="s">
        <v>14</v>
      </c>
      <c r="C837" s="3" t="s">
        <v>15</v>
      </c>
      <c r="D837" s="3" t="s">
        <v>829</v>
      </c>
      <c r="E837" s="3" t="s">
        <v>754</v>
      </c>
      <c r="F837" s="3" t="s">
        <v>830</v>
      </c>
      <c r="G837" s="3" t="s">
        <v>19</v>
      </c>
      <c r="H837" s="5">
        <v>46125</v>
      </c>
      <c r="I837" s="5">
        <v>46125</v>
      </c>
      <c r="J837" s="3" t="s">
        <v>20</v>
      </c>
      <c r="K837" s="3" t="s">
        <v>21</v>
      </c>
      <c r="L837" s="3" t="s">
        <v>30</v>
      </c>
      <c r="M837" s="3">
        <v>0</v>
      </c>
    </row>
    <row r="838" spans="1:13" x14ac:dyDescent="0.25">
      <c r="A838" s="3" t="s">
        <v>878</v>
      </c>
      <c r="B838" s="3" t="s">
        <v>14</v>
      </c>
      <c r="C838" s="3" t="s">
        <v>15</v>
      </c>
      <c r="D838" s="3" t="s">
        <v>829</v>
      </c>
      <c r="E838" s="3" t="s">
        <v>754</v>
      </c>
      <c r="F838" s="3" t="s">
        <v>830</v>
      </c>
      <c r="G838" s="3" t="s">
        <v>19</v>
      </c>
      <c r="H838" s="5">
        <v>46004</v>
      </c>
      <c r="I838" s="5">
        <v>46197</v>
      </c>
      <c r="J838" s="3" t="s">
        <v>20</v>
      </c>
      <c r="K838" s="3" t="s">
        <v>24</v>
      </c>
      <c r="L838" s="3" t="s">
        <v>25</v>
      </c>
      <c r="M838" s="3">
        <v>193</v>
      </c>
    </row>
    <row r="839" spans="1:13" x14ac:dyDescent="0.25">
      <c r="A839" s="3" t="s">
        <v>879</v>
      </c>
      <c r="B839" s="3" t="s">
        <v>14</v>
      </c>
      <c r="C839" s="3" t="s">
        <v>15</v>
      </c>
      <c r="D839" s="3" t="s">
        <v>829</v>
      </c>
      <c r="E839" s="3" t="s">
        <v>754</v>
      </c>
      <c r="F839" s="3" t="s">
        <v>830</v>
      </c>
      <c r="G839" s="3" t="s">
        <v>19</v>
      </c>
      <c r="H839" s="5">
        <v>46186</v>
      </c>
      <c r="I839" s="6"/>
      <c r="J839" s="3" t="s">
        <v>27</v>
      </c>
      <c r="K839" s="6"/>
      <c r="L839" s="6"/>
      <c r="M839" s="3">
        <v>17</v>
      </c>
    </row>
    <row r="840" spans="1:13" x14ac:dyDescent="0.25">
      <c r="A840" s="3" t="s">
        <v>880</v>
      </c>
      <c r="B840" s="3" t="s">
        <v>14</v>
      </c>
      <c r="C840" s="3" t="s">
        <v>15</v>
      </c>
      <c r="D840" s="3" t="s">
        <v>829</v>
      </c>
      <c r="E840" s="3" t="s">
        <v>754</v>
      </c>
      <c r="F840" s="3" t="s">
        <v>830</v>
      </c>
      <c r="G840" s="3" t="s">
        <v>19</v>
      </c>
      <c r="H840" s="5">
        <v>46186</v>
      </c>
      <c r="I840" s="5">
        <v>46186</v>
      </c>
      <c r="J840" s="3" t="s">
        <v>20</v>
      </c>
      <c r="K840" s="3" t="s">
        <v>21</v>
      </c>
      <c r="L840" s="3" t="s">
        <v>61</v>
      </c>
      <c r="M840" s="3">
        <v>0</v>
      </c>
    </row>
    <row r="841" spans="1:13" x14ac:dyDescent="0.25">
      <c r="A841" s="3" t="s">
        <v>881</v>
      </c>
      <c r="B841" s="3" t="s">
        <v>14</v>
      </c>
      <c r="C841" s="3" t="s">
        <v>15</v>
      </c>
      <c r="D841" s="3" t="s">
        <v>829</v>
      </c>
      <c r="E841" s="3" t="s">
        <v>754</v>
      </c>
      <c r="F841" s="3" t="s">
        <v>830</v>
      </c>
      <c r="G841" s="3" t="s">
        <v>19</v>
      </c>
      <c r="H841" s="5">
        <v>45729</v>
      </c>
      <c r="I841" s="5">
        <v>46188</v>
      </c>
      <c r="J841" s="3" t="s">
        <v>20</v>
      </c>
      <c r="K841" s="3" t="s">
        <v>24</v>
      </c>
      <c r="L841" s="3" t="s">
        <v>55</v>
      </c>
      <c r="M841" s="3">
        <v>459</v>
      </c>
    </row>
    <row r="842" spans="1:13" x14ac:dyDescent="0.25">
      <c r="A842" s="3" t="s">
        <v>882</v>
      </c>
      <c r="B842" s="3" t="s">
        <v>14</v>
      </c>
      <c r="C842" s="3" t="s">
        <v>15</v>
      </c>
      <c r="D842" s="3" t="s">
        <v>829</v>
      </c>
      <c r="E842" s="3" t="s">
        <v>754</v>
      </c>
      <c r="F842" s="3" t="s">
        <v>830</v>
      </c>
      <c r="G842" s="3" t="s">
        <v>19</v>
      </c>
      <c r="H842" s="5">
        <v>46036</v>
      </c>
      <c r="I842" s="7">
        <v>46163</v>
      </c>
      <c r="J842" s="3" t="s">
        <v>20</v>
      </c>
      <c r="K842" s="3" t="s">
        <v>24</v>
      </c>
      <c r="L842" s="3" t="s">
        <v>25</v>
      </c>
      <c r="M842" s="3">
        <v>127</v>
      </c>
    </row>
    <row r="843" spans="1:13" x14ac:dyDescent="0.25">
      <c r="A843" s="3" t="s">
        <v>883</v>
      </c>
      <c r="B843" s="3" t="s">
        <v>14</v>
      </c>
      <c r="C843" s="3" t="s">
        <v>15</v>
      </c>
      <c r="D843" s="3" t="s">
        <v>829</v>
      </c>
      <c r="E843" s="3" t="s">
        <v>754</v>
      </c>
      <c r="F843" s="3" t="s">
        <v>830</v>
      </c>
      <c r="G843" s="3" t="s">
        <v>19</v>
      </c>
      <c r="H843" s="5">
        <v>46187</v>
      </c>
      <c r="I843" s="5">
        <v>46189</v>
      </c>
      <c r="J843" s="3" t="s">
        <v>20</v>
      </c>
      <c r="K843" s="3" t="s">
        <v>21</v>
      </c>
      <c r="L843" s="3" t="s">
        <v>37</v>
      </c>
      <c r="M843" s="3">
        <v>2</v>
      </c>
    </row>
    <row r="844" spans="1:13" x14ac:dyDescent="0.25">
      <c r="A844" s="3" t="s">
        <v>884</v>
      </c>
      <c r="B844" s="3" t="s">
        <v>14</v>
      </c>
      <c r="C844" s="3" t="s">
        <v>15</v>
      </c>
      <c r="D844" s="3" t="s">
        <v>829</v>
      </c>
      <c r="E844" s="3" t="s">
        <v>754</v>
      </c>
      <c r="F844" s="3" t="s">
        <v>830</v>
      </c>
      <c r="G844" s="3" t="s">
        <v>19</v>
      </c>
      <c r="H844" s="5">
        <v>46187</v>
      </c>
      <c r="I844" s="5">
        <v>46198</v>
      </c>
      <c r="J844" s="3" t="s">
        <v>20</v>
      </c>
      <c r="K844" s="3" t="s">
        <v>21</v>
      </c>
      <c r="L844" s="3" t="s">
        <v>61</v>
      </c>
      <c r="M844" s="3">
        <v>11</v>
      </c>
    </row>
    <row r="845" spans="1:13" x14ac:dyDescent="0.25">
      <c r="A845" s="3" t="s">
        <v>885</v>
      </c>
      <c r="B845" s="3" t="s">
        <v>14</v>
      </c>
      <c r="C845" s="3" t="s">
        <v>15</v>
      </c>
      <c r="D845" s="3" t="s">
        <v>829</v>
      </c>
      <c r="E845" s="3" t="s">
        <v>754</v>
      </c>
      <c r="F845" s="3" t="s">
        <v>830</v>
      </c>
      <c r="G845" s="3" t="s">
        <v>19</v>
      </c>
      <c r="H845" s="7">
        <v>46156</v>
      </c>
      <c r="I845" s="6"/>
      <c r="J845" s="3" t="s">
        <v>27</v>
      </c>
      <c r="K845" s="6"/>
      <c r="L845" s="6"/>
      <c r="M845" s="3">
        <v>47</v>
      </c>
    </row>
    <row r="846" spans="1:13" x14ac:dyDescent="0.25">
      <c r="A846" s="3" t="s">
        <v>886</v>
      </c>
      <c r="B846" s="3" t="s">
        <v>14</v>
      </c>
      <c r="C846" s="3" t="s">
        <v>15</v>
      </c>
      <c r="D846" s="3" t="s">
        <v>829</v>
      </c>
      <c r="E846" s="3" t="s">
        <v>754</v>
      </c>
      <c r="F846" s="3" t="s">
        <v>830</v>
      </c>
      <c r="G846" s="3" t="s">
        <v>19</v>
      </c>
      <c r="H846" s="7">
        <v>46156</v>
      </c>
      <c r="I846" s="7">
        <v>46157</v>
      </c>
      <c r="J846" s="3" t="s">
        <v>20</v>
      </c>
      <c r="K846" s="3" t="s">
        <v>21</v>
      </c>
      <c r="L846" s="3" t="s">
        <v>37</v>
      </c>
      <c r="M846" s="3">
        <v>1</v>
      </c>
    </row>
    <row r="847" spans="1:13" x14ac:dyDescent="0.25">
      <c r="A847" s="3" t="s">
        <v>887</v>
      </c>
      <c r="B847" s="3" t="s">
        <v>14</v>
      </c>
      <c r="C847" s="3" t="s">
        <v>15</v>
      </c>
      <c r="D847" s="3" t="s">
        <v>829</v>
      </c>
      <c r="E847" s="3" t="s">
        <v>754</v>
      </c>
      <c r="F847" s="3" t="s">
        <v>830</v>
      </c>
      <c r="G847" s="3" t="s">
        <v>19</v>
      </c>
      <c r="H847" s="5">
        <v>45914</v>
      </c>
      <c r="I847" s="4">
        <v>46177</v>
      </c>
      <c r="J847" s="3" t="s">
        <v>20</v>
      </c>
      <c r="K847" s="3" t="s">
        <v>21</v>
      </c>
      <c r="L847" s="3" t="s">
        <v>33</v>
      </c>
      <c r="M847" s="3">
        <v>263</v>
      </c>
    </row>
    <row r="848" spans="1:13" x14ac:dyDescent="0.25">
      <c r="A848" s="3" t="s">
        <v>888</v>
      </c>
      <c r="B848" s="3" t="s">
        <v>14</v>
      </c>
      <c r="C848" s="3" t="s">
        <v>15</v>
      </c>
      <c r="D848" s="3" t="s">
        <v>829</v>
      </c>
      <c r="E848" s="3" t="s">
        <v>754</v>
      </c>
      <c r="F848" s="3" t="s">
        <v>830</v>
      </c>
      <c r="G848" s="3" t="s">
        <v>19</v>
      </c>
      <c r="H848" s="5">
        <v>46006</v>
      </c>
      <c r="I848" s="7">
        <v>46172</v>
      </c>
      <c r="J848" s="3" t="s">
        <v>20</v>
      </c>
      <c r="K848" s="3" t="s">
        <v>21</v>
      </c>
      <c r="L848" s="3" t="s">
        <v>30</v>
      </c>
      <c r="M848" s="3">
        <v>166</v>
      </c>
    </row>
    <row r="849" spans="1:13" x14ac:dyDescent="0.25">
      <c r="A849" s="3" t="s">
        <v>889</v>
      </c>
      <c r="B849" s="3" t="s">
        <v>14</v>
      </c>
      <c r="C849" s="3" t="s">
        <v>15</v>
      </c>
      <c r="D849" s="3" t="s">
        <v>829</v>
      </c>
      <c r="E849" s="3" t="s">
        <v>754</v>
      </c>
      <c r="F849" s="3" t="s">
        <v>830</v>
      </c>
      <c r="G849" s="3" t="s">
        <v>19</v>
      </c>
      <c r="H849" s="5">
        <v>46188</v>
      </c>
      <c r="I849" s="6"/>
      <c r="J849" s="3" t="s">
        <v>27</v>
      </c>
      <c r="K849" s="6"/>
      <c r="L849" s="6"/>
      <c r="M849" s="3">
        <v>15</v>
      </c>
    </row>
    <row r="850" spans="1:13" x14ac:dyDescent="0.25">
      <c r="A850" s="3" t="s">
        <v>890</v>
      </c>
      <c r="B850" s="3" t="s">
        <v>14</v>
      </c>
      <c r="C850" s="3" t="s">
        <v>15</v>
      </c>
      <c r="D850" s="3" t="s">
        <v>829</v>
      </c>
      <c r="E850" s="3" t="s">
        <v>754</v>
      </c>
      <c r="F850" s="3" t="s">
        <v>830</v>
      </c>
      <c r="G850" s="3" t="s">
        <v>19</v>
      </c>
      <c r="H850" s="5">
        <v>45673</v>
      </c>
      <c r="I850" s="6"/>
      <c r="J850" s="3" t="s">
        <v>27</v>
      </c>
      <c r="K850" s="6"/>
      <c r="L850" s="6"/>
      <c r="M850" s="3">
        <v>530</v>
      </c>
    </row>
    <row r="851" spans="1:13" x14ac:dyDescent="0.25">
      <c r="A851" s="3" t="s">
        <v>891</v>
      </c>
      <c r="B851" s="3" t="s">
        <v>14</v>
      </c>
      <c r="C851" s="3" t="s">
        <v>15</v>
      </c>
      <c r="D851" s="3" t="s">
        <v>829</v>
      </c>
      <c r="E851" s="3" t="s">
        <v>754</v>
      </c>
      <c r="F851" s="3" t="s">
        <v>830</v>
      </c>
      <c r="G851" s="3" t="s">
        <v>19</v>
      </c>
      <c r="H851" s="5">
        <v>45854</v>
      </c>
      <c r="I851" s="5">
        <v>46131</v>
      </c>
      <c r="J851" s="3" t="s">
        <v>20</v>
      </c>
      <c r="K851" s="3" t="s">
        <v>24</v>
      </c>
      <c r="L851" s="3" t="s">
        <v>25</v>
      </c>
      <c r="M851" s="3">
        <v>277</v>
      </c>
    </row>
    <row r="852" spans="1:13" x14ac:dyDescent="0.25">
      <c r="A852" s="3" t="s">
        <v>892</v>
      </c>
      <c r="B852" s="3" t="s">
        <v>14</v>
      </c>
      <c r="C852" s="3" t="s">
        <v>15</v>
      </c>
      <c r="D852" s="3" t="s">
        <v>829</v>
      </c>
      <c r="E852" s="3" t="s">
        <v>754</v>
      </c>
      <c r="F852" s="3" t="s">
        <v>830</v>
      </c>
      <c r="G852" s="3" t="s">
        <v>19</v>
      </c>
      <c r="H852" s="7">
        <v>46158</v>
      </c>
      <c r="I852" s="6"/>
      <c r="J852" s="3" t="s">
        <v>27</v>
      </c>
      <c r="K852" s="6"/>
      <c r="L852" s="6"/>
      <c r="M852" s="3">
        <v>45</v>
      </c>
    </row>
    <row r="853" spans="1:13" x14ac:dyDescent="0.25">
      <c r="A853" s="3" t="s">
        <v>893</v>
      </c>
      <c r="B853" s="3" t="s">
        <v>14</v>
      </c>
      <c r="C853" s="3" t="s">
        <v>15</v>
      </c>
      <c r="D853" s="3" t="s">
        <v>829</v>
      </c>
      <c r="E853" s="3" t="s">
        <v>754</v>
      </c>
      <c r="F853" s="3" t="s">
        <v>830</v>
      </c>
      <c r="G853" s="3" t="s">
        <v>19</v>
      </c>
      <c r="H853" s="5">
        <v>46039</v>
      </c>
      <c r="I853" s="5">
        <v>46124</v>
      </c>
      <c r="J853" s="3" t="s">
        <v>20</v>
      </c>
      <c r="K853" s="3" t="s">
        <v>24</v>
      </c>
      <c r="L853" s="3" t="s">
        <v>55</v>
      </c>
      <c r="M853" s="3">
        <v>85</v>
      </c>
    </row>
    <row r="854" spans="1:13" x14ac:dyDescent="0.25">
      <c r="A854" s="3" t="s">
        <v>894</v>
      </c>
      <c r="B854" s="3" t="s">
        <v>14</v>
      </c>
      <c r="C854" s="3" t="s">
        <v>15</v>
      </c>
      <c r="D854" s="3" t="s">
        <v>829</v>
      </c>
      <c r="E854" s="3" t="s">
        <v>754</v>
      </c>
      <c r="F854" s="3" t="s">
        <v>830</v>
      </c>
      <c r="G854" s="3" t="s">
        <v>19</v>
      </c>
      <c r="H854" s="5">
        <v>45825</v>
      </c>
      <c r="I854" s="8">
        <v>46150</v>
      </c>
      <c r="J854" s="3" t="s">
        <v>20</v>
      </c>
      <c r="K854" s="3" t="s">
        <v>24</v>
      </c>
      <c r="L854" s="3" t="s">
        <v>25</v>
      </c>
      <c r="M854" s="3">
        <v>325</v>
      </c>
    </row>
    <row r="855" spans="1:13" x14ac:dyDescent="0.25">
      <c r="A855" s="3" t="s">
        <v>895</v>
      </c>
      <c r="B855" s="3" t="s">
        <v>14</v>
      </c>
      <c r="C855" s="3" t="s">
        <v>15</v>
      </c>
      <c r="D855" s="3" t="s">
        <v>829</v>
      </c>
      <c r="E855" s="3" t="s">
        <v>754</v>
      </c>
      <c r="F855" s="3" t="s">
        <v>830</v>
      </c>
      <c r="G855" s="3" t="s">
        <v>19</v>
      </c>
      <c r="H855" s="5">
        <v>45888</v>
      </c>
      <c r="I855" s="6"/>
      <c r="J855" s="3" t="s">
        <v>27</v>
      </c>
      <c r="K855" s="6"/>
      <c r="L855" s="6"/>
      <c r="M855" s="3">
        <v>315</v>
      </c>
    </row>
    <row r="856" spans="1:13" x14ac:dyDescent="0.25">
      <c r="A856" s="3" t="s">
        <v>896</v>
      </c>
      <c r="B856" s="3" t="s">
        <v>14</v>
      </c>
      <c r="C856" s="3" t="s">
        <v>15</v>
      </c>
      <c r="D856" s="3" t="s">
        <v>829</v>
      </c>
      <c r="E856" s="3" t="s">
        <v>754</v>
      </c>
      <c r="F856" s="3" t="s">
        <v>830</v>
      </c>
      <c r="G856" s="3" t="s">
        <v>19</v>
      </c>
      <c r="H856" s="5">
        <v>46010</v>
      </c>
      <c r="I856" s="5">
        <v>46191</v>
      </c>
      <c r="J856" s="3" t="s">
        <v>20</v>
      </c>
      <c r="K856" s="3" t="s">
        <v>24</v>
      </c>
      <c r="L856" s="3" t="s">
        <v>25</v>
      </c>
      <c r="M856" s="3">
        <v>181</v>
      </c>
    </row>
    <row r="857" spans="1:13" x14ac:dyDescent="0.25">
      <c r="A857" s="3" t="s">
        <v>897</v>
      </c>
      <c r="B857" s="3" t="s">
        <v>14</v>
      </c>
      <c r="C857" s="3" t="s">
        <v>15</v>
      </c>
      <c r="D857" s="3" t="s">
        <v>829</v>
      </c>
      <c r="E857" s="3" t="s">
        <v>754</v>
      </c>
      <c r="F857" s="3" t="s">
        <v>830</v>
      </c>
      <c r="G857" s="3" t="s">
        <v>19</v>
      </c>
      <c r="H857" s="5">
        <v>45827</v>
      </c>
      <c r="I857" s="5">
        <v>46198</v>
      </c>
      <c r="J857" s="3" t="s">
        <v>20</v>
      </c>
      <c r="K857" s="3" t="s">
        <v>24</v>
      </c>
      <c r="L857" s="3" t="s">
        <v>41</v>
      </c>
      <c r="M857" s="3">
        <v>371</v>
      </c>
    </row>
    <row r="858" spans="1:13" x14ac:dyDescent="0.25">
      <c r="A858" s="3" t="s">
        <v>898</v>
      </c>
      <c r="B858" s="3" t="s">
        <v>14</v>
      </c>
      <c r="C858" s="3" t="s">
        <v>15</v>
      </c>
      <c r="D858" s="3" t="s">
        <v>829</v>
      </c>
      <c r="E858" s="3" t="s">
        <v>754</v>
      </c>
      <c r="F858" s="3" t="s">
        <v>830</v>
      </c>
      <c r="G858" s="3" t="s">
        <v>19</v>
      </c>
      <c r="H858" s="5">
        <v>46192</v>
      </c>
      <c r="I858" s="6"/>
      <c r="J858" s="3" t="s">
        <v>27</v>
      </c>
      <c r="K858" s="6"/>
      <c r="L858" s="6"/>
      <c r="M858" s="3">
        <v>11</v>
      </c>
    </row>
    <row r="859" spans="1:13" x14ac:dyDescent="0.25">
      <c r="A859" s="3" t="s">
        <v>899</v>
      </c>
      <c r="B859" s="3" t="s">
        <v>14</v>
      </c>
      <c r="C859" s="3" t="s">
        <v>15</v>
      </c>
      <c r="D859" s="3" t="s">
        <v>829</v>
      </c>
      <c r="E859" s="3" t="s">
        <v>754</v>
      </c>
      <c r="F859" s="3" t="s">
        <v>830</v>
      </c>
      <c r="G859" s="3" t="s">
        <v>19</v>
      </c>
      <c r="H859" s="5">
        <v>46132</v>
      </c>
      <c r="I859" s="6"/>
      <c r="J859" s="3" t="s">
        <v>27</v>
      </c>
      <c r="K859" s="6"/>
      <c r="L859" s="6"/>
      <c r="M859" s="3">
        <v>71</v>
      </c>
    </row>
    <row r="860" spans="1:13" x14ac:dyDescent="0.25">
      <c r="A860" s="3" t="s">
        <v>900</v>
      </c>
      <c r="B860" s="3" t="s">
        <v>14</v>
      </c>
      <c r="C860" s="3" t="s">
        <v>15</v>
      </c>
      <c r="D860" s="3" t="s">
        <v>829</v>
      </c>
      <c r="E860" s="3" t="s">
        <v>754</v>
      </c>
      <c r="F860" s="3" t="s">
        <v>830</v>
      </c>
      <c r="G860" s="3" t="s">
        <v>19</v>
      </c>
      <c r="H860" s="5">
        <v>45708</v>
      </c>
      <c r="I860" s="6"/>
      <c r="J860" s="3" t="s">
        <v>27</v>
      </c>
      <c r="K860" s="6"/>
      <c r="L860" s="6"/>
      <c r="M860" s="3">
        <v>495</v>
      </c>
    </row>
    <row r="861" spans="1:13" x14ac:dyDescent="0.25">
      <c r="A861" s="3" t="s">
        <v>901</v>
      </c>
      <c r="B861" s="3" t="s">
        <v>14</v>
      </c>
      <c r="C861" s="3" t="s">
        <v>15</v>
      </c>
      <c r="D861" s="3" t="s">
        <v>829</v>
      </c>
      <c r="E861" s="3" t="s">
        <v>754</v>
      </c>
      <c r="F861" s="3" t="s">
        <v>830</v>
      </c>
      <c r="G861" s="3" t="s">
        <v>19</v>
      </c>
      <c r="H861" s="5">
        <v>46193</v>
      </c>
      <c r="I861" s="6"/>
      <c r="J861" s="3" t="s">
        <v>27</v>
      </c>
      <c r="K861" s="6"/>
      <c r="L861" s="6"/>
      <c r="M861" s="3">
        <v>10</v>
      </c>
    </row>
    <row r="862" spans="1:13" x14ac:dyDescent="0.25">
      <c r="A862" s="3" t="s">
        <v>902</v>
      </c>
      <c r="B862" s="3" t="s">
        <v>14</v>
      </c>
      <c r="C862" s="3" t="s">
        <v>15</v>
      </c>
      <c r="D862" s="3" t="s">
        <v>829</v>
      </c>
      <c r="E862" s="3" t="s">
        <v>754</v>
      </c>
      <c r="F862" s="3" t="s">
        <v>830</v>
      </c>
      <c r="G862" s="3" t="s">
        <v>19</v>
      </c>
      <c r="H862" s="7">
        <v>45797</v>
      </c>
      <c r="I862" s="5">
        <v>46198</v>
      </c>
      <c r="J862" s="3" t="s">
        <v>20</v>
      </c>
      <c r="K862" s="3" t="s">
        <v>24</v>
      </c>
      <c r="L862" s="3" t="s">
        <v>25</v>
      </c>
      <c r="M862" s="3">
        <v>401</v>
      </c>
    </row>
    <row r="863" spans="1:13" x14ac:dyDescent="0.25">
      <c r="A863" s="3" t="s">
        <v>903</v>
      </c>
      <c r="B863" s="3" t="s">
        <v>14</v>
      </c>
      <c r="C863" s="3" t="s">
        <v>15</v>
      </c>
      <c r="D863" s="3" t="s">
        <v>829</v>
      </c>
      <c r="E863" s="3" t="s">
        <v>754</v>
      </c>
      <c r="F863" s="3" t="s">
        <v>830</v>
      </c>
      <c r="G863" s="3" t="s">
        <v>19</v>
      </c>
      <c r="H863" s="5">
        <v>46133</v>
      </c>
      <c r="I863" s="6"/>
      <c r="J863" s="3" t="s">
        <v>27</v>
      </c>
      <c r="K863" s="6"/>
      <c r="L863" s="6"/>
      <c r="M863" s="3">
        <v>70</v>
      </c>
    </row>
    <row r="864" spans="1:13" x14ac:dyDescent="0.25">
      <c r="A864" s="3" t="s">
        <v>904</v>
      </c>
      <c r="B864" s="3" t="s">
        <v>14</v>
      </c>
      <c r="C864" s="3" t="s">
        <v>15</v>
      </c>
      <c r="D864" s="3" t="s">
        <v>829</v>
      </c>
      <c r="E864" s="3" t="s">
        <v>754</v>
      </c>
      <c r="F864" s="3" t="s">
        <v>830</v>
      </c>
      <c r="G864" s="3" t="s">
        <v>19</v>
      </c>
      <c r="H864" s="5">
        <v>46194</v>
      </c>
      <c r="I864" s="5">
        <v>46194</v>
      </c>
      <c r="J864" s="3" t="s">
        <v>20</v>
      </c>
      <c r="K864" s="3" t="s">
        <v>21</v>
      </c>
      <c r="L864" s="3" t="s">
        <v>33</v>
      </c>
      <c r="M864" s="3">
        <v>0</v>
      </c>
    </row>
    <row r="865" spans="1:13" x14ac:dyDescent="0.25">
      <c r="A865" s="3" t="s">
        <v>905</v>
      </c>
      <c r="B865" s="3" t="s">
        <v>14</v>
      </c>
      <c r="C865" s="3" t="s">
        <v>15</v>
      </c>
      <c r="D865" s="3" t="s">
        <v>829</v>
      </c>
      <c r="E865" s="3" t="s">
        <v>754</v>
      </c>
      <c r="F865" s="3" t="s">
        <v>830</v>
      </c>
      <c r="G865" s="3" t="s">
        <v>19</v>
      </c>
      <c r="H865" s="7">
        <v>46163</v>
      </c>
      <c r="I865" s="7">
        <v>46163</v>
      </c>
      <c r="J865" s="3" t="s">
        <v>20</v>
      </c>
      <c r="K865" s="3" t="s">
        <v>21</v>
      </c>
      <c r="L865" s="3" t="s">
        <v>22</v>
      </c>
      <c r="M865" s="3">
        <v>0</v>
      </c>
    </row>
    <row r="866" spans="1:13" x14ac:dyDescent="0.25">
      <c r="A866" s="3" t="s">
        <v>906</v>
      </c>
      <c r="B866" s="3" t="s">
        <v>14</v>
      </c>
      <c r="C866" s="3" t="s">
        <v>15</v>
      </c>
      <c r="D866" s="3" t="s">
        <v>829</v>
      </c>
      <c r="E866" s="3" t="s">
        <v>754</v>
      </c>
      <c r="F866" s="3" t="s">
        <v>830</v>
      </c>
      <c r="G866" s="3" t="s">
        <v>19</v>
      </c>
      <c r="H866" s="5">
        <v>45982</v>
      </c>
      <c r="I866" s="6"/>
      <c r="J866" s="3" t="s">
        <v>27</v>
      </c>
      <c r="K866" s="6"/>
      <c r="L866" s="6"/>
      <c r="M866" s="3">
        <v>221</v>
      </c>
    </row>
    <row r="867" spans="1:13" x14ac:dyDescent="0.25">
      <c r="A867" s="3" t="s">
        <v>907</v>
      </c>
      <c r="B867" s="3" t="s">
        <v>14</v>
      </c>
      <c r="C867" s="3" t="s">
        <v>15</v>
      </c>
      <c r="D867" s="3" t="s">
        <v>829</v>
      </c>
      <c r="E867" s="3" t="s">
        <v>754</v>
      </c>
      <c r="F867" s="3" t="s">
        <v>830</v>
      </c>
      <c r="G867" s="3" t="s">
        <v>19</v>
      </c>
      <c r="H867" s="5">
        <v>46134</v>
      </c>
      <c r="I867" s="5">
        <v>46135</v>
      </c>
      <c r="J867" s="3" t="s">
        <v>20</v>
      </c>
      <c r="K867" s="3" t="s">
        <v>24</v>
      </c>
      <c r="L867" s="3" t="s">
        <v>41</v>
      </c>
      <c r="M867" s="3">
        <v>1</v>
      </c>
    </row>
    <row r="868" spans="1:13" x14ac:dyDescent="0.25">
      <c r="A868" s="3" t="s">
        <v>908</v>
      </c>
      <c r="B868" s="3" t="s">
        <v>14</v>
      </c>
      <c r="C868" s="3" t="s">
        <v>15</v>
      </c>
      <c r="D868" s="3" t="s">
        <v>829</v>
      </c>
      <c r="E868" s="3" t="s">
        <v>754</v>
      </c>
      <c r="F868" s="3" t="s">
        <v>830</v>
      </c>
      <c r="G868" s="3" t="s">
        <v>19</v>
      </c>
      <c r="H868" s="5">
        <v>46044</v>
      </c>
      <c r="I868" s="7">
        <v>46163</v>
      </c>
      <c r="J868" s="3" t="s">
        <v>20</v>
      </c>
      <c r="K868" s="3" t="s">
        <v>21</v>
      </c>
      <c r="L868" s="3" t="s">
        <v>50</v>
      </c>
      <c r="M868" s="3">
        <v>119</v>
      </c>
    </row>
    <row r="869" spans="1:13" x14ac:dyDescent="0.25">
      <c r="A869" s="3" t="s">
        <v>909</v>
      </c>
      <c r="B869" s="3" t="s">
        <v>14</v>
      </c>
      <c r="C869" s="3" t="s">
        <v>15</v>
      </c>
      <c r="D869" s="3" t="s">
        <v>829</v>
      </c>
      <c r="E869" s="3" t="s">
        <v>754</v>
      </c>
      <c r="F869" s="3" t="s">
        <v>830</v>
      </c>
      <c r="G869" s="3" t="s">
        <v>19</v>
      </c>
      <c r="H869" s="5">
        <v>46195</v>
      </c>
      <c r="I869" s="6"/>
      <c r="J869" s="3" t="s">
        <v>27</v>
      </c>
      <c r="K869" s="6"/>
      <c r="L869" s="6"/>
      <c r="M869" s="3">
        <v>8</v>
      </c>
    </row>
    <row r="870" spans="1:13" x14ac:dyDescent="0.25">
      <c r="A870" s="3" t="s">
        <v>910</v>
      </c>
      <c r="B870" s="3" t="s">
        <v>14</v>
      </c>
      <c r="C870" s="3" t="s">
        <v>15</v>
      </c>
      <c r="D870" s="3" t="s">
        <v>829</v>
      </c>
      <c r="E870" s="3" t="s">
        <v>754</v>
      </c>
      <c r="F870" s="3" t="s">
        <v>830</v>
      </c>
      <c r="G870" s="3" t="s">
        <v>19</v>
      </c>
      <c r="H870" s="7">
        <v>46164</v>
      </c>
      <c r="I870" s="6"/>
      <c r="J870" s="3" t="s">
        <v>27</v>
      </c>
      <c r="K870" s="6"/>
      <c r="L870" s="6"/>
      <c r="M870" s="3">
        <v>39</v>
      </c>
    </row>
    <row r="871" spans="1:13" x14ac:dyDescent="0.25">
      <c r="A871" s="3" t="s">
        <v>911</v>
      </c>
      <c r="B871" s="3" t="s">
        <v>14</v>
      </c>
      <c r="C871" s="3" t="s">
        <v>15</v>
      </c>
      <c r="D871" s="3" t="s">
        <v>829</v>
      </c>
      <c r="E871" s="3" t="s">
        <v>754</v>
      </c>
      <c r="F871" s="3" t="s">
        <v>830</v>
      </c>
      <c r="G871" s="3" t="s">
        <v>19</v>
      </c>
      <c r="H871" s="7">
        <v>46164</v>
      </c>
      <c r="I871" s="7">
        <v>46164</v>
      </c>
      <c r="J871" s="3" t="s">
        <v>20</v>
      </c>
      <c r="K871" s="3" t="s">
        <v>21</v>
      </c>
      <c r="L871" s="3" t="s">
        <v>50</v>
      </c>
      <c r="M871" s="3">
        <v>0</v>
      </c>
    </row>
    <row r="872" spans="1:13" x14ac:dyDescent="0.25">
      <c r="A872" s="3" t="s">
        <v>912</v>
      </c>
      <c r="B872" s="3" t="s">
        <v>14</v>
      </c>
      <c r="C872" s="3" t="s">
        <v>15</v>
      </c>
      <c r="D872" s="3" t="s">
        <v>829</v>
      </c>
      <c r="E872" s="3" t="s">
        <v>754</v>
      </c>
      <c r="F872" s="3" t="s">
        <v>830</v>
      </c>
      <c r="G872" s="3" t="s">
        <v>19</v>
      </c>
      <c r="H872" s="5">
        <v>46135</v>
      </c>
      <c r="I872" s="6"/>
      <c r="J872" s="3" t="s">
        <v>27</v>
      </c>
      <c r="K872" s="6"/>
      <c r="L872" s="6"/>
      <c r="M872" s="3">
        <v>68</v>
      </c>
    </row>
    <row r="873" spans="1:13" x14ac:dyDescent="0.25">
      <c r="A873" s="3" t="s">
        <v>913</v>
      </c>
      <c r="B873" s="3" t="s">
        <v>14</v>
      </c>
      <c r="C873" s="3" t="s">
        <v>15</v>
      </c>
      <c r="D873" s="3" t="s">
        <v>829</v>
      </c>
      <c r="E873" s="3" t="s">
        <v>754</v>
      </c>
      <c r="F873" s="3" t="s">
        <v>830</v>
      </c>
      <c r="G873" s="3" t="s">
        <v>19</v>
      </c>
      <c r="H873" s="5">
        <v>46135</v>
      </c>
      <c r="I873" s="5">
        <v>46187</v>
      </c>
      <c r="J873" s="3" t="s">
        <v>20</v>
      </c>
      <c r="K873" s="3" t="s">
        <v>24</v>
      </c>
      <c r="L873" s="3" t="s">
        <v>55</v>
      </c>
      <c r="M873" s="3">
        <v>52</v>
      </c>
    </row>
    <row r="874" spans="1:13" x14ac:dyDescent="0.25">
      <c r="A874" s="3" t="s">
        <v>914</v>
      </c>
      <c r="B874" s="3" t="s">
        <v>14</v>
      </c>
      <c r="C874" s="3" t="s">
        <v>15</v>
      </c>
      <c r="D874" s="3" t="s">
        <v>829</v>
      </c>
      <c r="E874" s="3" t="s">
        <v>754</v>
      </c>
      <c r="F874" s="3" t="s">
        <v>830</v>
      </c>
      <c r="G874" s="3" t="s">
        <v>19</v>
      </c>
      <c r="H874" s="5">
        <v>45861</v>
      </c>
      <c r="I874" s="5">
        <v>46131</v>
      </c>
      <c r="J874" s="3" t="s">
        <v>20</v>
      </c>
      <c r="K874" s="3" t="s">
        <v>24</v>
      </c>
      <c r="L874" s="3" t="s">
        <v>25</v>
      </c>
      <c r="M874" s="3">
        <v>270</v>
      </c>
    </row>
    <row r="875" spans="1:13" x14ac:dyDescent="0.25">
      <c r="A875" s="3" t="s">
        <v>915</v>
      </c>
      <c r="B875" s="3" t="s">
        <v>14</v>
      </c>
      <c r="C875" s="3" t="s">
        <v>15</v>
      </c>
      <c r="D875" s="3" t="s">
        <v>829</v>
      </c>
      <c r="E875" s="3" t="s">
        <v>754</v>
      </c>
      <c r="F875" s="3" t="s">
        <v>830</v>
      </c>
      <c r="G875" s="3" t="s">
        <v>19</v>
      </c>
      <c r="H875" s="5">
        <v>46196</v>
      </c>
      <c r="I875" s="5">
        <v>46196</v>
      </c>
      <c r="J875" s="3" t="s">
        <v>20</v>
      </c>
      <c r="K875" s="3" t="s">
        <v>21</v>
      </c>
      <c r="L875" s="3" t="s">
        <v>33</v>
      </c>
      <c r="M875" s="3">
        <v>0</v>
      </c>
    </row>
    <row r="876" spans="1:13" x14ac:dyDescent="0.25">
      <c r="A876" s="3" t="s">
        <v>916</v>
      </c>
      <c r="B876" s="3" t="s">
        <v>14</v>
      </c>
      <c r="C876" s="3" t="s">
        <v>15</v>
      </c>
      <c r="D876" s="3" t="s">
        <v>829</v>
      </c>
      <c r="E876" s="3" t="s">
        <v>754</v>
      </c>
      <c r="F876" s="3" t="s">
        <v>830</v>
      </c>
      <c r="G876" s="3" t="s">
        <v>19</v>
      </c>
      <c r="H876" s="5">
        <v>46196</v>
      </c>
      <c r="I876" s="5">
        <v>46196</v>
      </c>
      <c r="J876" s="3" t="s">
        <v>20</v>
      </c>
      <c r="K876" s="3" t="s">
        <v>21</v>
      </c>
      <c r="L876" s="3" t="s">
        <v>22</v>
      </c>
      <c r="M876" s="3">
        <v>0</v>
      </c>
    </row>
    <row r="877" spans="1:13" x14ac:dyDescent="0.25">
      <c r="A877" s="3" t="s">
        <v>917</v>
      </c>
      <c r="B877" s="3" t="s">
        <v>14</v>
      </c>
      <c r="C877" s="3" t="s">
        <v>15</v>
      </c>
      <c r="D877" s="3" t="s">
        <v>829</v>
      </c>
      <c r="E877" s="3" t="s">
        <v>754</v>
      </c>
      <c r="F877" s="3" t="s">
        <v>830</v>
      </c>
      <c r="G877" s="3" t="s">
        <v>19</v>
      </c>
      <c r="H877" s="7">
        <v>46165</v>
      </c>
      <c r="I877" s="7">
        <v>46165</v>
      </c>
      <c r="J877" s="3" t="s">
        <v>20</v>
      </c>
      <c r="K877" s="3" t="s">
        <v>21</v>
      </c>
      <c r="L877" s="3" t="s">
        <v>61</v>
      </c>
      <c r="M877" s="3">
        <v>0</v>
      </c>
    </row>
    <row r="878" spans="1:13" x14ac:dyDescent="0.25">
      <c r="A878" s="3" t="s">
        <v>918</v>
      </c>
      <c r="B878" s="3" t="s">
        <v>14</v>
      </c>
      <c r="C878" s="3" t="s">
        <v>15</v>
      </c>
      <c r="D878" s="3" t="s">
        <v>829</v>
      </c>
      <c r="E878" s="3" t="s">
        <v>754</v>
      </c>
      <c r="F878" s="3" t="s">
        <v>830</v>
      </c>
      <c r="G878" s="3" t="s">
        <v>19</v>
      </c>
      <c r="H878" s="7">
        <v>46165</v>
      </c>
      <c r="I878" s="7">
        <v>46165</v>
      </c>
      <c r="J878" s="3" t="s">
        <v>20</v>
      </c>
      <c r="K878" s="3" t="s">
        <v>21</v>
      </c>
      <c r="L878" s="3" t="s">
        <v>61</v>
      </c>
      <c r="M878" s="3">
        <v>0</v>
      </c>
    </row>
    <row r="879" spans="1:13" x14ac:dyDescent="0.25">
      <c r="A879" s="3" t="s">
        <v>919</v>
      </c>
      <c r="B879" s="3" t="s">
        <v>14</v>
      </c>
      <c r="C879" s="3" t="s">
        <v>15</v>
      </c>
      <c r="D879" s="3" t="s">
        <v>829</v>
      </c>
      <c r="E879" s="3" t="s">
        <v>754</v>
      </c>
      <c r="F879" s="3" t="s">
        <v>830</v>
      </c>
      <c r="G879" s="3" t="s">
        <v>19</v>
      </c>
      <c r="H879" s="5">
        <v>46136</v>
      </c>
      <c r="I879" s="5">
        <v>46136</v>
      </c>
      <c r="J879" s="3" t="s">
        <v>20</v>
      </c>
      <c r="K879" s="3" t="s">
        <v>21</v>
      </c>
      <c r="L879" s="3" t="s">
        <v>30</v>
      </c>
      <c r="M879" s="3">
        <v>0</v>
      </c>
    </row>
    <row r="880" spans="1:13" x14ac:dyDescent="0.25">
      <c r="A880" s="3" t="s">
        <v>920</v>
      </c>
      <c r="B880" s="3" t="s">
        <v>14</v>
      </c>
      <c r="C880" s="3" t="s">
        <v>15</v>
      </c>
      <c r="D880" s="3" t="s">
        <v>829</v>
      </c>
      <c r="E880" s="3" t="s">
        <v>754</v>
      </c>
      <c r="F880" s="3" t="s">
        <v>830</v>
      </c>
      <c r="G880" s="3" t="s">
        <v>19</v>
      </c>
      <c r="H880" s="5">
        <v>45832</v>
      </c>
      <c r="I880" s="6"/>
      <c r="J880" s="3" t="s">
        <v>27</v>
      </c>
      <c r="K880" s="6"/>
      <c r="L880" s="6"/>
      <c r="M880" s="3">
        <v>371</v>
      </c>
    </row>
    <row r="881" spans="1:13" x14ac:dyDescent="0.25">
      <c r="A881" s="3" t="s">
        <v>921</v>
      </c>
      <c r="B881" s="3" t="s">
        <v>14</v>
      </c>
      <c r="C881" s="3" t="s">
        <v>15</v>
      </c>
      <c r="D881" s="3" t="s">
        <v>829</v>
      </c>
      <c r="E881" s="3" t="s">
        <v>754</v>
      </c>
      <c r="F881" s="3" t="s">
        <v>830</v>
      </c>
      <c r="G881" s="3" t="s">
        <v>19</v>
      </c>
      <c r="H881" s="5">
        <v>46197</v>
      </c>
      <c r="I881" s="5">
        <v>46197</v>
      </c>
      <c r="J881" s="3" t="s">
        <v>20</v>
      </c>
      <c r="K881" s="3" t="s">
        <v>21</v>
      </c>
      <c r="L881" s="3" t="s">
        <v>30</v>
      </c>
      <c r="M881" s="3">
        <v>0</v>
      </c>
    </row>
    <row r="882" spans="1:13" x14ac:dyDescent="0.25">
      <c r="A882" s="3" t="s">
        <v>922</v>
      </c>
      <c r="B882" s="3" t="s">
        <v>14</v>
      </c>
      <c r="C882" s="3" t="s">
        <v>15</v>
      </c>
      <c r="D882" s="3" t="s">
        <v>829</v>
      </c>
      <c r="E882" s="3" t="s">
        <v>754</v>
      </c>
      <c r="F882" s="3" t="s">
        <v>830</v>
      </c>
      <c r="G882" s="3" t="s">
        <v>19</v>
      </c>
      <c r="H882" s="5">
        <v>46137</v>
      </c>
      <c r="I882" s="6"/>
      <c r="J882" s="3" t="s">
        <v>27</v>
      </c>
      <c r="K882" s="6"/>
      <c r="L882" s="6"/>
      <c r="M882" s="3">
        <v>66</v>
      </c>
    </row>
    <row r="883" spans="1:13" x14ac:dyDescent="0.25">
      <c r="A883" s="3" t="s">
        <v>923</v>
      </c>
      <c r="B883" s="3" t="s">
        <v>14</v>
      </c>
      <c r="C883" s="3" t="s">
        <v>15</v>
      </c>
      <c r="D883" s="3" t="s">
        <v>829</v>
      </c>
      <c r="E883" s="3" t="s">
        <v>754</v>
      </c>
      <c r="F883" s="3" t="s">
        <v>830</v>
      </c>
      <c r="G883" s="3" t="s">
        <v>19</v>
      </c>
      <c r="H883" s="5">
        <v>46198</v>
      </c>
      <c r="I883" s="5">
        <v>46198</v>
      </c>
      <c r="J883" s="3" t="s">
        <v>20</v>
      </c>
      <c r="K883" s="3" t="s">
        <v>21</v>
      </c>
      <c r="L883" s="3" t="s">
        <v>30</v>
      </c>
      <c r="M883" s="3">
        <v>0</v>
      </c>
    </row>
    <row r="884" spans="1:13" x14ac:dyDescent="0.25">
      <c r="A884" s="3" t="s">
        <v>924</v>
      </c>
      <c r="B884" s="3" t="s">
        <v>14</v>
      </c>
      <c r="C884" s="3" t="s">
        <v>15</v>
      </c>
      <c r="D884" s="3" t="s">
        <v>829</v>
      </c>
      <c r="E884" s="3" t="s">
        <v>754</v>
      </c>
      <c r="F884" s="3" t="s">
        <v>830</v>
      </c>
      <c r="G884" s="3" t="s">
        <v>19</v>
      </c>
      <c r="H884" s="5">
        <v>46138</v>
      </c>
      <c r="I884" s="7">
        <v>46173</v>
      </c>
      <c r="J884" s="3" t="s">
        <v>20</v>
      </c>
      <c r="K884" s="3" t="s">
        <v>24</v>
      </c>
      <c r="L884" s="3" t="s">
        <v>41</v>
      </c>
      <c r="M884" s="3">
        <v>35</v>
      </c>
    </row>
    <row r="885" spans="1:13" x14ac:dyDescent="0.25">
      <c r="A885" s="3" t="s">
        <v>925</v>
      </c>
      <c r="B885" s="3" t="s">
        <v>14</v>
      </c>
      <c r="C885" s="3" t="s">
        <v>15</v>
      </c>
      <c r="D885" s="3" t="s">
        <v>829</v>
      </c>
      <c r="E885" s="3" t="s">
        <v>754</v>
      </c>
      <c r="F885" s="3" t="s">
        <v>830</v>
      </c>
      <c r="G885" s="3" t="s">
        <v>19</v>
      </c>
      <c r="H885" s="5">
        <v>46138</v>
      </c>
      <c r="I885" s="6"/>
      <c r="J885" s="3" t="s">
        <v>27</v>
      </c>
      <c r="K885" s="6"/>
      <c r="L885" s="6"/>
      <c r="M885" s="3">
        <v>65</v>
      </c>
    </row>
    <row r="886" spans="1:13" x14ac:dyDescent="0.25">
      <c r="A886" s="3" t="s">
        <v>926</v>
      </c>
      <c r="B886" s="3" t="s">
        <v>14</v>
      </c>
      <c r="C886" s="3" t="s">
        <v>15</v>
      </c>
      <c r="D886" s="3" t="s">
        <v>829</v>
      </c>
      <c r="E886" s="3" t="s">
        <v>754</v>
      </c>
      <c r="F886" s="3" t="s">
        <v>830</v>
      </c>
      <c r="G886" s="3" t="s">
        <v>19</v>
      </c>
      <c r="H886" s="5">
        <v>46199</v>
      </c>
      <c r="I886" s="6"/>
      <c r="J886" s="3" t="s">
        <v>27</v>
      </c>
      <c r="K886" s="6"/>
      <c r="L886" s="6"/>
      <c r="M886" s="3">
        <v>4</v>
      </c>
    </row>
    <row r="887" spans="1:13" x14ac:dyDescent="0.25">
      <c r="A887" s="3" t="s">
        <v>927</v>
      </c>
      <c r="B887" s="3" t="s">
        <v>14</v>
      </c>
      <c r="C887" s="3" t="s">
        <v>15</v>
      </c>
      <c r="D887" s="3" t="s">
        <v>829</v>
      </c>
      <c r="E887" s="3" t="s">
        <v>754</v>
      </c>
      <c r="F887" s="3" t="s">
        <v>830</v>
      </c>
      <c r="G887" s="3" t="s">
        <v>19</v>
      </c>
      <c r="H887" s="7">
        <v>46168</v>
      </c>
      <c r="I887" s="6"/>
      <c r="J887" s="3" t="s">
        <v>27</v>
      </c>
      <c r="K887" s="6"/>
      <c r="L887" s="6"/>
      <c r="M887" s="3">
        <v>35</v>
      </c>
    </row>
    <row r="888" spans="1:13" x14ac:dyDescent="0.25">
      <c r="A888" s="3" t="s">
        <v>928</v>
      </c>
      <c r="B888" s="3" t="s">
        <v>14</v>
      </c>
      <c r="C888" s="3" t="s">
        <v>15</v>
      </c>
      <c r="D888" s="3" t="s">
        <v>829</v>
      </c>
      <c r="E888" s="3" t="s">
        <v>754</v>
      </c>
      <c r="F888" s="3" t="s">
        <v>830</v>
      </c>
      <c r="G888" s="3" t="s">
        <v>19</v>
      </c>
      <c r="H888" s="7">
        <v>46168</v>
      </c>
      <c r="I888" s="6"/>
      <c r="J888" s="3" t="s">
        <v>27</v>
      </c>
      <c r="K888" s="6"/>
      <c r="L888" s="6"/>
      <c r="M888" s="3">
        <v>35</v>
      </c>
    </row>
    <row r="889" spans="1:13" x14ac:dyDescent="0.25">
      <c r="A889" s="3" t="s">
        <v>929</v>
      </c>
      <c r="B889" s="3" t="s">
        <v>14</v>
      </c>
      <c r="C889" s="3" t="s">
        <v>15</v>
      </c>
      <c r="D889" s="3" t="s">
        <v>829</v>
      </c>
      <c r="E889" s="3" t="s">
        <v>754</v>
      </c>
      <c r="F889" s="3" t="s">
        <v>830</v>
      </c>
      <c r="G889" s="3" t="s">
        <v>19</v>
      </c>
      <c r="H889" s="5">
        <v>45774</v>
      </c>
      <c r="I889" s="6"/>
      <c r="J889" s="3" t="s">
        <v>27</v>
      </c>
      <c r="K889" s="6"/>
      <c r="L889" s="6"/>
      <c r="M889" s="3">
        <v>429</v>
      </c>
    </row>
    <row r="890" spans="1:13" x14ac:dyDescent="0.25">
      <c r="A890" s="3" t="s">
        <v>930</v>
      </c>
      <c r="B890" s="3" t="s">
        <v>14</v>
      </c>
      <c r="C890" s="3" t="s">
        <v>15</v>
      </c>
      <c r="D890" s="3" t="s">
        <v>829</v>
      </c>
      <c r="E890" s="3" t="s">
        <v>754</v>
      </c>
      <c r="F890" s="3" t="s">
        <v>830</v>
      </c>
      <c r="G890" s="3" t="s">
        <v>19</v>
      </c>
      <c r="H890" s="5">
        <v>45835</v>
      </c>
      <c r="I890" s="6"/>
      <c r="J890" s="3" t="s">
        <v>27</v>
      </c>
      <c r="K890" s="6"/>
      <c r="L890" s="6"/>
      <c r="M890" s="3">
        <v>368</v>
      </c>
    </row>
    <row r="891" spans="1:13" x14ac:dyDescent="0.25">
      <c r="A891" s="3" t="s">
        <v>931</v>
      </c>
      <c r="B891" s="3" t="s">
        <v>14</v>
      </c>
      <c r="C891" s="3" t="s">
        <v>15</v>
      </c>
      <c r="D891" s="3" t="s">
        <v>829</v>
      </c>
      <c r="E891" s="3" t="s">
        <v>754</v>
      </c>
      <c r="F891" s="3" t="s">
        <v>830</v>
      </c>
      <c r="G891" s="3" t="s">
        <v>19</v>
      </c>
      <c r="H891" s="7">
        <v>46169</v>
      </c>
      <c r="I891" s="6"/>
      <c r="J891" s="3" t="s">
        <v>27</v>
      </c>
      <c r="K891" s="6"/>
      <c r="L891" s="6"/>
      <c r="M891" s="3">
        <v>34</v>
      </c>
    </row>
    <row r="892" spans="1:13" x14ac:dyDescent="0.25">
      <c r="A892" s="3" t="s">
        <v>932</v>
      </c>
      <c r="B892" s="3" t="s">
        <v>14</v>
      </c>
      <c r="C892" s="3" t="s">
        <v>15</v>
      </c>
      <c r="D892" s="3" t="s">
        <v>829</v>
      </c>
      <c r="E892" s="3" t="s">
        <v>754</v>
      </c>
      <c r="F892" s="3" t="s">
        <v>830</v>
      </c>
      <c r="G892" s="3" t="s">
        <v>19</v>
      </c>
      <c r="H892" s="7">
        <v>46169</v>
      </c>
      <c r="I892" s="7">
        <v>46169</v>
      </c>
      <c r="J892" s="3" t="s">
        <v>20</v>
      </c>
      <c r="K892" s="3" t="s">
        <v>21</v>
      </c>
      <c r="L892" s="3" t="s">
        <v>30</v>
      </c>
      <c r="M892" s="3">
        <v>0</v>
      </c>
    </row>
    <row r="893" spans="1:13" x14ac:dyDescent="0.25">
      <c r="A893" s="3" t="s">
        <v>933</v>
      </c>
      <c r="B893" s="3" t="s">
        <v>14</v>
      </c>
      <c r="C893" s="3" t="s">
        <v>15</v>
      </c>
      <c r="D893" s="3" t="s">
        <v>829</v>
      </c>
      <c r="E893" s="3" t="s">
        <v>754</v>
      </c>
      <c r="F893" s="3" t="s">
        <v>830</v>
      </c>
      <c r="G893" s="3" t="s">
        <v>19</v>
      </c>
      <c r="H893" s="5">
        <v>45957</v>
      </c>
      <c r="I893" s="7">
        <v>46160</v>
      </c>
      <c r="J893" s="3" t="s">
        <v>20</v>
      </c>
      <c r="K893" s="3" t="s">
        <v>24</v>
      </c>
      <c r="L893" s="3" t="s">
        <v>25</v>
      </c>
      <c r="M893" s="3">
        <v>203</v>
      </c>
    </row>
    <row r="894" spans="1:13" x14ac:dyDescent="0.25">
      <c r="A894" s="3" t="s">
        <v>934</v>
      </c>
      <c r="B894" s="3" t="s">
        <v>14</v>
      </c>
      <c r="C894" s="3" t="s">
        <v>15</v>
      </c>
      <c r="D894" s="3" t="s">
        <v>829</v>
      </c>
      <c r="E894" s="3" t="s">
        <v>754</v>
      </c>
      <c r="F894" s="3" t="s">
        <v>830</v>
      </c>
      <c r="G894" s="3" t="s">
        <v>19</v>
      </c>
      <c r="H894" s="5">
        <v>45685</v>
      </c>
      <c r="I894" s="5">
        <v>46134</v>
      </c>
      <c r="J894" s="3" t="s">
        <v>20</v>
      </c>
      <c r="K894" s="3" t="s">
        <v>24</v>
      </c>
      <c r="L894" s="3" t="s">
        <v>55</v>
      </c>
      <c r="M894" s="3">
        <v>449</v>
      </c>
    </row>
    <row r="895" spans="1:13" x14ac:dyDescent="0.25">
      <c r="A895" s="3" t="s">
        <v>935</v>
      </c>
      <c r="B895" s="3" t="s">
        <v>14</v>
      </c>
      <c r="C895" s="3" t="s">
        <v>15</v>
      </c>
      <c r="D895" s="3" t="s">
        <v>829</v>
      </c>
      <c r="E895" s="3" t="s">
        <v>754</v>
      </c>
      <c r="F895" s="3" t="s">
        <v>830</v>
      </c>
      <c r="G895" s="3" t="s">
        <v>19</v>
      </c>
      <c r="H895" s="7">
        <v>46170</v>
      </c>
      <c r="I895" s="7">
        <v>46170</v>
      </c>
      <c r="J895" s="3" t="s">
        <v>20</v>
      </c>
      <c r="K895" s="3" t="s">
        <v>21</v>
      </c>
      <c r="L895" s="3" t="s">
        <v>30</v>
      </c>
      <c r="M895" s="3">
        <v>0</v>
      </c>
    </row>
    <row r="896" spans="1:13" x14ac:dyDescent="0.25">
      <c r="A896" s="3" t="s">
        <v>936</v>
      </c>
      <c r="B896" s="3" t="s">
        <v>14</v>
      </c>
      <c r="C896" s="3" t="s">
        <v>15</v>
      </c>
      <c r="D896" s="3" t="s">
        <v>829</v>
      </c>
      <c r="E896" s="3" t="s">
        <v>754</v>
      </c>
      <c r="F896" s="3" t="s">
        <v>830</v>
      </c>
      <c r="G896" s="3" t="s">
        <v>19</v>
      </c>
      <c r="H896" s="5">
        <v>45776</v>
      </c>
      <c r="I896" s="7">
        <v>46170</v>
      </c>
      <c r="J896" s="3" t="s">
        <v>20</v>
      </c>
      <c r="K896" s="3" t="s">
        <v>21</v>
      </c>
      <c r="L896" s="3" t="s">
        <v>22</v>
      </c>
      <c r="M896" s="3">
        <v>394</v>
      </c>
    </row>
    <row r="897" spans="1:13" x14ac:dyDescent="0.25">
      <c r="A897" s="3" t="s">
        <v>937</v>
      </c>
      <c r="B897" s="3" t="s">
        <v>14</v>
      </c>
      <c r="C897" s="3" t="s">
        <v>15</v>
      </c>
      <c r="D897" s="3" t="s">
        <v>829</v>
      </c>
      <c r="E897" s="3" t="s">
        <v>754</v>
      </c>
      <c r="F897" s="3" t="s">
        <v>830</v>
      </c>
      <c r="G897" s="3" t="s">
        <v>19</v>
      </c>
      <c r="H897" s="5">
        <v>46051</v>
      </c>
      <c r="I897" s="6"/>
      <c r="J897" s="3" t="s">
        <v>27</v>
      </c>
      <c r="K897" s="6"/>
      <c r="L897" s="6"/>
      <c r="M897" s="3">
        <v>152</v>
      </c>
    </row>
    <row r="898" spans="1:13" x14ac:dyDescent="0.25">
      <c r="A898" s="3" t="s">
        <v>938</v>
      </c>
      <c r="B898" s="3" t="s">
        <v>14</v>
      </c>
      <c r="C898" s="3" t="s">
        <v>15</v>
      </c>
      <c r="D898" s="3" t="s">
        <v>829</v>
      </c>
      <c r="E898" s="3" t="s">
        <v>754</v>
      </c>
      <c r="F898" s="3" t="s">
        <v>830</v>
      </c>
      <c r="G898" s="3" t="s">
        <v>19</v>
      </c>
      <c r="H898" s="5">
        <v>46202</v>
      </c>
      <c r="I898" s="5">
        <v>46202</v>
      </c>
      <c r="J898" s="3" t="s">
        <v>20</v>
      </c>
      <c r="K898" s="3" t="s">
        <v>21</v>
      </c>
      <c r="L898" s="3" t="s">
        <v>37</v>
      </c>
      <c r="M89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8"/>
  <sheetViews>
    <sheetView topLeftCell="H1" zoomScaleNormal="100" workbookViewId="0">
      <selection activeCell="T29" sqref="T29"/>
    </sheetView>
  </sheetViews>
  <sheetFormatPr defaultColWidth="12.6640625" defaultRowHeight="13.2" x14ac:dyDescent="0.25"/>
  <cols>
    <col min="1" max="1" width="11.77734375" bestFit="1" customWidth="1"/>
    <col min="2" max="2" width="22.33203125" bestFit="1" customWidth="1"/>
    <col min="3" max="3" width="11.21875" bestFit="1" customWidth="1"/>
    <col min="4" max="4" width="19.109375" bestFit="1" customWidth="1"/>
    <col min="5" max="5" width="17.5546875" bestFit="1" customWidth="1"/>
    <col min="6" max="6" width="18.88671875" bestFit="1" customWidth="1"/>
    <col min="7" max="7" width="22.5546875" bestFit="1" customWidth="1"/>
    <col min="8" max="8" width="14.21875" style="12" bestFit="1" customWidth="1"/>
    <col min="9" max="9" width="11.77734375" style="12" bestFit="1" customWidth="1"/>
    <col min="10" max="10" width="18.21875" bestFit="1" customWidth="1"/>
    <col min="11" max="11" width="30.33203125" bestFit="1" customWidth="1"/>
    <col min="12" max="12" width="20.21875" bestFit="1" customWidth="1"/>
    <col min="13" max="13" width="17.88671875" bestFit="1" customWidth="1"/>
    <col min="17" max="17" width="13.77734375" customWidth="1"/>
    <col min="18" max="18" width="15" customWidth="1"/>
    <col min="19" max="19" width="14.21875" customWidth="1"/>
  </cols>
  <sheetData>
    <row r="1" spans="1:19" ht="39.6" x14ac:dyDescent="0.25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9" t="s">
        <v>939</v>
      </c>
      <c r="O1" s="9" t="s">
        <v>946</v>
      </c>
      <c r="P1" s="9" t="s">
        <v>947</v>
      </c>
      <c r="Q1" s="9" t="s">
        <v>948</v>
      </c>
      <c r="R1" s="9" t="s">
        <v>949</v>
      </c>
      <c r="S1" s="32" t="s">
        <v>966</v>
      </c>
    </row>
    <row r="2" spans="1:19" x14ac:dyDescent="0.2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11">
        <v>46113</v>
      </c>
      <c r="I2" s="11">
        <v>46135</v>
      </c>
      <c r="J2" s="6" t="s">
        <v>20</v>
      </c>
      <c r="K2" s="6" t="s">
        <v>21</v>
      </c>
      <c r="L2" s="6" t="s">
        <v>22</v>
      </c>
      <c r="M2" s="6">
        <v>22</v>
      </c>
      <c r="N2">
        <f>IF(J2="Relieved",1,0)</f>
        <v>1</v>
      </c>
      <c r="O2" t="str">
        <f>TEXT(H2,"mm-yyyy")</f>
        <v>04-2026</v>
      </c>
      <c r="P2" t="str">
        <f>IF(I2="","",TEXT(I2,"mm-yyyy"))</f>
        <v>04-2026</v>
      </c>
      <c r="Q2">
        <f>IF(K2="Voluntary",1,0)</f>
        <v>1</v>
      </c>
      <c r="R2">
        <f>IF(K2="Involuntary",1,0)</f>
        <v>0</v>
      </c>
      <c r="S2" t="str">
        <f>IF(M2&lt;90,"0-90",IF(M2&lt;180,"90-180",IF(M2&lt;365,"180-365","above 1 year")))</f>
        <v>0-90</v>
      </c>
    </row>
    <row r="3" spans="1:19" x14ac:dyDescent="0.25">
      <c r="A3" s="6" t="s">
        <v>23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11">
        <v>45992</v>
      </c>
      <c r="I3" s="11">
        <v>46182</v>
      </c>
      <c r="J3" s="6" t="s">
        <v>20</v>
      </c>
      <c r="K3" s="6" t="s">
        <v>24</v>
      </c>
      <c r="L3" s="6" t="s">
        <v>25</v>
      </c>
      <c r="M3" s="6">
        <v>190</v>
      </c>
      <c r="N3">
        <f t="shared" ref="N3:N66" si="0">IF(J3="Relieved",1,0)</f>
        <v>1</v>
      </c>
      <c r="O3" t="str">
        <f t="shared" ref="O3:O66" si="1">TEXT(H3,"mm-yyyy")</f>
        <v>12-2025</v>
      </c>
      <c r="P3" t="str">
        <f t="shared" ref="P3:P66" si="2">IF(I3="","",TEXT(I3,"mm-yyyy"))</f>
        <v>06-2026</v>
      </c>
      <c r="Q3">
        <f t="shared" ref="Q3:Q66" si="3">IF(K3="Voluntary",1,0)</f>
        <v>0</v>
      </c>
      <c r="R3">
        <f t="shared" ref="R3:R66" si="4">IF(K3="Involuntary",1,0)</f>
        <v>1</v>
      </c>
      <c r="S3" t="str">
        <f t="shared" ref="S3:S66" si="5">IF(M3&lt;90,"0-90",IF(M3&lt;180,"90-180",IF(M3&lt;365,"180-365","above 1 year")))</f>
        <v>180-365</v>
      </c>
    </row>
    <row r="4" spans="1:19" x14ac:dyDescent="0.25">
      <c r="A4" s="6" t="s">
        <v>26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11">
        <v>46114</v>
      </c>
      <c r="I4" s="11"/>
      <c r="J4" s="6" t="s">
        <v>27</v>
      </c>
      <c r="K4" s="6"/>
      <c r="L4" s="6"/>
      <c r="M4" s="6">
        <v>89</v>
      </c>
      <c r="N4">
        <f t="shared" si="0"/>
        <v>0</v>
      </c>
      <c r="O4" t="str">
        <f t="shared" si="1"/>
        <v>04-2026</v>
      </c>
      <c r="P4" t="str">
        <f t="shared" si="2"/>
        <v/>
      </c>
      <c r="Q4">
        <f t="shared" si="3"/>
        <v>0</v>
      </c>
      <c r="R4">
        <f t="shared" si="4"/>
        <v>0</v>
      </c>
      <c r="S4" t="str">
        <f t="shared" si="5"/>
        <v>0-90</v>
      </c>
    </row>
    <row r="5" spans="1:19" x14ac:dyDescent="0.25">
      <c r="A5" s="6" t="s">
        <v>28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11">
        <v>46114</v>
      </c>
      <c r="I5" s="11"/>
      <c r="J5" s="6" t="s">
        <v>27</v>
      </c>
      <c r="K5" s="6"/>
      <c r="L5" s="6"/>
      <c r="M5" s="6">
        <v>89</v>
      </c>
      <c r="N5">
        <f t="shared" si="0"/>
        <v>0</v>
      </c>
      <c r="O5" t="str">
        <f t="shared" si="1"/>
        <v>04-2026</v>
      </c>
      <c r="P5" t="str">
        <f t="shared" si="2"/>
        <v/>
      </c>
      <c r="Q5">
        <f t="shared" si="3"/>
        <v>0</v>
      </c>
      <c r="R5">
        <f t="shared" si="4"/>
        <v>0</v>
      </c>
      <c r="S5" t="str">
        <f t="shared" si="5"/>
        <v>0-90</v>
      </c>
    </row>
    <row r="6" spans="1:19" x14ac:dyDescent="0.25">
      <c r="A6" s="6" t="s">
        <v>29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11">
        <v>46114</v>
      </c>
      <c r="I6" s="11">
        <v>46132</v>
      </c>
      <c r="J6" s="6" t="s">
        <v>20</v>
      </c>
      <c r="K6" s="6" t="s">
        <v>21</v>
      </c>
      <c r="L6" s="6" t="s">
        <v>30</v>
      </c>
      <c r="M6" s="6">
        <v>18</v>
      </c>
      <c r="N6">
        <f t="shared" si="0"/>
        <v>1</v>
      </c>
      <c r="O6" t="str">
        <f t="shared" si="1"/>
        <v>04-2026</v>
      </c>
      <c r="P6" t="str">
        <f t="shared" si="2"/>
        <v>04-2026</v>
      </c>
      <c r="Q6">
        <f t="shared" si="3"/>
        <v>1</v>
      </c>
      <c r="R6">
        <f t="shared" si="4"/>
        <v>0</v>
      </c>
      <c r="S6" t="str">
        <f t="shared" si="5"/>
        <v>0-90</v>
      </c>
    </row>
    <row r="7" spans="1:19" x14ac:dyDescent="0.25">
      <c r="A7" s="6" t="s">
        <v>31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11">
        <v>46114</v>
      </c>
      <c r="I7" s="11">
        <v>46161</v>
      </c>
      <c r="J7" s="6" t="s">
        <v>20</v>
      </c>
      <c r="K7" s="6" t="s">
        <v>24</v>
      </c>
      <c r="L7" s="6" t="s">
        <v>25</v>
      </c>
      <c r="M7" s="6">
        <v>47</v>
      </c>
      <c r="N7">
        <f t="shared" si="0"/>
        <v>1</v>
      </c>
      <c r="O7" t="str">
        <f t="shared" si="1"/>
        <v>04-2026</v>
      </c>
      <c r="P7" t="str">
        <f t="shared" si="2"/>
        <v>05-2026</v>
      </c>
      <c r="Q7">
        <f t="shared" si="3"/>
        <v>0</v>
      </c>
      <c r="R7">
        <f t="shared" si="4"/>
        <v>1</v>
      </c>
      <c r="S7" t="str">
        <f t="shared" si="5"/>
        <v>0-90</v>
      </c>
    </row>
    <row r="8" spans="1:19" x14ac:dyDescent="0.25">
      <c r="A8" s="6" t="s">
        <v>32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11">
        <v>46114</v>
      </c>
      <c r="I8" s="11">
        <v>46121</v>
      </c>
      <c r="J8" s="6" t="s">
        <v>20</v>
      </c>
      <c r="K8" s="6" t="s">
        <v>21</v>
      </c>
      <c r="L8" s="6" t="s">
        <v>33</v>
      </c>
      <c r="M8" s="6">
        <v>7</v>
      </c>
      <c r="N8">
        <f t="shared" si="0"/>
        <v>1</v>
      </c>
      <c r="O8" t="str">
        <f t="shared" si="1"/>
        <v>04-2026</v>
      </c>
      <c r="P8" t="str">
        <f t="shared" si="2"/>
        <v>04-2026</v>
      </c>
      <c r="Q8">
        <f t="shared" si="3"/>
        <v>1</v>
      </c>
      <c r="R8">
        <f t="shared" si="4"/>
        <v>0</v>
      </c>
      <c r="S8" t="str">
        <f t="shared" si="5"/>
        <v>0-90</v>
      </c>
    </row>
    <row r="9" spans="1:19" x14ac:dyDescent="0.25">
      <c r="A9" s="6" t="s">
        <v>34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11">
        <v>46175</v>
      </c>
      <c r="I9" s="11"/>
      <c r="J9" s="6" t="s">
        <v>27</v>
      </c>
      <c r="K9" s="6"/>
      <c r="L9" s="6"/>
      <c r="M9" s="6">
        <v>28</v>
      </c>
      <c r="N9">
        <f t="shared" si="0"/>
        <v>0</v>
      </c>
      <c r="O9" t="str">
        <f t="shared" si="1"/>
        <v>06-2026</v>
      </c>
      <c r="P9" t="str">
        <f t="shared" si="2"/>
        <v/>
      </c>
      <c r="Q9">
        <f t="shared" si="3"/>
        <v>0</v>
      </c>
      <c r="R9">
        <f t="shared" si="4"/>
        <v>0</v>
      </c>
      <c r="S9" t="str">
        <f t="shared" si="5"/>
        <v>0-90</v>
      </c>
    </row>
    <row r="10" spans="1:19" x14ac:dyDescent="0.25">
      <c r="A10" s="6" t="s">
        <v>35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11">
        <v>45963</v>
      </c>
      <c r="I10" s="11"/>
      <c r="J10" s="6" t="s">
        <v>27</v>
      </c>
      <c r="K10" s="6"/>
      <c r="L10" s="6"/>
      <c r="M10" s="6">
        <v>240</v>
      </c>
      <c r="N10">
        <f t="shared" si="0"/>
        <v>0</v>
      </c>
      <c r="O10" t="str">
        <f t="shared" si="1"/>
        <v>11-2025</v>
      </c>
      <c r="P10" t="str">
        <f t="shared" si="2"/>
        <v/>
      </c>
      <c r="Q10">
        <f t="shared" si="3"/>
        <v>0</v>
      </c>
      <c r="R10">
        <f t="shared" si="4"/>
        <v>0</v>
      </c>
      <c r="S10" t="str">
        <f t="shared" si="5"/>
        <v>180-365</v>
      </c>
    </row>
    <row r="11" spans="1:19" x14ac:dyDescent="0.25">
      <c r="A11" s="6" t="s">
        <v>36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11">
        <v>46115</v>
      </c>
      <c r="I11" s="11">
        <v>46134</v>
      </c>
      <c r="J11" s="6" t="s">
        <v>20</v>
      </c>
      <c r="K11" s="6" t="s">
        <v>21</v>
      </c>
      <c r="L11" s="6" t="s">
        <v>37</v>
      </c>
      <c r="M11" s="6">
        <v>19</v>
      </c>
      <c r="N11">
        <f t="shared" si="0"/>
        <v>1</v>
      </c>
      <c r="O11" t="str">
        <f t="shared" si="1"/>
        <v>04-2026</v>
      </c>
      <c r="P11" t="str">
        <f t="shared" si="2"/>
        <v>04-2026</v>
      </c>
      <c r="Q11">
        <f t="shared" si="3"/>
        <v>1</v>
      </c>
      <c r="R11">
        <f t="shared" si="4"/>
        <v>0</v>
      </c>
      <c r="S11" t="str">
        <f t="shared" si="5"/>
        <v>0-90</v>
      </c>
    </row>
    <row r="12" spans="1:19" x14ac:dyDescent="0.25">
      <c r="A12" s="6" t="s">
        <v>38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11">
        <v>46176</v>
      </c>
      <c r="I12" s="11">
        <v>46195</v>
      </c>
      <c r="J12" s="6" t="s">
        <v>20</v>
      </c>
      <c r="K12" s="6" t="s">
        <v>21</v>
      </c>
      <c r="L12" s="6" t="s">
        <v>30</v>
      </c>
      <c r="M12" s="6">
        <v>19</v>
      </c>
      <c r="N12">
        <f t="shared" si="0"/>
        <v>1</v>
      </c>
      <c r="O12" t="str">
        <f t="shared" si="1"/>
        <v>06-2026</v>
      </c>
      <c r="P12" t="str">
        <f t="shared" si="2"/>
        <v>06-2026</v>
      </c>
      <c r="Q12">
        <f t="shared" si="3"/>
        <v>1</v>
      </c>
      <c r="R12">
        <f t="shared" si="4"/>
        <v>0</v>
      </c>
      <c r="S12" t="str">
        <f t="shared" si="5"/>
        <v>0-90</v>
      </c>
    </row>
    <row r="13" spans="1:19" x14ac:dyDescent="0.25">
      <c r="A13" s="6" t="s">
        <v>39</v>
      </c>
      <c r="B13" s="6" t="s">
        <v>14</v>
      </c>
      <c r="C13" s="6" t="s">
        <v>15</v>
      </c>
      <c r="D13" s="6" t="s">
        <v>16</v>
      </c>
      <c r="E13" s="6" t="s">
        <v>17</v>
      </c>
      <c r="F13" s="6" t="s">
        <v>18</v>
      </c>
      <c r="G13" s="6" t="s">
        <v>19</v>
      </c>
      <c r="H13" s="11">
        <v>46116</v>
      </c>
      <c r="I13" s="11">
        <v>46166</v>
      </c>
      <c r="J13" s="6" t="s">
        <v>20</v>
      </c>
      <c r="K13" s="6" t="s">
        <v>24</v>
      </c>
      <c r="L13" s="6" t="s">
        <v>25</v>
      </c>
      <c r="M13" s="6">
        <v>50</v>
      </c>
      <c r="N13">
        <f t="shared" si="0"/>
        <v>1</v>
      </c>
      <c r="O13" t="str">
        <f t="shared" si="1"/>
        <v>04-2026</v>
      </c>
      <c r="P13" t="str">
        <f t="shared" si="2"/>
        <v>05-2026</v>
      </c>
      <c r="Q13">
        <f t="shared" si="3"/>
        <v>0</v>
      </c>
      <c r="R13">
        <f t="shared" si="4"/>
        <v>1</v>
      </c>
      <c r="S13" t="str">
        <f t="shared" si="5"/>
        <v>0-90</v>
      </c>
    </row>
    <row r="14" spans="1:19" x14ac:dyDescent="0.25">
      <c r="A14" s="6" t="s">
        <v>40</v>
      </c>
      <c r="B14" s="6" t="s">
        <v>14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19</v>
      </c>
      <c r="H14" s="11">
        <v>46116</v>
      </c>
      <c r="I14" s="11">
        <v>46144</v>
      </c>
      <c r="J14" s="6" t="s">
        <v>20</v>
      </c>
      <c r="K14" s="6" t="s">
        <v>24</v>
      </c>
      <c r="L14" s="6" t="s">
        <v>41</v>
      </c>
      <c r="M14" s="6">
        <v>28</v>
      </c>
      <c r="N14">
        <f t="shared" si="0"/>
        <v>1</v>
      </c>
      <c r="O14" t="str">
        <f t="shared" si="1"/>
        <v>04-2026</v>
      </c>
      <c r="P14" t="str">
        <f t="shared" si="2"/>
        <v>05-2026</v>
      </c>
      <c r="Q14">
        <f t="shared" si="3"/>
        <v>0</v>
      </c>
      <c r="R14">
        <f t="shared" si="4"/>
        <v>1</v>
      </c>
      <c r="S14" t="str">
        <f t="shared" si="5"/>
        <v>0-90</v>
      </c>
    </row>
    <row r="15" spans="1:19" x14ac:dyDescent="0.25">
      <c r="A15" s="6" t="s">
        <v>42</v>
      </c>
      <c r="B15" s="6" t="s">
        <v>14</v>
      </c>
      <c r="C15" s="6" t="s">
        <v>15</v>
      </c>
      <c r="D15" s="6" t="s">
        <v>16</v>
      </c>
      <c r="E15" s="6" t="s">
        <v>17</v>
      </c>
      <c r="F15" s="6" t="s">
        <v>18</v>
      </c>
      <c r="G15" s="6" t="s">
        <v>19</v>
      </c>
      <c r="H15" s="11">
        <v>46116</v>
      </c>
      <c r="I15" s="11">
        <v>46131</v>
      </c>
      <c r="J15" s="6" t="s">
        <v>20</v>
      </c>
      <c r="K15" s="6" t="s">
        <v>21</v>
      </c>
      <c r="L15" s="6" t="s">
        <v>37</v>
      </c>
      <c r="M15" s="6">
        <v>15</v>
      </c>
      <c r="N15">
        <f t="shared" si="0"/>
        <v>1</v>
      </c>
      <c r="O15" t="str">
        <f t="shared" si="1"/>
        <v>04-2026</v>
      </c>
      <c r="P15" t="str">
        <f t="shared" si="2"/>
        <v>04-2026</v>
      </c>
      <c r="Q15">
        <f t="shared" si="3"/>
        <v>1</v>
      </c>
      <c r="R15">
        <f t="shared" si="4"/>
        <v>0</v>
      </c>
      <c r="S15" t="str">
        <f t="shared" si="5"/>
        <v>0-90</v>
      </c>
    </row>
    <row r="16" spans="1:19" x14ac:dyDescent="0.25">
      <c r="A16" s="6" t="s">
        <v>43</v>
      </c>
      <c r="B16" s="6" t="s">
        <v>14</v>
      </c>
      <c r="C16" s="6" t="s">
        <v>15</v>
      </c>
      <c r="D16" s="6" t="s">
        <v>16</v>
      </c>
      <c r="E16" s="6" t="s">
        <v>17</v>
      </c>
      <c r="F16" s="6" t="s">
        <v>18</v>
      </c>
      <c r="G16" s="6" t="s">
        <v>19</v>
      </c>
      <c r="H16" s="11">
        <v>45781</v>
      </c>
      <c r="I16" s="11">
        <v>46164</v>
      </c>
      <c r="J16" s="6" t="s">
        <v>20</v>
      </c>
      <c r="K16" s="6" t="s">
        <v>24</v>
      </c>
      <c r="L16" s="6" t="s">
        <v>44</v>
      </c>
      <c r="M16" s="6">
        <v>383</v>
      </c>
      <c r="N16">
        <f t="shared" si="0"/>
        <v>1</v>
      </c>
      <c r="O16" t="str">
        <f t="shared" si="1"/>
        <v>05-2025</v>
      </c>
      <c r="P16" t="str">
        <f t="shared" si="2"/>
        <v>05-2026</v>
      </c>
      <c r="Q16">
        <f t="shared" si="3"/>
        <v>0</v>
      </c>
      <c r="R16">
        <f t="shared" si="4"/>
        <v>1</v>
      </c>
      <c r="S16" t="str">
        <f t="shared" si="5"/>
        <v>above 1 year</v>
      </c>
    </row>
    <row r="17" spans="1:19" x14ac:dyDescent="0.25">
      <c r="A17" s="6" t="s">
        <v>45</v>
      </c>
      <c r="B17" s="6" t="s">
        <v>14</v>
      </c>
      <c r="C17" s="6" t="s">
        <v>15</v>
      </c>
      <c r="D17" s="6" t="s">
        <v>16</v>
      </c>
      <c r="E17" s="6" t="s">
        <v>17</v>
      </c>
      <c r="F17" s="6" t="s">
        <v>18</v>
      </c>
      <c r="G17" s="6" t="s">
        <v>19</v>
      </c>
      <c r="H17" s="11">
        <v>46117</v>
      </c>
      <c r="I17" s="11"/>
      <c r="J17" s="6" t="s">
        <v>27</v>
      </c>
      <c r="K17" s="6"/>
      <c r="L17" s="6"/>
      <c r="M17" s="6">
        <v>86</v>
      </c>
      <c r="N17">
        <f t="shared" si="0"/>
        <v>0</v>
      </c>
      <c r="O17" t="str">
        <f t="shared" si="1"/>
        <v>04-2026</v>
      </c>
      <c r="P17" t="str">
        <f t="shared" si="2"/>
        <v/>
      </c>
      <c r="Q17">
        <f t="shared" si="3"/>
        <v>0</v>
      </c>
      <c r="R17">
        <f t="shared" si="4"/>
        <v>0</v>
      </c>
      <c r="S17" t="str">
        <f t="shared" si="5"/>
        <v>0-90</v>
      </c>
    </row>
    <row r="18" spans="1:19" x14ac:dyDescent="0.25">
      <c r="A18" s="6" t="s">
        <v>46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11">
        <v>46117</v>
      </c>
      <c r="I18" s="11">
        <v>46126</v>
      </c>
      <c r="J18" s="6" t="s">
        <v>20</v>
      </c>
      <c r="K18" s="6" t="s">
        <v>21</v>
      </c>
      <c r="L18" s="6" t="s">
        <v>30</v>
      </c>
      <c r="M18" s="6">
        <v>9</v>
      </c>
      <c r="N18">
        <f t="shared" si="0"/>
        <v>1</v>
      </c>
      <c r="O18" t="str">
        <f t="shared" si="1"/>
        <v>04-2026</v>
      </c>
      <c r="P18" t="str">
        <f t="shared" si="2"/>
        <v>04-2026</v>
      </c>
      <c r="Q18">
        <f t="shared" si="3"/>
        <v>1</v>
      </c>
      <c r="R18">
        <f t="shared" si="4"/>
        <v>0</v>
      </c>
      <c r="S18" t="str">
        <f t="shared" si="5"/>
        <v>0-90</v>
      </c>
    </row>
    <row r="19" spans="1:19" x14ac:dyDescent="0.25">
      <c r="A19" s="6" t="s">
        <v>47</v>
      </c>
      <c r="B19" s="6" t="s">
        <v>14</v>
      </c>
      <c r="C19" s="6" t="s">
        <v>15</v>
      </c>
      <c r="D19" s="6" t="s">
        <v>16</v>
      </c>
      <c r="E19" s="6" t="s">
        <v>17</v>
      </c>
      <c r="F19" s="6" t="s">
        <v>18</v>
      </c>
      <c r="G19" s="6" t="s">
        <v>19</v>
      </c>
      <c r="H19" s="11">
        <v>46117</v>
      </c>
      <c r="I19" s="11"/>
      <c r="J19" s="6" t="s">
        <v>27</v>
      </c>
      <c r="K19" s="6"/>
      <c r="L19" s="6"/>
      <c r="M19" s="6">
        <v>86</v>
      </c>
      <c r="N19">
        <f t="shared" si="0"/>
        <v>0</v>
      </c>
      <c r="O19" t="str">
        <f t="shared" si="1"/>
        <v>04-2026</v>
      </c>
      <c r="P19" t="str">
        <f t="shared" si="2"/>
        <v/>
      </c>
      <c r="Q19">
        <f t="shared" si="3"/>
        <v>0</v>
      </c>
      <c r="R19">
        <f t="shared" si="4"/>
        <v>0</v>
      </c>
      <c r="S19" t="str">
        <f t="shared" si="5"/>
        <v>0-90</v>
      </c>
    </row>
    <row r="20" spans="1:19" x14ac:dyDescent="0.25">
      <c r="A20" s="6" t="s">
        <v>48</v>
      </c>
      <c r="B20" s="6" t="s">
        <v>14</v>
      </c>
      <c r="C20" s="6" t="s">
        <v>15</v>
      </c>
      <c r="D20" s="6" t="s">
        <v>16</v>
      </c>
      <c r="E20" s="6" t="s">
        <v>17</v>
      </c>
      <c r="F20" s="6" t="s">
        <v>18</v>
      </c>
      <c r="G20" s="6" t="s">
        <v>19</v>
      </c>
      <c r="H20" s="11">
        <v>46117</v>
      </c>
      <c r="I20" s="11">
        <v>46133</v>
      </c>
      <c r="J20" s="6" t="s">
        <v>20</v>
      </c>
      <c r="K20" s="6" t="s">
        <v>21</v>
      </c>
      <c r="L20" s="6" t="s">
        <v>22</v>
      </c>
      <c r="M20" s="6">
        <v>16</v>
      </c>
      <c r="N20">
        <f t="shared" si="0"/>
        <v>1</v>
      </c>
      <c r="O20" t="str">
        <f t="shared" si="1"/>
        <v>04-2026</v>
      </c>
      <c r="P20" t="str">
        <f t="shared" si="2"/>
        <v>04-2026</v>
      </c>
      <c r="Q20">
        <f t="shared" si="3"/>
        <v>1</v>
      </c>
      <c r="R20">
        <f t="shared" si="4"/>
        <v>0</v>
      </c>
      <c r="S20" t="str">
        <f t="shared" si="5"/>
        <v>0-90</v>
      </c>
    </row>
    <row r="21" spans="1:19" x14ac:dyDescent="0.25">
      <c r="A21" s="6" t="s">
        <v>49</v>
      </c>
      <c r="B21" s="6" t="s">
        <v>14</v>
      </c>
      <c r="C21" s="6" t="s">
        <v>15</v>
      </c>
      <c r="D21" s="6" t="s">
        <v>16</v>
      </c>
      <c r="E21" s="6" t="s">
        <v>17</v>
      </c>
      <c r="F21" s="6" t="s">
        <v>18</v>
      </c>
      <c r="G21" s="6" t="s">
        <v>19</v>
      </c>
      <c r="H21" s="11">
        <v>46117</v>
      </c>
      <c r="I21" s="11">
        <v>46120</v>
      </c>
      <c r="J21" s="6" t="s">
        <v>20</v>
      </c>
      <c r="K21" s="6" t="s">
        <v>21</v>
      </c>
      <c r="L21" s="6" t="s">
        <v>50</v>
      </c>
      <c r="M21" s="6">
        <v>3</v>
      </c>
      <c r="N21">
        <f t="shared" si="0"/>
        <v>1</v>
      </c>
      <c r="O21" t="str">
        <f t="shared" si="1"/>
        <v>04-2026</v>
      </c>
      <c r="P21" t="str">
        <f t="shared" si="2"/>
        <v>04-2026</v>
      </c>
      <c r="Q21">
        <f t="shared" si="3"/>
        <v>1</v>
      </c>
      <c r="R21">
        <f t="shared" si="4"/>
        <v>0</v>
      </c>
      <c r="S21" t="str">
        <f t="shared" si="5"/>
        <v>0-90</v>
      </c>
    </row>
    <row r="22" spans="1:19" x14ac:dyDescent="0.25">
      <c r="A22" s="6" t="s">
        <v>51</v>
      </c>
      <c r="B22" s="6" t="s">
        <v>14</v>
      </c>
      <c r="C22" s="6" t="s">
        <v>15</v>
      </c>
      <c r="D22" s="6" t="s">
        <v>16</v>
      </c>
      <c r="E22" s="6" t="s">
        <v>17</v>
      </c>
      <c r="F22" s="6" t="s">
        <v>18</v>
      </c>
      <c r="G22" s="6" t="s">
        <v>19</v>
      </c>
      <c r="H22" s="11">
        <v>46117</v>
      </c>
      <c r="I22" s="11">
        <v>46120</v>
      </c>
      <c r="J22" s="6" t="s">
        <v>20</v>
      </c>
      <c r="K22" s="6" t="s">
        <v>21</v>
      </c>
      <c r="L22" s="6" t="s">
        <v>30</v>
      </c>
      <c r="M22" s="6">
        <v>3</v>
      </c>
      <c r="N22">
        <f t="shared" si="0"/>
        <v>1</v>
      </c>
      <c r="O22" t="str">
        <f t="shared" si="1"/>
        <v>04-2026</v>
      </c>
      <c r="P22" t="str">
        <f t="shared" si="2"/>
        <v>04-2026</v>
      </c>
      <c r="Q22">
        <f t="shared" si="3"/>
        <v>1</v>
      </c>
      <c r="R22">
        <f t="shared" si="4"/>
        <v>0</v>
      </c>
      <c r="S22" t="str">
        <f t="shared" si="5"/>
        <v>0-90</v>
      </c>
    </row>
    <row r="23" spans="1:19" x14ac:dyDescent="0.25">
      <c r="A23" s="6" t="s">
        <v>52</v>
      </c>
      <c r="B23" s="6" t="s">
        <v>14</v>
      </c>
      <c r="C23" s="6" t="s">
        <v>15</v>
      </c>
      <c r="D23" s="6" t="s">
        <v>16</v>
      </c>
      <c r="E23" s="6" t="s">
        <v>17</v>
      </c>
      <c r="F23" s="6" t="s">
        <v>18</v>
      </c>
      <c r="G23" s="6" t="s">
        <v>19</v>
      </c>
      <c r="H23" s="11">
        <v>46027</v>
      </c>
      <c r="I23" s="11">
        <v>46167</v>
      </c>
      <c r="J23" s="6" t="s">
        <v>20</v>
      </c>
      <c r="K23" s="6" t="s">
        <v>24</v>
      </c>
      <c r="L23" s="6" t="s">
        <v>25</v>
      </c>
      <c r="M23" s="6">
        <v>140</v>
      </c>
      <c r="N23">
        <f t="shared" si="0"/>
        <v>1</v>
      </c>
      <c r="O23" t="str">
        <f t="shared" si="1"/>
        <v>01-2026</v>
      </c>
      <c r="P23" t="str">
        <f t="shared" si="2"/>
        <v>05-2026</v>
      </c>
      <c r="Q23">
        <f t="shared" si="3"/>
        <v>0</v>
      </c>
      <c r="R23">
        <f t="shared" si="4"/>
        <v>1</v>
      </c>
      <c r="S23" t="str">
        <f t="shared" si="5"/>
        <v>90-180</v>
      </c>
    </row>
    <row r="24" spans="1:19" x14ac:dyDescent="0.25">
      <c r="A24" s="6" t="s">
        <v>53</v>
      </c>
      <c r="B24" s="6" t="s">
        <v>14</v>
      </c>
      <c r="C24" s="6" t="s">
        <v>15</v>
      </c>
      <c r="D24" s="6" t="s">
        <v>16</v>
      </c>
      <c r="E24" s="6" t="s">
        <v>17</v>
      </c>
      <c r="F24" s="6" t="s">
        <v>18</v>
      </c>
      <c r="G24" s="6" t="s">
        <v>19</v>
      </c>
      <c r="H24" s="11">
        <v>46119</v>
      </c>
      <c r="I24" s="11"/>
      <c r="J24" s="6" t="s">
        <v>27</v>
      </c>
      <c r="K24" s="6"/>
      <c r="L24" s="6"/>
      <c r="M24" s="6">
        <v>84</v>
      </c>
      <c r="N24">
        <f t="shared" si="0"/>
        <v>0</v>
      </c>
      <c r="O24" t="str">
        <f t="shared" si="1"/>
        <v>04-2026</v>
      </c>
      <c r="P24" t="str">
        <f t="shared" si="2"/>
        <v/>
      </c>
      <c r="Q24">
        <f t="shared" si="3"/>
        <v>0</v>
      </c>
      <c r="R24">
        <f t="shared" si="4"/>
        <v>0</v>
      </c>
      <c r="S24" t="str">
        <f t="shared" si="5"/>
        <v>0-90</v>
      </c>
    </row>
    <row r="25" spans="1:19" x14ac:dyDescent="0.25">
      <c r="A25" s="6" t="s">
        <v>54</v>
      </c>
      <c r="B25" s="6" t="s">
        <v>14</v>
      </c>
      <c r="C25" s="6" t="s">
        <v>15</v>
      </c>
      <c r="D25" s="6" t="s">
        <v>16</v>
      </c>
      <c r="E25" s="6" t="s">
        <v>17</v>
      </c>
      <c r="F25" s="6" t="s">
        <v>18</v>
      </c>
      <c r="G25" s="6" t="s">
        <v>19</v>
      </c>
      <c r="H25" s="11">
        <v>46119</v>
      </c>
      <c r="I25" s="11">
        <v>46166</v>
      </c>
      <c r="J25" s="6" t="s">
        <v>20</v>
      </c>
      <c r="K25" s="6" t="s">
        <v>24</v>
      </c>
      <c r="L25" s="6" t="s">
        <v>55</v>
      </c>
      <c r="M25" s="6">
        <v>47</v>
      </c>
      <c r="N25">
        <f t="shared" si="0"/>
        <v>1</v>
      </c>
      <c r="O25" t="str">
        <f t="shared" si="1"/>
        <v>04-2026</v>
      </c>
      <c r="P25" t="str">
        <f t="shared" si="2"/>
        <v>05-2026</v>
      </c>
      <c r="Q25">
        <f t="shared" si="3"/>
        <v>0</v>
      </c>
      <c r="R25">
        <f t="shared" si="4"/>
        <v>1</v>
      </c>
      <c r="S25" t="str">
        <f t="shared" si="5"/>
        <v>0-90</v>
      </c>
    </row>
    <row r="26" spans="1:19" x14ac:dyDescent="0.25">
      <c r="A26" s="6" t="s">
        <v>56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11">
        <v>45815</v>
      </c>
      <c r="I26" s="11">
        <v>46122</v>
      </c>
      <c r="J26" s="6" t="s">
        <v>20</v>
      </c>
      <c r="K26" s="6" t="s">
        <v>24</v>
      </c>
      <c r="L26" s="6" t="s">
        <v>41</v>
      </c>
      <c r="M26" s="6">
        <v>307</v>
      </c>
      <c r="N26">
        <f t="shared" si="0"/>
        <v>1</v>
      </c>
      <c r="O26" t="str">
        <f t="shared" si="1"/>
        <v>06-2025</v>
      </c>
      <c r="P26" t="str">
        <f t="shared" si="2"/>
        <v>04-2026</v>
      </c>
      <c r="Q26">
        <f t="shared" si="3"/>
        <v>0</v>
      </c>
      <c r="R26">
        <f t="shared" si="4"/>
        <v>1</v>
      </c>
      <c r="S26" t="str">
        <f t="shared" si="5"/>
        <v>180-365</v>
      </c>
    </row>
    <row r="27" spans="1:19" x14ac:dyDescent="0.25">
      <c r="A27" s="6" t="s">
        <v>57</v>
      </c>
      <c r="B27" s="6" t="s">
        <v>14</v>
      </c>
      <c r="C27" s="6" t="s">
        <v>15</v>
      </c>
      <c r="D27" s="6" t="s">
        <v>16</v>
      </c>
      <c r="E27" s="6" t="s">
        <v>17</v>
      </c>
      <c r="F27" s="6" t="s">
        <v>18</v>
      </c>
      <c r="G27" s="6" t="s">
        <v>19</v>
      </c>
      <c r="H27" s="11">
        <v>45755</v>
      </c>
      <c r="I27" s="11">
        <v>46119</v>
      </c>
      <c r="J27" s="6" t="s">
        <v>20</v>
      </c>
      <c r="K27" s="6" t="s">
        <v>21</v>
      </c>
      <c r="L27" s="6" t="s">
        <v>22</v>
      </c>
      <c r="M27" s="6">
        <v>364</v>
      </c>
      <c r="N27">
        <f t="shared" si="0"/>
        <v>1</v>
      </c>
      <c r="O27" t="str">
        <f t="shared" si="1"/>
        <v>04-2025</v>
      </c>
      <c r="P27" t="str">
        <f t="shared" si="2"/>
        <v>04-2026</v>
      </c>
      <c r="Q27">
        <f t="shared" si="3"/>
        <v>1</v>
      </c>
      <c r="R27">
        <f t="shared" si="4"/>
        <v>0</v>
      </c>
      <c r="S27" t="str">
        <f t="shared" si="5"/>
        <v>180-365</v>
      </c>
    </row>
    <row r="28" spans="1:19" x14ac:dyDescent="0.25">
      <c r="A28" s="6" t="s">
        <v>58</v>
      </c>
      <c r="B28" s="6" t="s">
        <v>14</v>
      </c>
      <c r="C28" s="6" t="s">
        <v>15</v>
      </c>
      <c r="D28" s="6" t="s">
        <v>16</v>
      </c>
      <c r="E28" s="6" t="s">
        <v>17</v>
      </c>
      <c r="F28" s="6" t="s">
        <v>18</v>
      </c>
      <c r="G28" s="6" t="s">
        <v>19</v>
      </c>
      <c r="H28" s="11">
        <v>46089</v>
      </c>
      <c r="I28" s="11">
        <v>46131</v>
      </c>
      <c r="J28" s="6" t="s">
        <v>20</v>
      </c>
      <c r="K28" s="6" t="s">
        <v>24</v>
      </c>
      <c r="L28" s="6" t="s">
        <v>55</v>
      </c>
      <c r="M28" s="6">
        <v>42</v>
      </c>
      <c r="N28">
        <f t="shared" si="0"/>
        <v>1</v>
      </c>
      <c r="O28" t="str">
        <f t="shared" si="1"/>
        <v>03-2026</v>
      </c>
      <c r="P28" t="str">
        <f t="shared" si="2"/>
        <v>04-2026</v>
      </c>
      <c r="Q28">
        <f t="shared" si="3"/>
        <v>0</v>
      </c>
      <c r="R28">
        <f t="shared" si="4"/>
        <v>1</v>
      </c>
      <c r="S28" t="str">
        <f t="shared" si="5"/>
        <v>0-90</v>
      </c>
    </row>
    <row r="29" spans="1:19" x14ac:dyDescent="0.25">
      <c r="A29" s="6" t="s">
        <v>59</v>
      </c>
      <c r="B29" s="6" t="s">
        <v>14</v>
      </c>
      <c r="C29" s="6" t="s">
        <v>15</v>
      </c>
      <c r="D29" s="6" t="s">
        <v>16</v>
      </c>
      <c r="E29" s="6" t="s">
        <v>17</v>
      </c>
      <c r="F29" s="6" t="s">
        <v>18</v>
      </c>
      <c r="G29" s="6" t="s">
        <v>19</v>
      </c>
      <c r="H29" s="11">
        <v>46121</v>
      </c>
      <c r="I29" s="11">
        <v>46157</v>
      </c>
      <c r="J29" s="6" t="s">
        <v>20</v>
      </c>
      <c r="K29" s="6" t="s">
        <v>21</v>
      </c>
      <c r="L29" s="6" t="s">
        <v>30</v>
      </c>
      <c r="M29" s="6">
        <v>36</v>
      </c>
      <c r="N29">
        <f t="shared" si="0"/>
        <v>1</v>
      </c>
      <c r="O29" t="str">
        <f t="shared" si="1"/>
        <v>04-2026</v>
      </c>
      <c r="P29" t="str">
        <f t="shared" si="2"/>
        <v>05-2026</v>
      </c>
      <c r="Q29">
        <f t="shared" si="3"/>
        <v>1</v>
      </c>
      <c r="R29">
        <f t="shared" si="4"/>
        <v>0</v>
      </c>
      <c r="S29" t="str">
        <f t="shared" si="5"/>
        <v>0-90</v>
      </c>
    </row>
    <row r="30" spans="1:19" x14ac:dyDescent="0.25">
      <c r="A30" s="6" t="s">
        <v>60</v>
      </c>
      <c r="B30" s="6" t="s">
        <v>14</v>
      </c>
      <c r="C30" s="6" t="s">
        <v>15</v>
      </c>
      <c r="D30" s="6" t="s">
        <v>16</v>
      </c>
      <c r="E30" s="6" t="s">
        <v>17</v>
      </c>
      <c r="F30" s="6" t="s">
        <v>18</v>
      </c>
      <c r="G30" s="6" t="s">
        <v>19</v>
      </c>
      <c r="H30" s="11">
        <v>46121</v>
      </c>
      <c r="I30" s="11">
        <v>46124</v>
      </c>
      <c r="J30" s="6" t="s">
        <v>20</v>
      </c>
      <c r="K30" s="6" t="s">
        <v>21</v>
      </c>
      <c r="L30" s="6" t="s">
        <v>61</v>
      </c>
      <c r="M30" s="6">
        <v>3</v>
      </c>
      <c r="N30">
        <f t="shared" si="0"/>
        <v>1</v>
      </c>
      <c r="O30" t="str">
        <f t="shared" si="1"/>
        <v>04-2026</v>
      </c>
      <c r="P30" t="str">
        <f t="shared" si="2"/>
        <v>04-2026</v>
      </c>
      <c r="Q30">
        <f t="shared" si="3"/>
        <v>1</v>
      </c>
      <c r="R30">
        <f t="shared" si="4"/>
        <v>0</v>
      </c>
      <c r="S30" t="str">
        <f t="shared" si="5"/>
        <v>0-90</v>
      </c>
    </row>
    <row r="31" spans="1:19" x14ac:dyDescent="0.25">
      <c r="A31" s="6" t="s">
        <v>62</v>
      </c>
      <c r="B31" s="6" t="s">
        <v>14</v>
      </c>
      <c r="C31" s="6" t="s">
        <v>15</v>
      </c>
      <c r="D31" s="6" t="s">
        <v>16</v>
      </c>
      <c r="E31" s="6" t="s">
        <v>17</v>
      </c>
      <c r="F31" s="6" t="s">
        <v>18</v>
      </c>
      <c r="G31" s="6" t="s">
        <v>19</v>
      </c>
      <c r="H31" s="11">
        <v>46122</v>
      </c>
      <c r="I31" s="11">
        <v>46148</v>
      </c>
      <c r="J31" s="6" t="s">
        <v>20</v>
      </c>
      <c r="K31" s="6" t="s">
        <v>24</v>
      </c>
      <c r="L31" s="6" t="s">
        <v>44</v>
      </c>
      <c r="M31" s="6">
        <v>26</v>
      </c>
      <c r="N31">
        <f t="shared" si="0"/>
        <v>1</v>
      </c>
      <c r="O31" t="str">
        <f t="shared" si="1"/>
        <v>04-2026</v>
      </c>
      <c r="P31" t="str">
        <f t="shared" si="2"/>
        <v>05-2026</v>
      </c>
      <c r="Q31">
        <f t="shared" si="3"/>
        <v>0</v>
      </c>
      <c r="R31">
        <f t="shared" si="4"/>
        <v>1</v>
      </c>
      <c r="S31" t="str">
        <f t="shared" si="5"/>
        <v>0-90</v>
      </c>
    </row>
    <row r="32" spans="1:19" x14ac:dyDescent="0.25">
      <c r="A32" s="6" t="s">
        <v>63</v>
      </c>
      <c r="B32" s="6" t="s">
        <v>14</v>
      </c>
      <c r="C32" s="6" t="s">
        <v>15</v>
      </c>
      <c r="D32" s="6" t="s">
        <v>16</v>
      </c>
      <c r="E32" s="6" t="s">
        <v>17</v>
      </c>
      <c r="F32" s="6" t="s">
        <v>18</v>
      </c>
      <c r="G32" s="6" t="s">
        <v>19</v>
      </c>
      <c r="H32" s="11">
        <v>45818</v>
      </c>
      <c r="I32" s="11">
        <v>46144</v>
      </c>
      <c r="J32" s="6" t="s">
        <v>20</v>
      </c>
      <c r="K32" s="6" t="s">
        <v>24</v>
      </c>
      <c r="L32" s="6" t="s">
        <v>25</v>
      </c>
      <c r="M32" s="6">
        <v>326</v>
      </c>
      <c r="N32">
        <f t="shared" si="0"/>
        <v>1</v>
      </c>
      <c r="O32" t="str">
        <f t="shared" si="1"/>
        <v>06-2025</v>
      </c>
      <c r="P32" t="str">
        <f t="shared" si="2"/>
        <v>05-2026</v>
      </c>
      <c r="Q32">
        <f t="shared" si="3"/>
        <v>0</v>
      </c>
      <c r="R32">
        <f t="shared" si="4"/>
        <v>1</v>
      </c>
      <c r="S32" t="str">
        <f t="shared" si="5"/>
        <v>180-365</v>
      </c>
    </row>
    <row r="33" spans="1:19" x14ac:dyDescent="0.25">
      <c r="A33" s="6" t="s">
        <v>64</v>
      </c>
      <c r="B33" s="6" t="s">
        <v>14</v>
      </c>
      <c r="C33" s="6" t="s">
        <v>15</v>
      </c>
      <c r="D33" s="6" t="s">
        <v>16</v>
      </c>
      <c r="E33" s="6" t="s">
        <v>17</v>
      </c>
      <c r="F33" s="6" t="s">
        <v>18</v>
      </c>
      <c r="G33" s="6" t="s">
        <v>19</v>
      </c>
      <c r="H33" s="11">
        <v>46123</v>
      </c>
      <c r="I33" s="11">
        <v>46165</v>
      </c>
      <c r="J33" s="6" t="s">
        <v>20</v>
      </c>
      <c r="K33" s="6" t="s">
        <v>24</v>
      </c>
      <c r="L33" s="6" t="s">
        <v>41</v>
      </c>
      <c r="M33" s="6">
        <v>42</v>
      </c>
      <c r="N33">
        <f t="shared" si="0"/>
        <v>1</v>
      </c>
      <c r="O33" t="str">
        <f t="shared" si="1"/>
        <v>04-2026</v>
      </c>
      <c r="P33" t="str">
        <f t="shared" si="2"/>
        <v>05-2026</v>
      </c>
      <c r="Q33">
        <f t="shared" si="3"/>
        <v>0</v>
      </c>
      <c r="R33">
        <f t="shared" si="4"/>
        <v>1</v>
      </c>
      <c r="S33" t="str">
        <f t="shared" si="5"/>
        <v>0-90</v>
      </c>
    </row>
    <row r="34" spans="1:19" x14ac:dyDescent="0.25">
      <c r="A34" s="6" t="s">
        <v>65</v>
      </c>
      <c r="B34" s="6" t="s">
        <v>14</v>
      </c>
      <c r="C34" s="6" t="s">
        <v>15</v>
      </c>
      <c r="D34" s="6" t="s">
        <v>16</v>
      </c>
      <c r="E34" s="6" t="s">
        <v>17</v>
      </c>
      <c r="F34" s="6" t="s">
        <v>18</v>
      </c>
      <c r="G34" s="6" t="s">
        <v>19</v>
      </c>
      <c r="H34" s="11">
        <v>46123</v>
      </c>
      <c r="I34" s="11">
        <v>46123</v>
      </c>
      <c r="J34" s="6" t="s">
        <v>20</v>
      </c>
      <c r="K34" s="6" t="s">
        <v>21</v>
      </c>
      <c r="L34" s="6" t="s">
        <v>50</v>
      </c>
      <c r="M34" s="6">
        <v>0</v>
      </c>
      <c r="N34">
        <f t="shared" si="0"/>
        <v>1</v>
      </c>
      <c r="O34" t="str">
        <f t="shared" si="1"/>
        <v>04-2026</v>
      </c>
      <c r="P34" t="str">
        <f t="shared" si="2"/>
        <v>04-2026</v>
      </c>
      <c r="Q34">
        <f t="shared" si="3"/>
        <v>1</v>
      </c>
      <c r="R34">
        <f t="shared" si="4"/>
        <v>0</v>
      </c>
      <c r="S34" t="str">
        <f t="shared" si="5"/>
        <v>0-90</v>
      </c>
    </row>
    <row r="35" spans="1:19" x14ac:dyDescent="0.25">
      <c r="A35" s="6" t="s">
        <v>66</v>
      </c>
      <c r="B35" s="6" t="s">
        <v>14</v>
      </c>
      <c r="C35" s="6" t="s">
        <v>15</v>
      </c>
      <c r="D35" s="6" t="s">
        <v>16</v>
      </c>
      <c r="E35" s="6" t="s">
        <v>17</v>
      </c>
      <c r="F35" s="6" t="s">
        <v>18</v>
      </c>
      <c r="G35" s="6" t="s">
        <v>19</v>
      </c>
      <c r="H35" s="11">
        <v>46002</v>
      </c>
      <c r="I35" s="11">
        <v>46142</v>
      </c>
      <c r="J35" s="6" t="s">
        <v>20</v>
      </c>
      <c r="K35" s="6" t="s">
        <v>24</v>
      </c>
      <c r="L35" s="6" t="s">
        <v>44</v>
      </c>
      <c r="M35" s="6">
        <v>140</v>
      </c>
      <c r="N35">
        <f t="shared" si="0"/>
        <v>1</v>
      </c>
      <c r="O35" t="str">
        <f t="shared" si="1"/>
        <v>12-2025</v>
      </c>
      <c r="P35" t="str">
        <f t="shared" si="2"/>
        <v>04-2026</v>
      </c>
      <c r="Q35">
        <f t="shared" si="3"/>
        <v>0</v>
      </c>
      <c r="R35">
        <f t="shared" si="4"/>
        <v>1</v>
      </c>
      <c r="S35" t="str">
        <f t="shared" si="5"/>
        <v>90-180</v>
      </c>
    </row>
    <row r="36" spans="1:19" x14ac:dyDescent="0.25">
      <c r="A36" s="6" t="s">
        <v>67</v>
      </c>
      <c r="B36" s="6" t="s">
        <v>14</v>
      </c>
      <c r="C36" s="6" t="s">
        <v>15</v>
      </c>
      <c r="D36" s="6" t="s">
        <v>16</v>
      </c>
      <c r="E36" s="6" t="s">
        <v>17</v>
      </c>
      <c r="F36" s="6" t="s">
        <v>18</v>
      </c>
      <c r="G36" s="6" t="s">
        <v>19</v>
      </c>
      <c r="H36" s="11">
        <v>45911</v>
      </c>
      <c r="I36" s="11">
        <v>46133</v>
      </c>
      <c r="J36" s="6" t="s">
        <v>20</v>
      </c>
      <c r="K36" s="6" t="s">
        <v>24</v>
      </c>
      <c r="L36" s="6" t="s">
        <v>25</v>
      </c>
      <c r="M36" s="6">
        <v>222</v>
      </c>
      <c r="N36">
        <f t="shared" si="0"/>
        <v>1</v>
      </c>
      <c r="O36" t="str">
        <f t="shared" si="1"/>
        <v>09-2025</v>
      </c>
      <c r="P36" t="str">
        <f t="shared" si="2"/>
        <v>04-2026</v>
      </c>
      <c r="Q36">
        <f t="shared" si="3"/>
        <v>0</v>
      </c>
      <c r="R36">
        <f t="shared" si="4"/>
        <v>1</v>
      </c>
      <c r="S36" t="str">
        <f t="shared" si="5"/>
        <v>180-365</v>
      </c>
    </row>
    <row r="37" spans="1:19" x14ac:dyDescent="0.25">
      <c r="A37" s="6" t="s">
        <v>68</v>
      </c>
      <c r="B37" s="6" t="s">
        <v>14</v>
      </c>
      <c r="C37" s="6" t="s">
        <v>15</v>
      </c>
      <c r="D37" s="6" t="s">
        <v>16</v>
      </c>
      <c r="E37" s="6" t="s">
        <v>17</v>
      </c>
      <c r="F37" s="6" t="s">
        <v>18</v>
      </c>
      <c r="G37" s="6" t="s">
        <v>19</v>
      </c>
      <c r="H37" s="11">
        <v>46124</v>
      </c>
      <c r="I37" s="11"/>
      <c r="J37" s="6" t="s">
        <v>27</v>
      </c>
      <c r="K37" s="6"/>
      <c r="L37" s="6"/>
      <c r="M37" s="6">
        <v>79</v>
      </c>
      <c r="N37">
        <f t="shared" si="0"/>
        <v>0</v>
      </c>
      <c r="O37" t="str">
        <f t="shared" si="1"/>
        <v>04-2026</v>
      </c>
      <c r="P37" t="str">
        <f t="shared" si="2"/>
        <v/>
      </c>
      <c r="Q37">
        <f t="shared" si="3"/>
        <v>0</v>
      </c>
      <c r="R37">
        <f t="shared" si="4"/>
        <v>0</v>
      </c>
      <c r="S37" t="str">
        <f t="shared" si="5"/>
        <v>0-90</v>
      </c>
    </row>
    <row r="38" spans="1:19" x14ac:dyDescent="0.25">
      <c r="A38" s="6" t="s">
        <v>69</v>
      </c>
      <c r="B38" s="6" t="s">
        <v>14</v>
      </c>
      <c r="C38" s="6" t="s">
        <v>15</v>
      </c>
      <c r="D38" s="6" t="s">
        <v>16</v>
      </c>
      <c r="E38" s="6" t="s">
        <v>17</v>
      </c>
      <c r="F38" s="6" t="s">
        <v>18</v>
      </c>
      <c r="G38" s="6" t="s">
        <v>19</v>
      </c>
      <c r="H38" s="11">
        <v>46124</v>
      </c>
      <c r="I38" s="11">
        <v>46173</v>
      </c>
      <c r="J38" s="6" t="s">
        <v>20</v>
      </c>
      <c r="K38" s="6" t="s">
        <v>21</v>
      </c>
      <c r="L38" s="6" t="s">
        <v>37</v>
      </c>
      <c r="M38" s="6">
        <v>49</v>
      </c>
      <c r="N38">
        <f t="shared" si="0"/>
        <v>1</v>
      </c>
      <c r="O38" t="str">
        <f t="shared" si="1"/>
        <v>04-2026</v>
      </c>
      <c r="P38" t="str">
        <f t="shared" si="2"/>
        <v>05-2026</v>
      </c>
      <c r="Q38">
        <f t="shared" si="3"/>
        <v>1</v>
      </c>
      <c r="R38">
        <f t="shared" si="4"/>
        <v>0</v>
      </c>
      <c r="S38" t="str">
        <f t="shared" si="5"/>
        <v>0-90</v>
      </c>
    </row>
    <row r="39" spans="1:19" x14ac:dyDescent="0.25">
      <c r="A39" s="6" t="s">
        <v>70</v>
      </c>
      <c r="B39" s="6" t="s">
        <v>14</v>
      </c>
      <c r="C39" s="6" t="s">
        <v>15</v>
      </c>
      <c r="D39" s="6" t="s">
        <v>16</v>
      </c>
      <c r="E39" s="6" t="s">
        <v>17</v>
      </c>
      <c r="F39" s="6" t="s">
        <v>18</v>
      </c>
      <c r="G39" s="6" t="s">
        <v>19</v>
      </c>
      <c r="H39" s="11">
        <v>46124</v>
      </c>
      <c r="I39" s="11">
        <v>46164</v>
      </c>
      <c r="J39" s="6" t="s">
        <v>20</v>
      </c>
      <c r="K39" s="6" t="s">
        <v>24</v>
      </c>
      <c r="L39" s="6" t="s">
        <v>55</v>
      </c>
      <c r="M39" s="6">
        <v>40</v>
      </c>
      <c r="N39">
        <f t="shared" si="0"/>
        <v>1</v>
      </c>
      <c r="O39" t="str">
        <f t="shared" si="1"/>
        <v>04-2026</v>
      </c>
      <c r="P39" t="str">
        <f t="shared" si="2"/>
        <v>05-2026</v>
      </c>
      <c r="Q39">
        <f t="shared" si="3"/>
        <v>0</v>
      </c>
      <c r="R39">
        <f t="shared" si="4"/>
        <v>1</v>
      </c>
      <c r="S39" t="str">
        <f t="shared" si="5"/>
        <v>0-90</v>
      </c>
    </row>
    <row r="40" spans="1:19" x14ac:dyDescent="0.25">
      <c r="A40" s="6" t="s">
        <v>71</v>
      </c>
      <c r="B40" s="6" t="s">
        <v>14</v>
      </c>
      <c r="C40" s="6" t="s">
        <v>15</v>
      </c>
      <c r="D40" s="6" t="s">
        <v>16</v>
      </c>
      <c r="E40" s="6" t="s">
        <v>17</v>
      </c>
      <c r="F40" s="6" t="s">
        <v>18</v>
      </c>
      <c r="G40" s="6" t="s">
        <v>19</v>
      </c>
      <c r="H40" s="11">
        <v>46124</v>
      </c>
      <c r="I40" s="11"/>
      <c r="J40" s="6" t="s">
        <v>27</v>
      </c>
      <c r="K40" s="6"/>
      <c r="L40" s="6"/>
      <c r="M40" s="6">
        <v>79</v>
      </c>
      <c r="N40">
        <f t="shared" si="0"/>
        <v>0</v>
      </c>
      <c r="O40" t="str">
        <f t="shared" si="1"/>
        <v>04-2026</v>
      </c>
      <c r="P40" t="str">
        <f t="shared" si="2"/>
        <v/>
      </c>
      <c r="Q40">
        <f t="shared" si="3"/>
        <v>0</v>
      </c>
      <c r="R40">
        <f t="shared" si="4"/>
        <v>0</v>
      </c>
      <c r="S40" t="str">
        <f t="shared" si="5"/>
        <v>0-90</v>
      </c>
    </row>
    <row r="41" spans="1:19" x14ac:dyDescent="0.25">
      <c r="A41" s="6" t="s">
        <v>72</v>
      </c>
      <c r="B41" s="6" t="s">
        <v>14</v>
      </c>
      <c r="C41" s="6" t="s">
        <v>15</v>
      </c>
      <c r="D41" s="6" t="s">
        <v>16</v>
      </c>
      <c r="E41" s="6" t="s">
        <v>17</v>
      </c>
      <c r="F41" s="6" t="s">
        <v>18</v>
      </c>
      <c r="G41" s="6" t="s">
        <v>19</v>
      </c>
      <c r="H41" s="11">
        <v>46124</v>
      </c>
      <c r="I41" s="11"/>
      <c r="J41" s="6" t="s">
        <v>27</v>
      </c>
      <c r="K41" s="6"/>
      <c r="L41" s="6"/>
      <c r="M41" s="6">
        <v>79</v>
      </c>
      <c r="N41">
        <f t="shared" si="0"/>
        <v>0</v>
      </c>
      <c r="O41" t="str">
        <f t="shared" si="1"/>
        <v>04-2026</v>
      </c>
      <c r="P41" t="str">
        <f t="shared" si="2"/>
        <v/>
      </c>
      <c r="Q41">
        <f t="shared" si="3"/>
        <v>0</v>
      </c>
      <c r="R41">
        <f t="shared" si="4"/>
        <v>0</v>
      </c>
      <c r="S41" t="str">
        <f t="shared" si="5"/>
        <v>0-90</v>
      </c>
    </row>
    <row r="42" spans="1:19" x14ac:dyDescent="0.25">
      <c r="A42" s="6" t="s">
        <v>73</v>
      </c>
      <c r="B42" s="6" t="s">
        <v>14</v>
      </c>
      <c r="C42" s="6" t="s">
        <v>15</v>
      </c>
      <c r="D42" s="6" t="s">
        <v>16</v>
      </c>
      <c r="E42" s="6" t="s">
        <v>17</v>
      </c>
      <c r="F42" s="6" t="s">
        <v>18</v>
      </c>
      <c r="G42" s="6" t="s">
        <v>19</v>
      </c>
      <c r="H42" s="11">
        <v>45669</v>
      </c>
      <c r="I42" s="11">
        <v>46126</v>
      </c>
      <c r="J42" s="6" t="s">
        <v>20</v>
      </c>
      <c r="K42" s="6" t="s">
        <v>24</v>
      </c>
      <c r="L42" s="6" t="s">
        <v>25</v>
      </c>
      <c r="M42" s="6">
        <v>457</v>
      </c>
      <c r="N42">
        <f t="shared" si="0"/>
        <v>1</v>
      </c>
      <c r="O42" t="str">
        <f t="shared" si="1"/>
        <v>01-2025</v>
      </c>
      <c r="P42" t="str">
        <f t="shared" si="2"/>
        <v>04-2026</v>
      </c>
      <c r="Q42">
        <f t="shared" si="3"/>
        <v>0</v>
      </c>
      <c r="R42">
        <f t="shared" si="4"/>
        <v>1</v>
      </c>
      <c r="S42" t="str">
        <f t="shared" si="5"/>
        <v>above 1 year</v>
      </c>
    </row>
    <row r="43" spans="1:19" x14ac:dyDescent="0.25">
      <c r="A43" s="6" t="s">
        <v>74</v>
      </c>
      <c r="B43" s="6" t="s">
        <v>14</v>
      </c>
      <c r="C43" s="6" t="s">
        <v>15</v>
      </c>
      <c r="D43" s="6" t="s">
        <v>16</v>
      </c>
      <c r="E43" s="6" t="s">
        <v>17</v>
      </c>
      <c r="F43" s="6" t="s">
        <v>18</v>
      </c>
      <c r="G43" s="6" t="s">
        <v>19</v>
      </c>
      <c r="H43" s="11">
        <v>46185</v>
      </c>
      <c r="I43" s="11">
        <v>46191</v>
      </c>
      <c r="J43" s="6" t="s">
        <v>20</v>
      </c>
      <c r="K43" s="6" t="s">
        <v>21</v>
      </c>
      <c r="L43" s="6" t="s">
        <v>61</v>
      </c>
      <c r="M43" s="6">
        <v>6</v>
      </c>
      <c r="N43">
        <f t="shared" si="0"/>
        <v>1</v>
      </c>
      <c r="O43" t="str">
        <f t="shared" si="1"/>
        <v>06-2026</v>
      </c>
      <c r="P43" t="str">
        <f t="shared" si="2"/>
        <v>06-2026</v>
      </c>
      <c r="Q43">
        <f t="shared" si="3"/>
        <v>1</v>
      </c>
      <c r="R43">
        <f t="shared" si="4"/>
        <v>0</v>
      </c>
      <c r="S43" t="str">
        <f t="shared" si="5"/>
        <v>0-90</v>
      </c>
    </row>
    <row r="44" spans="1:19" x14ac:dyDescent="0.25">
      <c r="A44" s="6" t="s">
        <v>75</v>
      </c>
      <c r="B44" s="6" t="s">
        <v>14</v>
      </c>
      <c r="C44" s="6" t="s">
        <v>15</v>
      </c>
      <c r="D44" s="6" t="s">
        <v>16</v>
      </c>
      <c r="E44" s="6" t="s">
        <v>17</v>
      </c>
      <c r="F44" s="6" t="s">
        <v>18</v>
      </c>
      <c r="G44" s="6" t="s">
        <v>19</v>
      </c>
      <c r="H44" s="11">
        <v>45912</v>
      </c>
      <c r="I44" s="11"/>
      <c r="J44" s="6" t="s">
        <v>27</v>
      </c>
      <c r="K44" s="6"/>
      <c r="L44" s="6"/>
      <c r="M44" s="6">
        <v>291</v>
      </c>
      <c r="N44">
        <f t="shared" si="0"/>
        <v>0</v>
      </c>
      <c r="O44" t="str">
        <f t="shared" si="1"/>
        <v>09-2025</v>
      </c>
      <c r="P44" t="str">
        <f t="shared" si="2"/>
        <v/>
      </c>
      <c r="Q44">
        <f t="shared" si="3"/>
        <v>0</v>
      </c>
      <c r="R44">
        <f t="shared" si="4"/>
        <v>0</v>
      </c>
      <c r="S44" t="str">
        <f t="shared" si="5"/>
        <v>180-365</v>
      </c>
    </row>
    <row r="45" spans="1:19" x14ac:dyDescent="0.25">
      <c r="A45" s="6" t="s">
        <v>76</v>
      </c>
      <c r="B45" s="6" t="s">
        <v>14</v>
      </c>
      <c r="C45" s="6" t="s">
        <v>15</v>
      </c>
      <c r="D45" s="6" t="s">
        <v>16</v>
      </c>
      <c r="E45" s="6" t="s">
        <v>17</v>
      </c>
      <c r="F45" s="6" t="s">
        <v>18</v>
      </c>
      <c r="G45" s="6" t="s">
        <v>19</v>
      </c>
      <c r="H45" s="11">
        <v>46125</v>
      </c>
      <c r="I45" s="11">
        <v>46159</v>
      </c>
      <c r="J45" s="6" t="s">
        <v>20</v>
      </c>
      <c r="K45" s="6" t="s">
        <v>24</v>
      </c>
      <c r="L45" s="6" t="s">
        <v>41</v>
      </c>
      <c r="M45" s="6">
        <v>34</v>
      </c>
      <c r="N45">
        <f t="shared" si="0"/>
        <v>1</v>
      </c>
      <c r="O45" t="str">
        <f t="shared" si="1"/>
        <v>04-2026</v>
      </c>
      <c r="P45" t="str">
        <f t="shared" si="2"/>
        <v>05-2026</v>
      </c>
      <c r="Q45">
        <f t="shared" si="3"/>
        <v>0</v>
      </c>
      <c r="R45">
        <f t="shared" si="4"/>
        <v>1</v>
      </c>
      <c r="S45" t="str">
        <f t="shared" si="5"/>
        <v>0-90</v>
      </c>
    </row>
    <row r="46" spans="1:19" x14ac:dyDescent="0.25">
      <c r="A46" s="6" t="s">
        <v>77</v>
      </c>
      <c r="B46" s="6" t="s">
        <v>14</v>
      </c>
      <c r="C46" s="6" t="s">
        <v>15</v>
      </c>
      <c r="D46" s="6" t="s">
        <v>16</v>
      </c>
      <c r="E46" s="6" t="s">
        <v>17</v>
      </c>
      <c r="F46" s="6" t="s">
        <v>18</v>
      </c>
      <c r="G46" s="6" t="s">
        <v>19</v>
      </c>
      <c r="H46" s="11">
        <v>46125</v>
      </c>
      <c r="I46" s="11">
        <v>46146</v>
      </c>
      <c r="J46" s="6" t="s">
        <v>20</v>
      </c>
      <c r="K46" s="6" t="s">
        <v>24</v>
      </c>
      <c r="L46" s="6" t="s">
        <v>25</v>
      </c>
      <c r="M46" s="6">
        <v>21</v>
      </c>
      <c r="N46">
        <f t="shared" si="0"/>
        <v>1</v>
      </c>
      <c r="O46" t="str">
        <f t="shared" si="1"/>
        <v>04-2026</v>
      </c>
      <c r="P46" t="str">
        <f t="shared" si="2"/>
        <v>05-2026</v>
      </c>
      <c r="Q46">
        <f t="shared" si="3"/>
        <v>0</v>
      </c>
      <c r="R46">
        <f t="shared" si="4"/>
        <v>1</v>
      </c>
      <c r="S46" t="str">
        <f t="shared" si="5"/>
        <v>0-90</v>
      </c>
    </row>
    <row r="47" spans="1:19" x14ac:dyDescent="0.25">
      <c r="A47" s="6" t="s">
        <v>78</v>
      </c>
      <c r="B47" s="6" t="s">
        <v>14</v>
      </c>
      <c r="C47" s="6" t="s">
        <v>15</v>
      </c>
      <c r="D47" s="6" t="s">
        <v>16</v>
      </c>
      <c r="E47" s="6" t="s">
        <v>17</v>
      </c>
      <c r="F47" s="6" t="s">
        <v>18</v>
      </c>
      <c r="G47" s="6" t="s">
        <v>19</v>
      </c>
      <c r="H47" s="11">
        <v>46125</v>
      </c>
      <c r="I47" s="11"/>
      <c r="J47" s="6" t="s">
        <v>27</v>
      </c>
      <c r="K47" s="6"/>
      <c r="L47" s="6"/>
      <c r="M47" s="6">
        <v>78</v>
      </c>
      <c r="N47">
        <f t="shared" si="0"/>
        <v>0</v>
      </c>
      <c r="O47" t="str">
        <f t="shared" si="1"/>
        <v>04-2026</v>
      </c>
      <c r="P47" t="str">
        <f t="shared" si="2"/>
        <v/>
      </c>
      <c r="Q47">
        <f t="shared" si="3"/>
        <v>0</v>
      </c>
      <c r="R47">
        <f t="shared" si="4"/>
        <v>0</v>
      </c>
      <c r="S47" t="str">
        <f t="shared" si="5"/>
        <v>0-90</v>
      </c>
    </row>
    <row r="48" spans="1:19" x14ac:dyDescent="0.25">
      <c r="A48" s="6" t="s">
        <v>79</v>
      </c>
      <c r="B48" s="6" t="s">
        <v>14</v>
      </c>
      <c r="C48" s="6" t="s">
        <v>15</v>
      </c>
      <c r="D48" s="6" t="s">
        <v>16</v>
      </c>
      <c r="E48" s="6" t="s">
        <v>17</v>
      </c>
      <c r="F48" s="6" t="s">
        <v>18</v>
      </c>
      <c r="G48" s="6" t="s">
        <v>19</v>
      </c>
      <c r="H48" s="11">
        <v>46125</v>
      </c>
      <c r="I48" s="11">
        <v>46142</v>
      </c>
      <c r="J48" s="6" t="s">
        <v>20</v>
      </c>
      <c r="K48" s="6" t="s">
        <v>21</v>
      </c>
      <c r="L48" s="6" t="s">
        <v>37</v>
      </c>
      <c r="M48" s="6">
        <v>17</v>
      </c>
      <c r="N48">
        <f t="shared" si="0"/>
        <v>1</v>
      </c>
      <c r="O48" t="str">
        <f t="shared" si="1"/>
        <v>04-2026</v>
      </c>
      <c r="P48" t="str">
        <f t="shared" si="2"/>
        <v>04-2026</v>
      </c>
      <c r="Q48">
        <f t="shared" si="3"/>
        <v>1</v>
      </c>
      <c r="R48">
        <f t="shared" si="4"/>
        <v>0</v>
      </c>
      <c r="S48" t="str">
        <f t="shared" si="5"/>
        <v>0-90</v>
      </c>
    </row>
    <row r="49" spans="1:19" x14ac:dyDescent="0.25">
      <c r="A49" s="6" t="s">
        <v>80</v>
      </c>
      <c r="B49" s="6" t="s">
        <v>14</v>
      </c>
      <c r="C49" s="6" t="s">
        <v>15</v>
      </c>
      <c r="D49" s="6" t="s">
        <v>16</v>
      </c>
      <c r="E49" s="6" t="s">
        <v>17</v>
      </c>
      <c r="F49" s="6" t="s">
        <v>18</v>
      </c>
      <c r="G49" s="6" t="s">
        <v>19</v>
      </c>
      <c r="H49" s="11">
        <v>46125</v>
      </c>
      <c r="I49" s="11">
        <v>46136</v>
      </c>
      <c r="J49" s="6" t="s">
        <v>20</v>
      </c>
      <c r="K49" s="6" t="s">
        <v>21</v>
      </c>
      <c r="L49" s="6" t="s">
        <v>61</v>
      </c>
      <c r="M49" s="6">
        <v>11</v>
      </c>
      <c r="N49">
        <f t="shared" si="0"/>
        <v>1</v>
      </c>
      <c r="O49" t="str">
        <f t="shared" si="1"/>
        <v>04-2026</v>
      </c>
      <c r="P49" t="str">
        <f t="shared" si="2"/>
        <v>04-2026</v>
      </c>
      <c r="Q49">
        <f t="shared" si="3"/>
        <v>1</v>
      </c>
      <c r="R49">
        <f t="shared" si="4"/>
        <v>0</v>
      </c>
      <c r="S49" t="str">
        <f t="shared" si="5"/>
        <v>0-90</v>
      </c>
    </row>
    <row r="50" spans="1:19" x14ac:dyDescent="0.25">
      <c r="A50" s="6" t="s">
        <v>81</v>
      </c>
      <c r="B50" s="6" t="s">
        <v>14</v>
      </c>
      <c r="C50" s="6" t="s">
        <v>15</v>
      </c>
      <c r="D50" s="6" t="s">
        <v>16</v>
      </c>
      <c r="E50" s="6" t="s">
        <v>17</v>
      </c>
      <c r="F50" s="6" t="s">
        <v>18</v>
      </c>
      <c r="G50" s="6" t="s">
        <v>19</v>
      </c>
      <c r="H50" s="11">
        <v>45913</v>
      </c>
      <c r="I50" s="11">
        <v>46113</v>
      </c>
      <c r="J50" s="6" t="s">
        <v>20</v>
      </c>
      <c r="K50" s="6" t="s">
        <v>24</v>
      </c>
      <c r="L50" s="6" t="s">
        <v>44</v>
      </c>
      <c r="M50" s="6">
        <v>200</v>
      </c>
      <c r="N50">
        <f t="shared" si="0"/>
        <v>1</v>
      </c>
      <c r="O50" t="str">
        <f t="shared" si="1"/>
        <v>09-2025</v>
      </c>
      <c r="P50" t="str">
        <f t="shared" si="2"/>
        <v>04-2026</v>
      </c>
      <c r="Q50">
        <f t="shared" si="3"/>
        <v>0</v>
      </c>
      <c r="R50">
        <f t="shared" si="4"/>
        <v>1</v>
      </c>
      <c r="S50" t="str">
        <f t="shared" si="5"/>
        <v>180-365</v>
      </c>
    </row>
    <row r="51" spans="1:19" x14ac:dyDescent="0.25">
      <c r="A51" s="6" t="s">
        <v>82</v>
      </c>
      <c r="B51" s="6" t="s">
        <v>14</v>
      </c>
      <c r="C51" s="6" t="s">
        <v>15</v>
      </c>
      <c r="D51" s="6" t="s">
        <v>16</v>
      </c>
      <c r="E51" s="6" t="s">
        <v>17</v>
      </c>
      <c r="F51" s="6" t="s">
        <v>18</v>
      </c>
      <c r="G51" s="6" t="s">
        <v>19</v>
      </c>
      <c r="H51" s="11">
        <v>45913</v>
      </c>
      <c r="I51" s="11">
        <v>46118</v>
      </c>
      <c r="J51" s="6" t="s">
        <v>20</v>
      </c>
      <c r="K51" s="6" t="s">
        <v>24</v>
      </c>
      <c r="L51" s="6" t="s">
        <v>44</v>
      </c>
      <c r="M51" s="6">
        <v>205</v>
      </c>
      <c r="N51">
        <f t="shared" si="0"/>
        <v>1</v>
      </c>
      <c r="O51" t="str">
        <f t="shared" si="1"/>
        <v>09-2025</v>
      </c>
      <c r="P51" t="str">
        <f t="shared" si="2"/>
        <v>04-2026</v>
      </c>
      <c r="Q51">
        <f t="shared" si="3"/>
        <v>0</v>
      </c>
      <c r="R51">
        <f t="shared" si="4"/>
        <v>1</v>
      </c>
      <c r="S51" t="str">
        <f t="shared" si="5"/>
        <v>180-365</v>
      </c>
    </row>
    <row r="52" spans="1:19" x14ac:dyDescent="0.25">
      <c r="A52" s="6" t="s">
        <v>83</v>
      </c>
      <c r="B52" s="6" t="s">
        <v>14</v>
      </c>
      <c r="C52" s="6" t="s">
        <v>15</v>
      </c>
      <c r="D52" s="6" t="s">
        <v>16</v>
      </c>
      <c r="E52" s="6" t="s">
        <v>17</v>
      </c>
      <c r="F52" s="6" t="s">
        <v>18</v>
      </c>
      <c r="G52" s="6" t="s">
        <v>19</v>
      </c>
      <c r="H52" s="11">
        <v>46126</v>
      </c>
      <c r="I52" s="11">
        <v>46181</v>
      </c>
      <c r="J52" s="6" t="s">
        <v>20</v>
      </c>
      <c r="K52" s="6" t="s">
        <v>24</v>
      </c>
      <c r="L52" s="6" t="s">
        <v>41</v>
      </c>
      <c r="M52" s="6">
        <v>55</v>
      </c>
      <c r="N52">
        <f t="shared" si="0"/>
        <v>1</v>
      </c>
      <c r="O52" t="str">
        <f t="shared" si="1"/>
        <v>04-2026</v>
      </c>
      <c r="P52" t="str">
        <f t="shared" si="2"/>
        <v>06-2026</v>
      </c>
      <c r="Q52">
        <f t="shared" si="3"/>
        <v>0</v>
      </c>
      <c r="R52">
        <f t="shared" si="4"/>
        <v>1</v>
      </c>
      <c r="S52" t="str">
        <f t="shared" si="5"/>
        <v>0-90</v>
      </c>
    </row>
    <row r="53" spans="1:19" x14ac:dyDescent="0.25">
      <c r="A53" s="6" t="s">
        <v>84</v>
      </c>
      <c r="B53" s="6" t="s">
        <v>14</v>
      </c>
      <c r="C53" s="6" t="s">
        <v>15</v>
      </c>
      <c r="D53" s="6" t="s">
        <v>16</v>
      </c>
      <c r="E53" s="6" t="s">
        <v>17</v>
      </c>
      <c r="F53" s="6" t="s">
        <v>18</v>
      </c>
      <c r="G53" s="6" t="s">
        <v>19</v>
      </c>
      <c r="H53" s="11">
        <v>46127</v>
      </c>
      <c r="I53" s="11">
        <v>46156</v>
      </c>
      <c r="J53" s="6" t="s">
        <v>20</v>
      </c>
      <c r="K53" s="6" t="s">
        <v>24</v>
      </c>
      <c r="L53" s="6" t="s">
        <v>41</v>
      </c>
      <c r="M53" s="6">
        <v>29</v>
      </c>
      <c r="N53">
        <f t="shared" si="0"/>
        <v>1</v>
      </c>
      <c r="O53" t="str">
        <f t="shared" si="1"/>
        <v>04-2026</v>
      </c>
      <c r="P53" t="str">
        <f t="shared" si="2"/>
        <v>05-2026</v>
      </c>
      <c r="Q53">
        <f t="shared" si="3"/>
        <v>0</v>
      </c>
      <c r="R53">
        <f t="shared" si="4"/>
        <v>1</v>
      </c>
      <c r="S53" t="str">
        <f t="shared" si="5"/>
        <v>0-90</v>
      </c>
    </row>
    <row r="54" spans="1:19" x14ac:dyDescent="0.25">
      <c r="A54" s="6" t="s">
        <v>85</v>
      </c>
      <c r="B54" s="6" t="s">
        <v>14</v>
      </c>
      <c r="C54" s="6" t="s">
        <v>15</v>
      </c>
      <c r="D54" s="6" t="s">
        <v>16</v>
      </c>
      <c r="E54" s="6" t="s">
        <v>17</v>
      </c>
      <c r="F54" s="6" t="s">
        <v>18</v>
      </c>
      <c r="G54" s="6" t="s">
        <v>19</v>
      </c>
      <c r="H54" s="11">
        <v>46127</v>
      </c>
      <c r="I54" s="11">
        <v>46134</v>
      </c>
      <c r="J54" s="6" t="s">
        <v>20</v>
      </c>
      <c r="K54" s="6" t="s">
        <v>21</v>
      </c>
      <c r="L54" s="6" t="s">
        <v>33</v>
      </c>
      <c r="M54" s="6">
        <v>7</v>
      </c>
      <c r="N54">
        <f t="shared" si="0"/>
        <v>1</v>
      </c>
      <c r="O54" t="str">
        <f t="shared" si="1"/>
        <v>04-2026</v>
      </c>
      <c r="P54" t="str">
        <f t="shared" si="2"/>
        <v>04-2026</v>
      </c>
      <c r="Q54">
        <f t="shared" si="3"/>
        <v>1</v>
      </c>
      <c r="R54">
        <f t="shared" si="4"/>
        <v>0</v>
      </c>
      <c r="S54" t="str">
        <f t="shared" si="5"/>
        <v>0-90</v>
      </c>
    </row>
    <row r="55" spans="1:19" x14ac:dyDescent="0.25">
      <c r="A55" s="6" t="s">
        <v>86</v>
      </c>
      <c r="B55" s="6" t="s">
        <v>14</v>
      </c>
      <c r="C55" s="6" t="s">
        <v>15</v>
      </c>
      <c r="D55" s="6" t="s">
        <v>16</v>
      </c>
      <c r="E55" s="6" t="s">
        <v>17</v>
      </c>
      <c r="F55" s="6" t="s">
        <v>18</v>
      </c>
      <c r="G55" s="6" t="s">
        <v>19</v>
      </c>
      <c r="H55" s="11">
        <v>46128</v>
      </c>
      <c r="I55" s="11">
        <v>46169</v>
      </c>
      <c r="J55" s="6" t="s">
        <v>20</v>
      </c>
      <c r="K55" s="6" t="s">
        <v>24</v>
      </c>
      <c r="L55" s="6" t="s">
        <v>55</v>
      </c>
      <c r="M55" s="6">
        <v>41</v>
      </c>
      <c r="N55">
        <f t="shared" si="0"/>
        <v>1</v>
      </c>
      <c r="O55" t="str">
        <f t="shared" si="1"/>
        <v>04-2026</v>
      </c>
      <c r="P55" t="str">
        <f t="shared" si="2"/>
        <v>05-2026</v>
      </c>
      <c r="Q55">
        <f t="shared" si="3"/>
        <v>0</v>
      </c>
      <c r="R55">
        <f t="shared" si="4"/>
        <v>1</v>
      </c>
      <c r="S55" t="str">
        <f t="shared" si="5"/>
        <v>0-90</v>
      </c>
    </row>
    <row r="56" spans="1:19" x14ac:dyDescent="0.25">
      <c r="A56" s="6" t="s">
        <v>87</v>
      </c>
      <c r="B56" s="6" t="s">
        <v>14</v>
      </c>
      <c r="C56" s="6" t="s">
        <v>15</v>
      </c>
      <c r="D56" s="6" t="s">
        <v>16</v>
      </c>
      <c r="E56" s="6" t="s">
        <v>17</v>
      </c>
      <c r="F56" s="6" t="s">
        <v>18</v>
      </c>
      <c r="G56" s="6" t="s">
        <v>19</v>
      </c>
      <c r="H56" s="11">
        <v>45704</v>
      </c>
      <c r="I56" s="11">
        <v>46139</v>
      </c>
      <c r="J56" s="6" t="s">
        <v>20</v>
      </c>
      <c r="K56" s="6" t="s">
        <v>24</v>
      </c>
      <c r="L56" s="6" t="s">
        <v>41</v>
      </c>
      <c r="M56" s="6">
        <v>435</v>
      </c>
      <c r="N56">
        <f t="shared" si="0"/>
        <v>1</v>
      </c>
      <c r="O56" t="str">
        <f t="shared" si="1"/>
        <v>02-2025</v>
      </c>
      <c r="P56" t="str">
        <f t="shared" si="2"/>
        <v>04-2026</v>
      </c>
      <c r="Q56">
        <f t="shared" si="3"/>
        <v>0</v>
      </c>
      <c r="R56">
        <f t="shared" si="4"/>
        <v>1</v>
      </c>
      <c r="S56" t="str">
        <f t="shared" si="5"/>
        <v>above 1 year</v>
      </c>
    </row>
    <row r="57" spans="1:19" x14ac:dyDescent="0.25">
      <c r="A57" s="6" t="s">
        <v>88</v>
      </c>
      <c r="B57" s="6" t="s">
        <v>14</v>
      </c>
      <c r="C57" s="6" t="s">
        <v>15</v>
      </c>
      <c r="D57" s="6" t="s">
        <v>16</v>
      </c>
      <c r="E57" s="6" t="s">
        <v>17</v>
      </c>
      <c r="F57" s="6" t="s">
        <v>18</v>
      </c>
      <c r="G57" s="6" t="s">
        <v>19</v>
      </c>
      <c r="H57" s="11">
        <v>45916</v>
      </c>
      <c r="I57" s="11">
        <v>46203</v>
      </c>
      <c r="J57" s="6" t="s">
        <v>20</v>
      </c>
      <c r="K57" s="6" t="s">
        <v>24</v>
      </c>
      <c r="L57" s="6" t="s">
        <v>55</v>
      </c>
      <c r="M57" s="6">
        <v>287</v>
      </c>
      <c r="N57">
        <f t="shared" si="0"/>
        <v>1</v>
      </c>
      <c r="O57" t="str">
        <f t="shared" si="1"/>
        <v>09-2025</v>
      </c>
      <c r="P57" t="str">
        <f t="shared" si="2"/>
        <v>06-2026</v>
      </c>
      <c r="Q57">
        <f t="shared" si="3"/>
        <v>0</v>
      </c>
      <c r="R57">
        <f t="shared" si="4"/>
        <v>1</v>
      </c>
      <c r="S57" t="str">
        <f t="shared" si="5"/>
        <v>180-365</v>
      </c>
    </row>
    <row r="58" spans="1:19" x14ac:dyDescent="0.25">
      <c r="A58" s="6" t="s">
        <v>89</v>
      </c>
      <c r="B58" s="6" t="s">
        <v>14</v>
      </c>
      <c r="C58" s="6" t="s">
        <v>15</v>
      </c>
      <c r="D58" s="6" t="s">
        <v>16</v>
      </c>
      <c r="E58" s="6" t="s">
        <v>17</v>
      </c>
      <c r="F58" s="6" t="s">
        <v>18</v>
      </c>
      <c r="G58" s="6" t="s">
        <v>19</v>
      </c>
      <c r="H58" s="11">
        <v>46129</v>
      </c>
      <c r="I58" s="11">
        <v>46157</v>
      </c>
      <c r="J58" s="6" t="s">
        <v>20</v>
      </c>
      <c r="K58" s="6" t="s">
        <v>24</v>
      </c>
      <c r="L58" s="6" t="s">
        <v>25</v>
      </c>
      <c r="M58" s="6">
        <v>28</v>
      </c>
      <c r="N58">
        <f t="shared" si="0"/>
        <v>1</v>
      </c>
      <c r="O58" t="str">
        <f t="shared" si="1"/>
        <v>04-2026</v>
      </c>
      <c r="P58" t="str">
        <f t="shared" si="2"/>
        <v>05-2026</v>
      </c>
      <c r="Q58">
        <f t="shared" si="3"/>
        <v>0</v>
      </c>
      <c r="R58">
        <f t="shared" si="4"/>
        <v>1</v>
      </c>
      <c r="S58" t="str">
        <f t="shared" si="5"/>
        <v>0-90</v>
      </c>
    </row>
    <row r="59" spans="1:19" x14ac:dyDescent="0.25">
      <c r="A59" s="6" t="s">
        <v>90</v>
      </c>
      <c r="B59" s="6" t="s">
        <v>14</v>
      </c>
      <c r="C59" s="6" t="s">
        <v>15</v>
      </c>
      <c r="D59" s="6" t="s">
        <v>16</v>
      </c>
      <c r="E59" s="6" t="s">
        <v>17</v>
      </c>
      <c r="F59" s="6" t="s">
        <v>18</v>
      </c>
      <c r="G59" s="6" t="s">
        <v>19</v>
      </c>
      <c r="H59" s="11">
        <v>46129</v>
      </c>
      <c r="I59" s="11">
        <v>46162</v>
      </c>
      <c r="J59" s="6" t="s">
        <v>20</v>
      </c>
      <c r="K59" s="6" t="s">
        <v>21</v>
      </c>
      <c r="L59" s="6" t="s">
        <v>22</v>
      </c>
      <c r="M59" s="6">
        <v>33</v>
      </c>
      <c r="N59">
        <f t="shared" si="0"/>
        <v>1</v>
      </c>
      <c r="O59" t="str">
        <f t="shared" si="1"/>
        <v>04-2026</v>
      </c>
      <c r="P59" t="str">
        <f t="shared" si="2"/>
        <v>05-2026</v>
      </c>
      <c r="Q59">
        <f t="shared" si="3"/>
        <v>1</v>
      </c>
      <c r="R59">
        <f t="shared" si="4"/>
        <v>0</v>
      </c>
      <c r="S59" t="str">
        <f t="shared" si="5"/>
        <v>0-90</v>
      </c>
    </row>
    <row r="60" spans="1:19" x14ac:dyDescent="0.25">
      <c r="A60" s="6" t="s">
        <v>91</v>
      </c>
      <c r="B60" s="6" t="s">
        <v>14</v>
      </c>
      <c r="C60" s="6" t="s">
        <v>15</v>
      </c>
      <c r="D60" s="6" t="s">
        <v>16</v>
      </c>
      <c r="E60" s="6" t="s">
        <v>17</v>
      </c>
      <c r="F60" s="6" t="s">
        <v>18</v>
      </c>
      <c r="G60" s="6" t="s">
        <v>19</v>
      </c>
      <c r="H60" s="11">
        <v>46129</v>
      </c>
      <c r="I60" s="11">
        <v>46160</v>
      </c>
      <c r="J60" s="6" t="s">
        <v>20</v>
      </c>
      <c r="K60" s="6" t="s">
        <v>24</v>
      </c>
      <c r="L60" s="6" t="s">
        <v>41</v>
      </c>
      <c r="M60" s="6">
        <v>31</v>
      </c>
      <c r="N60">
        <f t="shared" si="0"/>
        <v>1</v>
      </c>
      <c r="O60" t="str">
        <f t="shared" si="1"/>
        <v>04-2026</v>
      </c>
      <c r="P60" t="str">
        <f t="shared" si="2"/>
        <v>05-2026</v>
      </c>
      <c r="Q60">
        <f t="shared" si="3"/>
        <v>0</v>
      </c>
      <c r="R60">
        <f t="shared" si="4"/>
        <v>1</v>
      </c>
      <c r="S60" t="str">
        <f t="shared" si="5"/>
        <v>0-90</v>
      </c>
    </row>
    <row r="61" spans="1:19" x14ac:dyDescent="0.25">
      <c r="A61" s="6" t="s">
        <v>92</v>
      </c>
      <c r="B61" s="6" t="s">
        <v>14</v>
      </c>
      <c r="C61" s="6" t="s">
        <v>15</v>
      </c>
      <c r="D61" s="6" t="s">
        <v>16</v>
      </c>
      <c r="E61" s="6" t="s">
        <v>17</v>
      </c>
      <c r="F61" s="6" t="s">
        <v>18</v>
      </c>
      <c r="G61" s="6" t="s">
        <v>19</v>
      </c>
      <c r="H61" s="11">
        <v>46129</v>
      </c>
      <c r="I61" s="11"/>
      <c r="J61" s="6" t="s">
        <v>27</v>
      </c>
      <c r="K61" s="6"/>
      <c r="L61" s="6"/>
      <c r="M61" s="6">
        <v>74</v>
      </c>
      <c r="N61">
        <f t="shared" si="0"/>
        <v>0</v>
      </c>
      <c r="O61" t="str">
        <f t="shared" si="1"/>
        <v>04-2026</v>
      </c>
      <c r="P61" t="str">
        <f t="shared" si="2"/>
        <v/>
      </c>
      <c r="Q61">
        <f t="shared" si="3"/>
        <v>0</v>
      </c>
      <c r="R61">
        <f t="shared" si="4"/>
        <v>0</v>
      </c>
      <c r="S61" t="str">
        <f t="shared" si="5"/>
        <v>0-90</v>
      </c>
    </row>
    <row r="62" spans="1:19" x14ac:dyDescent="0.25">
      <c r="A62" s="6" t="s">
        <v>93</v>
      </c>
      <c r="B62" s="6" t="s">
        <v>14</v>
      </c>
      <c r="C62" s="6" t="s">
        <v>15</v>
      </c>
      <c r="D62" s="6" t="s">
        <v>16</v>
      </c>
      <c r="E62" s="6" t="s">
        <v>17</v>
      </c>
      <c r="F62" s="6" t="s">
        <v>18</v>
      </c>
      <c r="G62" s="6" t="s">
        <v>19</v>
      </c>
      <c r="H62" s="11">
        <v>46129</v>
      </c>
      <c r="I62" s="11">
        <v>46175</v>
      </c>
      <c r="J62" s="6" t="s">
        <v>20</v>
      </c>
      <c r="K62" s="6" t="s">
        <v>24</v>
      </c>
      <c r="L62" s="6" t="s">
        <v>41</v>
      </c>
      <c r="M62" s="6">
        <v>46</v>
      </c>
      <c r="N62">
        <f t="shared" si="0"/>
        <v>1</v>
      </c>
      <c r="O62" t="str">
        <f t="shared" si="1"/>
        <v>04-2026</v>
      </c>
      <c r="P62" t="str">
        <f t="shared" si="2"/>
        <v>06-2026</v>
      </c>
      <c r="Q62">
        <f t="shared" si="3"/>
        <v>0</v>
      </c>
      <c r="R62">
        <f t="shared" si="4"/>
        <v>1</v>
      </c>
      <c r="S62" t="str">
        <f t="shared" si="5"/>
        <v>0-90</v>
      </c>
    </row>
    <row r="63" spans="1:19" x14ac:dyDescent="0.25">
      <c r="A63" s="6" t="s">
        <v>94</v>
      </c>
      <c r="B63" s="6" t="s">
        <v>14</v>
      </c>
      <c r="C63" s="6" t="s">
        <v>15</v>
      </c>
      <c r="D63" s="6" t="s">
        <v>16</v>
      </c>
      <c r="E63" s="6" t="s">
        <v>17</v>
      </c>
      <c r="F63" s="6" t="s">
        <v>18</v>
      </c>
      <c r="G63" s="6" t="s">
        <v>19</v>
      </c>
      <c r="H63" s="11">
        <v>45825</v>
      </c>
      <c r="I63" s="11">
        <v>46200</v>
      </c>
      <c r="J63" s="6" t="s">
        <v>20</v>
      </c>
      <c r="K63" s="6" t="s">
        <v>24</v>
      </c>
      <c r="L63" s="6" t="s">
        <v>25</v>
      </c>
      <c r="M63" s="6">
        <v>375</v>
      </c>
      <c r="N63">
        <f t="shared" si="0"/>
        <v>1</v>
      </c>
      <c r="O63" t="str">
        <f t="shared" si="1"/>
        <v>06-2025</v>
      </c>
      <c r="P63" t="str">
        <f t="shared" si="2"/>
        <v>06-2026</v>
      </c>
      <c r="Q63">
        <f t="shared" si="3"/>
        <v>0</v>
      </c>
      <c r="R63">
        <f t="shared" si="4"/>
        <v>1</v>
      </c>
      <c r="S63" t="str">
        <f t="shared" si="5"/>
        <v>above 1 year</v>
      </c>
    </row>
    <row r="64" spans="1:19" x14ac:dyDescent="0.25">
      <c r="A64" s="6" t="s">
        <v>95</v>
      </c>
      <c r="B64" s="6" t="s">
        <v>14</v>
      </c>
      <c r="C64" s="6" t="s">
        <v>15</v>
      </c>
      <c r="D64" s="6" t="s">
        <v>16</v>
      </c>
      <c r="E64" s="6" t="s">
        <v>17</v>
      </c>
      <c r="F64" s="6" t="s">
        <v>18</v>
      </c>
      <c r="G64" s="6" t="s">
        <v>19</v>
      </c>
      <c r="H64" s="11">
        <v>46159</v>
      </c>
      <c r="I64" s="11">
        <v>46159</v>
      </c>
      <c r="J64" s="6" t="s">
        <v>20</v>
      </c>
      <c r="K64" s="6" t="s">
        <v>21</v>
      </c>
      <c r="L64" s="6" t="s">
        <v>33</v>
      </c>
      <c r="M64" s="6">
        <v>0</v>
      </c>
      <c r="N64">
        <f t="shared" si="0"/>
        <v>1</v>
      </c>
      <c r="O64" t="str">
        <f t="shared" si="1"/>
        <v>05-2026</v>
      </c>
      <c r="P64" t="str">
        <f t="shared" si="2"/>
        <v>05-2026</v>
      </c>
      <c r="Q64">
        <f t="shared" si="3"/>
        <v>1</v>
      </c>
      <c r="R64">
        <f t="shared" si="4"/>
        <v>0</v>
      </c>
      <c r="S64" t="str">
        <f t="shared" si="5"/>
        <v>0-90</v>
      </c>
    </row>
    <row r="65" spans="1:19" x14ac:dyDescent="0.25">
      <c r="A65" s="6" t="s">
        <v>96</v>
      </c>
      <c r="B65" s="6" t="s">
        <v>14</v>
      </c>
      <c r="C65" s="6" t="s">
        <v>15</v>
      </c>
      <c r="D65" s="6" t="s">
        <v>16</v>
      </c>
      <c r="E65" s="6" t="s">
        <v>17</v>
      </c>
      <c r="F65" s="6" t="s">
        <v>18</v>
      </c>
      <c r="G65" s="6" t="s">
        <v>19</v>
      </c>
      <c r="H65" s="11">
        <v>46130</v>
      </c>
      <c r="I65" s="11">
        <v>46159</v>
      </c>
      <c r="J65" s="6" t="s">
        <v>20</v>
      </c>
      <c r="K65" s="6" t="s">
        <v>24</v>
      </c>
      <c r="L65" s="6" t="s">
        <v>41</v>
      </c>
      <c r="M65" s="6">
        <v>29</v>
      </c>
      <c r="N65">
        <f t="shared" si="0"/>
        <v>1</v>
      </c>
      <c r="O65" t="str">
        <f t="shared" si="1"/>
        <v>04-2026</v>
      </c>
      <c r="P65" t="str">
        <f t="shared" si="2"/>
        <v>05-2026</v>
      </c>
      <c r="Q65">
        <f t="shared" si="3"/>
        <v>0</v>
      </c>
      <c r="R65">
        <f t="shared" si="4"/>
        <v>1</v>
      </c>
      <c r="S65" t="str">
        <f t="shared" si="5"/>
        <v>0-90</v>
      </c>
    </row>
    <row r="66" spans="1:19" x14ac:dyDescent="0.25">
      <c r="A66" s="6" t="s">
        <v>97</v>
      </c>
      <c r="B66" s="6" t="s">
        <v>14</v>
      </c>
      <c r="C66" s="6" t="s">
        <v>15</v>
      </c>
      <c r="D66" s="6" t="s">
        <v>16</v>
      </c>
      <c r="E66" s="6" t="s">
        <v>17</v>
      </c>
      <c r="F66" s="6" t="s">
        <v>18</v>
      </c>
      <c r="G66" s="6" t="s">
        <v>19</v>
      </c>
      <c r="H66" s="11">
        <v>46130</v>
      </c>
      <c r="I66" s="11">
        <v>46130</v>
      </c>
      <c r="J66" s="6" t="s">
        <v>20</v>
      </c>
      <c r="K66" s="6" t="s">
        <v>21</v>
      </c>
      <c r="L66" s="6" t="s">
        <v>30</v>
      </c>
      <c r="M66" s="6">
        <v>0</v>
      </c>
      <c r="N66">
        <f t="shared" si="0"/>
        <v>1</v>
      </c>
      <c r="O66" t="str">
        <f t="shared" si="1"/>
        <v>04-2026</v>
      </c>
      <c r="P66" t="str">
        <f t="shared" si="2"/>
        <v>04-2026</v>
      </c>
      <c r="Q66">
        <f t="shared" si="3"/>
        <v>1</v>
      </c>
      <c r="R66">
        <f t="shared" si="4"/>
        <v>0</v>
      </c>
      <c r="S66" t="str">
        <f t="shared" si="5"/>
        <v>0-90</v>
      </c>
    </row>
    <row r="67" spans="1:19" x14ac:dyDescent="0.25">
      <c r="A67" s="6" t="s">
        <v>98</v>
      </c>
      <c r="B67" s="6" t="s">
        <v>14</v>
      </c>
      <c r="C67" s="6" t="s">
        <v>15</v>
      </c>
      <c r="D67" s="6" t="s">
        <v>16</v>
      </c>
      <c r="E67" s="6" t="s">
        <v>17</v>
      </c>
      <c r="F67" s="6" t="s">
        <v>18</v>
      </c>
      <c r="G67" s="6" t="s">
        <v>19</v>
      </c>
      <c r="H67" s="11">
        <v>46130</v>
      </c>
      <c r="I67" s="11">
        <v>46130</v>
      </c>
      <c r="J67" s="6" t="s">
        <v>20</v>
      </c>
      <c r="K67" s="6" t="s">
        <v>21</v>
      </c>
      <c r="L67" s="6" t="s">
        <v>33</v>
      </c>
      <c r="M67" s="6">
        <v>0</v>
      </c>
      <c r="N67">
        <f t="shared" ref="N67:N130" si="6">IF(J67="Relieved",1,0)</f>
        <v>1</v>
      </c>
      <c r="O67" t="str">
        <f t="shared" ref="O67:O130" si="7">TEXT(H67,"mm-yyyy")</f>
        <v>04-2026</v>
      </c>
      <c r="P67" t="str">
        <f t="shared" ref="P67:P130" si="8">IF(I67="","",TEXT(I67,"mm-yyyy"))</f>
        <v>04-2026</v>
      </c>
      <c r="Q67">
        <f t="shared" ref="Q67:Q130" si="9">IF(K67="Voluntary",1,0)</f>
        <v>1</v>
      </c>
      <c r="R67">
        <f t="shared" ref="R67:R130" si="10">IF(K67="Involuntary",1,0)</f>
        <v>0</v>
      </c>
      <c r="S67" t="str">
        <f t="shared" ref="S67:S130" si="11">IF(M67&lt;90,"0-90",IF(M67&lt;180,"90-180",IF(M67&lt;365,"180-365","above 1 year")))</f>
        <v>0-90</v>
      </c>
    </row>
    <row r="68" spans="1:19" x14ac:dyDescent="0.25">
      <c r="A68" s="6" t="s">
        <v>99</v>
      </c>
      <c r="B68" s="6" t="s">
        <v>14</v>
      </c>
      <c r="C68" s="6" t="s">
        <v>15</v>
      </c>
      <c r="D68" s="6" t="s">
        <v>16</v>
      </c>
      <c r="E68" s="6" t="s">
        <v>17</v>
      </c>
      <c r="F68" s="6" t="s">
        <v>18</v>
      </c>
      <c r="G68" s="6" t="s">
        <v>19</v>
      </c>
      <c r="H68" s="11">
        <v>46130</v>
      </c>
      <c r="I68" s="11">
        <v>46185</v>
      </c>
      <c r="J68" s="6" t="s">
        <v>20</v>
      </c>
      <c r="K68" s="6" t="s">
        <v>24</v>
      </c>
      <c r="L68" s="6" t="s">
        <v>25</v>
      </c>
      <c r="M68" s="6">
        <v>55</v>
      </c>
      <c r="N68">
        <f t="shared" si="6"/>
        <v>1</v>
      </c>
      <c r="O68" t="str">
        <f t="shared" si="7"/>
        <v>04-2026</v>
      </c>
      <c r="P68" t="str">
        <f t="shared" si="8"/>
        <v>06-2026</v>
      </c>
      <c r="Q68">
        <f t="shared" si="9"/>
        <v>0</v>
      </c>
      <c r="R68">
        <f t="shared" si="10"/>
        <v>1</v>
      </c>
      <c r="S68" t="str">
        <f t="shared" si="11"/>
        <v>0-90</v>
      </c>
    </row>
    <row r="69" spans="1:19" x14ac:dyDescent="0.25">
      <c r="A69" s="6" t="s">
        <v>100</v>
      </c>
      <c r="B69" s="6" t="s">
        <v>14</v>
      </c>
      <c r="C69" s="6" t="s">
        <v>15</v>
      </c>
      <c r="D69" s="6" t="s">
        <v>16</v>
      </c>
      <c r="E69" s="6" t="s">
        <v>17</v>
      </c>
      <c r="F69" s="6" t="s">
        <v>18</v>
      </c>
      <c r="G69" s="6" t="s">
        <v>19</v>
      </c>
      <c r="H69" s="11">
        <v>46130</v>
      </c>
      <c r="I69" s="11">
        <v>46170</v>
      </c>
      <c r="J69" s="6" t="s">
        <v>20</v>
      </c>
      <c r="K69" s="6" t="s">
        <v>24</v>
      </c>
      <c r="L69" s="6" t="s">
        <v>41</v>
      </c>
      <c r="M69" s="6">
        <v>40</v>
      </c>
      <c r="N69">
        <f t="shared" si="6"/>
        <v>1</v>
      </c>
      <c r="O69" t="str">
        <f t="shared" si="7"/>
        <v>04-2026</v>
      </c>
      <c r="P69" t="str">
        <f t="shared" si="8"/>
        <v>05-2026</v>
      </c>
      <c r="Q69">
        <f t="shared" si="9"/>
        <v>0</v>
      </c>
      <c r="R69">
        <f t="shared" si="10"/>
        <v>1</v>
      </c>
      <c r="S69" t="str">
        <f t="shared" si="11"/>
        <v>0-90</v>
      </c>
    </row>
    <row r="70" spans="1:19" x14ac:dyDescent="0.25">
      <c r="A70" s="6" t="s">
        <v>101</v>
      </c>
      <c r="B70" s="6" t="s">
        <v>14</v>
      </c>
      <c r="C70" s="6" t="s">
        <v>15</v>
      </c>
      <c r="D70" s="6" t="s">
        <v>16</v>
      </c>
      <c r="E70" s="6" t="s">
        <v>17</v>
      </c>
      <c r="F70" s="6" t="s">
        <v>18</v>
      </c>
      <c r="G70" s="6" t="s">
        <v>19</v>
      </c>
      <c r="H70" s="11">
        <v>46191</v>
      </c>
      <c r="I70" s="11">
        <v>46200</v>
      </c>
      <c r="J70" s="6" t="s">
        <v>20</v>
      </c>
      <c r="K70" s="6" t="s">
        <v>21</v>
      </c>
      <c r="L70" s="6" t="s">
        <v>50</v>
      </c>
      <c r="M70" s="6">
        <v>9</v>
      </c>
      <c r="N70">
        <f t="shared" si="6"/>
        <v>1</v>
      </c>
      <c r="O70" t="str">
        <f t="shared" si="7"/>
        <v>06-2026</v>
      </c>
      <c r="P70" t="str">
        <f t="shared" si="8"/>
        <v>06-2026</v>
      </c>
      <c r="Q70">
        <f t="shared" si="9"/>
        <v>1</v>
      </c>
      <c r="R70">
        <f t="shared" si="10"/>
        <v>0</v>
      </c>
      <c r="S70" t="str">
        <f t="shared" si="11"/>
        <v>0-90</v>
      </c>
    </row>
    <row r="71" spans="1:19" x14ac:dyDescent="0.25">
      <c r="A71" s="6" t="s">
        <v>102</v>
      </c>
      <c r="B71" s="6" t="s">
        <v>14</v>
      </c>
      <c r="C71" s="6" t="s">
        <v>15</v>
      </c>
      <c r="D71" s="6" t="s">
        <v>16</v>
      </c>
      <c r="E71" s="6" t="s">
        <v>17</v>
      </c>
      <c r="F71" s="6" t="s">
        <v>18</v>
      </c>
      <c r="G71" s="6" t="s">
        <v>19</v>
      </c>
      <c r="H71" s="11">
        <v>46131</v>
      </c>
      <c r="I71" s="11">
        <v>46168</v>
      </c>
      <c r="J71" s="6" t="s">
        <v>20</v>
      </c>
      <c r="K71" s="6" t="s">
        <v>24</v>
      </c>
      <c r="L71" s="6" t="s">
        <v>55</v>
      </c>
      <c r="M71" s="6">
        <v>37</v>
      </c>
      <c r="N71">
        <f t="shared" si="6"/>
        <v>1</v>
      </c>
      <c r="O71" t="str">
        <f t="shared" si="7"/>
        <v>04-2026</v>
      </c>
      <c r="P71" t="str">
        <f t="shared" si="8"/>
        <v>05-2026</v>
      </c>
      <c r="Q71">
        <f t="shared" si="9"/>
        <v>0</v>
      </c>
      <c r="R71">
        <f t="shared" si="10"/>
        <v>1</v>
      </c>
      <c r="S71" t="str">
        <f t="shared" si="11"/>
        <v>0-90</v>
      </c>
    </row>
    <row r="72" spans="1:19" x14ac:dyDescent="0.25">
      <c r="A72" s="6" t="s">
        <v>103</v>
      </c>
      <c r="B72" s="6" t="s">
        <v>14</v>
      </c>
      <c r="C72" s="6" t="s">
        <v>15</v>
      </c>
      <c r="D72" s="6" t="s">
        <v>16</v>
      </c>
      <c r="E72" s="6" t="s">
        <v>17</v>
      </c>
      <c r="F72" s="6" t="s">
        <v>18</v>
      </c>
      <c r="G72" s="6" t="s">
        <v>19</v>
      </c>
      <c r="H72" s="11">
        <v>46132</v>
      </c>
      <c r="I72" s="11"/>
      <c r="J72" s="6" t="s">
        <v>27</v>
      </c>
      <c r="K72" s="6"/>
      <c r="L72" s="6"/>
      <c r="M72" s="6">
        <v>71</v>
      </c>
      <c r="N72">
        <f t="shared" si="6"/>
        <v>0</v>
      </c>
      <c r="O72" t="str">
        <f t="shared" si="7"/>
        <v>04-2026</v>
      </c>
      <c r="P72" t="str">
        <f t="shared" si="8"/>
        <v/>
      </c>
      <c r="Q72">
        <f t="shared" si="9"/>
        <v>0</v>
      </c>
      <c r="R72">
        <f t="shared" si="10"/>
        <v>0</v>
      </c>
      <c r="S72" t="str">
        <f t="shared" si="11"/>
        <v>0-90</v>
      </c>
    </row>
    <row r="73" spans="1:19" x14ac:dyDescent="0.25">
      <c r="A73" s="6" t="s">
        <v>104</v>
      </c>
      <c r="B73" s="6" t="s">
        <v>14</v>
      </c>
      <c r="C73" s="6" t="s">
        <v>15</v>
      </c>
      <c r="D73" s="6" t="s">
        <v>16</v>
      </c>
      <c r="E73" s="6" t="s">
        <v>17</v>
      </c>
      <c r="F73" s="6" t="s">
        <v>18</v>
      </c>
      <c r="G73" s="6" t="s">
        <v>19</v>
      </c>
      <c r="H73" s="11">
        <v>46132</v>
      </c>
      <c r="I73" s="11"/>
      <c r="J73" s="6" t="s">
        <v>27</v>
      </c>
      <c r="K73" s="6"/>
      <c r="L73" s="6"/>
      <c r="M73" s="6">
        <v>71</v>
      </c>
      <c r="N73">
        <f t="shared" si="6"/>
        <v>0</v>
      </c>
      <c r="O73" t="str">
        <f t="shared" si="7"/>
        <v>04-2026</v>
      </c>
      <c r="P73" t="str">
        <f t="shared" si="8"/>
        <v/>
      </c>
      <c r="Q73">
        <f t="shared" si="9"/>
        <v>0</v>
      </c>
      <c r="R73">
        <f t="shared" si="10"/>
        <v>0</v>
      </c>
      <c r="S73" t="str">
        <f t="shared" si="11"/>
        <v>0-90</v>
      </c>
    </row>
    <row r="74" spans="1:19" x14ac:dyDescent="0.25">
      <c r="A74" s="6" t="s">
        <v>105</v>
      </c>
      <c r="B74" s="6" t="s">
        <v>14</v>
      </c>
      <c r="C74" s="6" t="s">
        <v>15</v>
      </c>
      <c r="D74" s="6" t="s">
        <v>16</v>
      </c>
      <c r="E74" s="6" t="s">
        <v>17</v>
      </c>
      <c r="F74" s="6" t="s">
        <v>18</v>
      </c>
      <c r="G74" s="6" t="s">
        <v>19</v>
      </c>
      <c r="H74" s="11">
        <v>46132</v>
      </c>
      <c r="I74" s="11">
        <v>46132</v>
      </c>
      <c r="J74" s="6" t="s">
        <v>20</v>
      </c>
      <c r="K74" s="6" t="s">
        <v>21</v>
      </c>
      <c r="L74" s="6" t="s">
        <v>37</v>
      </c>
      <c r="M74" s="6">
        <v>0</v>
      </c>
      <c r="N74">
        <f t="shared" si="6"/>
        <v>1</v>
      </c>
      <c r="O74" t="str">
        <f t="shared" si="7"/>
        <v>04-2026</v>
      </c>
      <c r="P74" t="str">
        <f t="shared" si="8"/>
        <v>04-2026</v>
      </c>
      <c r="Q74">
        <f t="shared" si="9"/>
        <v>1</v>
      </c>
      <c r="R74">
        <f t="shared" si="10"/>
        <v>0</v>
      </c>
      <c r="S74" t="str">
        <f t="shared" si="11"/>
        <v>0-90</v>
      </c>
    </row>
    <row r="75" spans="1:19" x14ac:dyDescent="0.25">
      <c r="A75" s="6" t="s">
        <v>106</v>
      </c>
      <c r="B75" s="6" t="s">
        <v>14</v>
      </c>
      <c r="C75" s="6" t="s">
        <v>15</v>
      </c>
      <c r="D75" s="6" t="s">
        <v>16</v>
      </c>
      <c r="E75" s="6" t="s">
        <v>17</v>
      </c>
      <c r="F75" s="6" t="s">
        <v>18</v>
      </c>
      <c r="G75" s="6" t="s">
        <v>19</v>
      </c>
      <c r="H75" s="11">
        <v>46132</v>
      </c>
      <c r="I75" s="11">
        <v>46155</v>
      </c>
      <c r="J75" s="6" t="s">
        <v>20</v>
      </c>
      <c r="K75" s="6" t="s">
        <v>24</v>
      </c>
      <c r="L75" s="6" t="s">
        <v>44</v>
      </c>
      <c r="M75" s="6">
        <v>23</v>
      </c>
      <c r="N75">
        <f t="shared" si="6"/>
        <v>1</v>
      </c>
      <c r="O75" t="str">
        <f t="shared" si="7"/>
        <v>04-2026</v>
      </c>
      <c r="P75" t="str">
        <f t="shared" si="8"/>
        <v>05-2026</v>
      </c>
      <c r="Q75">
        <f t="shared" si="9"/>
        <v>0</v>
      </c>
      <c r="R75">
        <f t="shared" si="10"/>
        <v>1</v>
      </c>
      <c r="S75" t="str">
        <f t="shared" si="11"/>
        <v>0-90</v>
      </c>
    </row>
    <row r="76" spans="1:19" x14ac:dyDescent="0.25">
      <c r="A76" s="6" t="s">
        <v>107</v>
      </c>
      <c r="B76" s="6" t="s">
        <v>14</v>
      </c>
      <c r="C76" s="6" t="s">
        <v>15</v>
      </c>
      <c r="D76" s="6" t="s">
        <v>16</v>
      </c>
      <c r="E76" s="6" t="s">
        <v>17</v>
      </c>
      <c r="F76" s="6" t="s">
        <v>18</v>
      </c>
      <c r="G76" s="6" t="s">
        <v>19</v>
      </c>
      <c r="H76" s="11">
        <v>45768</v>
      </c>
      <c r="I76" s="11">
        <v>46145</v>
      </c>
      <c r="J76" s="6" t="s">
        <v>20</v>
      </c>
      <c r="K76" s="6" t="s">
        <v>24</v>
      </c>
      <c r="L76" s="6" t="s">
        <v>41</v>
      </c>
      <c r="M76" s="6">
        <v>377</v>
      </c>
      <c r="N76">
        <f t="shared" si="6"/>
        <v>1</v>
      </c>
      <c r="O76" t="str">
        <f t="shared" si="7"/>
        <v>04-2025</v>
      </c>
      <c r="P76" t="str">
        <f t="shared" si="8"/>
        <v>05-2026</v>
      </c>
      <c r="Q76">
        <f t="shared" si="9"/>
        <v>0</v>
      </c>
      <c r="R76">
        <f t="shared" si="10"/>
        <v>1</v>
      </c>
      <c r="S76" t="str">
        <f t="shared" si="11"/>
        <v>above 1 year</v>
      </c>
    </row>
    <row r="77" spans="1:19" x14ac:dyDescent="0.25">
      <c r="A77" s="6" t="s">
        <v>108</v>
      </c>
      <c r="B77" s="6" t="s">
        <v>14</v>
      </c>
      <c r="C77" s="6" t="s">
        <v>15</v>
      </c>
      <c r="D77" s="6" t="s">
        <v>16</v>
      </c>
      <c r="E77" s="6" t="s">
        <v>17</v>
      </c>
      <c r="F77" s="6" t="s">
        <v>18</v>
      </c>
      <c r="G77" s="6" t="s">
        <v>19</v>
      </c>
      <c r="H77" s="11">
        <v>46074</v>
      </c>
      <c r="I77" s="11">
        <v>46128</v>
      </c>
      <c r="J77" s="6" t="s">
        <v>20</v>
      </c>
      <c r="K77" s="6" t="s">
        <v>21</v>
      </c>
      <c r="L77" s="6" t="s">
        <v>30</v>
      </c>
      <c r="M77" s="6">
        <v>54</v>
      </c>
      <c r="N77">
        <f t="shared" si="6"/>
        <v>1</v>
      </c>
      <c r="O77" t="str">
        <f t="shared" si="7"/>
        <v>02-2026</v>
      </c>
      <c r="P77" t="str">
        <f t="shared" si="8"/>
        <v>04-2026</v>
      </c>
      <c r="Q77">
        <f t="shared" si="9"/>
        <v>1</v>
      </c>
      <c r="R77">
        <f t="shared" si="10"/>
        <v>0</v>
      </c>
      <c r="S77" t="str">
        <f t="shared" si="11"/>
        <v>0-90</v>
      </c>
    </row>
    <row r="78" spans="1:19" x14ac:dyDescent="0.25">
      <c r="A78" s="6" t="s">
        <v>109</v>
      </c>
      <c r="B78" s="6" t="s">
        <v>14</v>
      </c>
      <c r="C78" s="6" t="s">
        <v>15</v>
      </c>
      <c r="D78" s="6" t="s">
        <v>16</v>
      </c>
      <c r="E78" s="6" t="s">
        <v>17</v>
      </c>
      <c r="F78" s="6" t="s">
        <v>18</v>
      </c>
      <c r="G78" s="6" t="s">
        <v>19</v>
      </c>
      <c r="H78" s="11">
        <v>45859</v>
      </c>
      <c r="I78" s="11">
        <v>46130</v>
      </c>
      <c r="J78" s="6" t="s">
        <v>20</v>
      </c>
      <c r="K78" s="6" t="s">
        <v>24</v>
      </c>
      <c r="L78" s="6" t="s">
        <v>55</v>
      </c>
      <c r="M78" s="6">
        <v>271</v>
      </c>
      <c r="N78">
        <f t="shared" si="6"/>
        <v>1</v>
      </c>
      <c r="O78" t="str">
        <f t="shared" si="7"/>
        <v>07-2025</v>
      </c>
      <c r="P78" t="str">
        <f t="shared" si="8"/>
        <v>04-2026</v>
      </c>
      <c r="Q78">
        <f t="shared" si="9"/>
        <v>0</v>
      </c>
      <c r="R78">
        <f t="shared" si="10"/>
        <v>1</v>
      </c>
      <c r="S78" t="str">
        <f t="shared" si="11"/>
        <v>180-365</v>
      </c>
    </row>
    <row r="79" spans="1:19" x14ac:dyDescent="0.25">
      <c r="A79" s="6" t="s">
        <v>110</v>
      </c>
      <c r="B79" s="6" t="s">
        <v>14</v>
      </c>
      <c r="C79" s="6" t="s">
        <v>15</v>
      </c>
      <c r="D79" s="6" t="s">
        <v>16</v>
      </c>
      <c r="E79" s="6" t="s">
        <v>17</v>
      </c>
      <c r="F79" s="6" t="s">
        <v>18</v>
      </c>
      <c r="G79" s="6" t="s">
        <v>19</v>
      </c>
      <c r="H79" s="11">
        <v>45921</v>
      </c>
      <c r="I79" s="11">
        <v>46133</v>
      </c>
      <c r="J79" s="6" t="s">
        <v>20</v>
      </c>
      <c r="K79" s="6" t="s">
        <v>24</v>
      </c>
      <c r="L79" s="6" t="s">
        <v>41</v>
      </c>
      <c r="M79" s="6">
        <v>212</v>
      </c>
      <c r="N79">
        <f t="shared" si="6"/>
        <v>1</v>
      </c>
      <c r="O79" t="str">
        <f t="shared" si="7"/>
        <v>09-2025</v>
      </c>
      <c r="P79" t="str">
        <f t="shared" si="8"/>
        <v>04-2026</v>
      </c>
      <c r="Q79">
        <f t="shared" si="9"/>
        <v>0</v>
      </c>
      <c r="R79">
        <f t="shared" si="10"/>
        <v>1</v>
      </c>
      <c r="S79" t="str">
        <f t="shared" si="11"/>
        <v>180-365</v>
      </c>
    </row>
    <row r="80" spans="1:19" x14ac:dyDescent="0.25">
      <c r="A80" s="6" t="s">
        <v>111</v>
      </c>
      <c r="B80" s="6" t="s">
        <v>14</v>
      </c>
      <c r="C80" s="6" t="s">
        <v>15</v>
      </c>
      <c r="D80" s="6" t="s">
        <v>16</v>
      </c>
      <c r="E80" s="6" t="s">
        <v>17</v>
      </c>
      <c r="F80" s="6" t="s">
        <v>18</v>
      </c>
      <c r="G80" s="6" t="s">
        <v>19</v>
      </c>
      <c r="H80" s="11">
        <v>46134</v>
      </c>
      <c r="I80" s="11">
        <v>46134</v>
      </c>
      <c r="J80" s="6" t="s">
        <v>20</v>
      </c>
      <c r="K80" s="6" t="s">
        <v>21</v>
      </c>
      <c r="L80" s="6" t="s">
        <v>50</v>
      </c>
      <c r="M80" s="6">
        <v>0</v>
      </c>
      <c r="N80">
        <f t="shared" si="6"/>
        <v>1</v>
      </c>
      <c r="O80" t="str">
        <f t="shared" si="7"/>
        <v>04-2026</v>
      </c>
      <c r="P80" t="str">
        <f t="shared" si="8"/>
        <v>04-2026</v>
      </c>
      <c r="Q80">
        <f t="shared" si="9"/>
        <v>1</v>
      </c>
      <c r="R80">
        <f t="shared" si="10"/>
        <v>0</v>
      </c>
      <c r="S80" t="str">
        <f t="shared" si="11"/>
        <v>0-90</v>
      </c>
    </row>
    <row r="81" spans="1:19" x14ac:dyDescent="0.25">
      <c r="A81" s="6" t="s">
        <v>112</v>
      </c>
      <c r="B81" s="6" t="s">
        <v>14</v>
      </c>
      <c r="C81" s="6" t="s">
        <v>15</v>
      </c>
      <c r="D81" s="6" t="s">
        <v>16</v>
      </c>
      <c r="E81" s="6" t="s">
        <v>17</v>
      </c>
      <c r="F81" s="6" t="s">
        <v>18</v>
      </c>
      <c r="G81" s="6" t="s">
        <v>19</v>
      </c>
      <c r="H81" s="11">
        <v>46135</v>
      </c>
      <c r="I81" s="11">
        <v>46139</v>
      </c>
      <c r="J81" s="6" t="s">
        <v>20</v>
      </c>
      <c r="K81" s="6" t="s">
        <v>21</v>
      </c>
      <c r="L81" s="6" t="s">
        <v>33</v>
      </c>
      <c r="M81" s="6">
        <v>4</v>
      </c>
      <c r="N81">
        <f t="shared" si="6"/>
        <v>1</v>
      </c>
      <c r="O81" t="str">
        <f t="shared" si="7"/>
        <v>04-2026</v>
      </c>
      <c r="P81" t="str">
        <f t="shared" si="8"/>
        <v>04-2026</v>
      </c>
      <c r="Q81">
        <f t="shared" si="9"/>
        <v>1</v>
      </c>
      <c r="R81">
        <f t="shared" si="10"/>
        <v>0</v>
      </c>
      <c r="S81" t="str">
        <f t="shared" si="11"/>
        <v>0-90</v>
      </c>
    </row>
    <row r="82" spans="1:19" x14ac:dyDescent="0.25">
      <c r="A82" s="6" t="s">
        <v>113</v>
      </c>
      <c r="B82" s="6" t="s">
        <v>14</v>
      </c>
      <c r="C82" s="6" t="s">
        <v>15</v>
      </c>
      <c r="D82" s="6" t="s">
        <v>16</v>
      </c>
      <c r="E82" s="6" t="s">
        <v>17</v>
      </c>
      <c r="F82" s="6" t="s">
        <v>18</v>
      </c>
      <c r="G82" s="6" t="s">
        <v>19</v>
      </c>
      <c r="H82" s="11">
        <v>45892</v>
      </c>
      <c r="I82" s="11">
        <v>46142</v>
      </c>
      <c r="J82" s="6" t="s">
        <v>20</v>
      </c>
      <c r="K82" s="6" t="s">
        <v>24</v>
      </c>
      <c r="L82" s="6" t="s">
        <v>55</v>
      </c>
      <c r="M82" s="6">
        <v>250</v>
      </c>
      <c r="N82">
        <f t="shared" si="6"/>
        <v>1</v>
      </c>
      <c r="O82" t="str">
        <f t="shared" si="7"/>
        <v>08-2025</v>
      </c>
      <c r="P82" t="str">
        <f t="shared" si="8"/>
        <v>04-2026</v>
      </c>
      <c r="Q82">
        <f t="shared" si="9"/>
        <v>0</v>
      </c>
      <c r="R82">
        <f t="shared" si="10"/>
        <v>1</v>
      </c>
      <c r="S82" t="str">
        <f t="shared" si="11"/>
        <v>180-365</v>
      </c>
    </row>
    <row r="83" spans="1:19" x14ac:dyDescent="0.25">
      <c r="A83" s="6" t="s">
        <v>114</v>
      </c>
      <c r="B83" s="6" t="s">
        <v>14</v>
      </c>
      <c r="C83" s="6" t="s">
        <v>15</v>
      </c>
      <c r="D83" s="6" t="s">
        <v>16</v>
      </c>
      <c r="E83" s="6" t="s">
        <v>17</v>
      </c>
      <c r="F83" s="6" t="s">
        <v>18</v>
      </c>
      <c r="G83" s="6" t="s">
        <v>19</v>
      </c>
      <c r="H83" s="11">
        <v>46196</v>
      </c>
      <c r="I83" s="11">
        <v>46196</v>
      </c>
      <c r="J83" s="6" t="s">
        <v>20</v>
      </c>
      <c r="K83" s="6" t="s">
        <v>21</v>
      </c>
      <c r="L83" s="6" t="s">
        <v>61</v>
      </c>
      <c r="M83" s="6">
        <v>0</v>
      </c>
      <c r="N83">
        <f t="shared" si="6"/>
        <v>1</v>
      </c>
      <c r="O83" t="str">
        <f t="shared" si="7"/>
        <v>06-2026</v>
      </c>
      <c r="P83" t="str">
        <f t="shared" si="8"/>
        <v>06-2026</v>
      </c>
      <c r="Q83">
        <f t="shared" si="9"/>
        <v>1</v>
      </c>
      <c r="R83">
        <f t="shared" si="10"/>
        <v>0</v>
      </c>
      <c r="S83" t="str">
        <f t="shared" si="11"/>
        <v>0-90</v>
      </c>
    </row>
    <row r="84" spans="1:19" x14ac:dyDescent="0.25">
      <c r="A84" s="6" t="s">
        <v>115</v>
      </c>
      <c r="B84" s="6" t="s">
        <v>14</v>
      </c>
      <c r="C84" s="6" t="s">
        <v>15</v>
      </c>
      <c r="D84" s="6" t="s">
        <v>16</v>
      </c>
      <c r="E84" s="6" t="s">
        <v>17</v>
      </c>
      <c r="F84" s="6" t="s">
        <v>18</v>
      </c>
      <c r="G84" s="6" t="s">
        <v>19</v>
      </c>
      <c r="H84" s="11">
        <v>45739</v>
      </c>
      <c r="I84" s="11">
        <v>46142</v>
      </c>
      <c r="J84" s="6" t="s">
        <v>20</v>
      </c>
      <c r="K84" s="6" t="s">
        <v>24</v>
      </c>
      <c r="L84" s="6" t="s">
        <v>25</v>
      </c>
      <c r="M84" s="6">
        <v>403</v>
      </c>
      <c r="N84">
        <f t="shared" si="6"/>
        <v>1</v>
      </c>
      <c r="O84" t="str">
        <f t="shared" si="7"/>
        <v>03-2025</v>
      </c>
      <c r="P84" t="str">
        <f t="shared" si="8"/>
        <v>04-2026</v>
      </c>
      <c r="Q84">
        <f t="shared" si="9"/>
        <v>0</v>
      </c>
      <c r="R84">
        <f t="shared" si="10"/>
        <v>1</v>
      </c>
      <c r="S84" t="str">
        <f t="shared" si="11"/>
        <v>above 1 year</v>
      </c>
    </row>
    <row r="85" spans="1:19" x14ac:dyDescent="0.25">
      <c r="A85" s="6" t="s">
        <v>116</v>
      </c>
      <c r="B85" s="6" t="s">
        <v>14</v>
      </c>
      <c r="C85" s="6" t="s">
        <v>15</v>
      </c>
      <c r="D85" s="6" t="s">
        <v>16</v>
      </c>
      <c r="E85" s="6" t="s">
        <v>17</v>
      </c>
      <c r="F85" s="6" t="s">
        <v>18</v>
      </c>
      <c r="G85" s="6" t="s">
        <v>19</v>
      </c>
      <c r="H85" s="11">
        <v>45953</v>
      </c>
      <c r="I85" s="11">
        <v>46159</v>
      </c>
      <c r="J85" s="6" t="s">
        <v>20</v>
      </c>
      <c r="K85" s="6" t="s">
        <v>24</v>
      </c>
      <c r="L85" s="6" t="s">
        <v>44</v>
      </c>
      <c r="M85" s="6">
        <v>206</v>
      </c>
      <c r="N85">
        <f t="shared" si="6"/>
        <v>1</v>
      </c>
      <c r="O85" t="str">
        <f t="shared" si="7"/>
        <v>10-2025</v>
      </c>
      <c r="P85" t="str">
        <f t="shared" si="8"/>
        <v>05-2026</v>
      </c>
      <c r="Q85">
        <f t="shared" si="9"/>
        <v>0</v>
      </c>
      <c r="R85">
        <f t="shared" si="10"/>
        <v>1</v>
      </c>
      <c r="S85" t="str">
        <f t="shared" si="11"/>
        <v>180-365</v>
      </c>
    </row>
    <row r="86" spans="1:19" x14ac:dyDescent="0.25">
      <c r="A86" s="6" t="s">
        <v>117</v>
      </c>
      <c r="B86" s="6" t="s">
        <v>14</v>
      </c>
      <c r="C86" s="6" t="s">
        <v>15</v>
      </c>
      <c r="D86" s="6" t="s">
        <v>16</v>
      </c>
      <c r="E86" s="6" t="s">
        <v>17</v>
      </c>
      <c r="F86" s="6" t="s">
        <v>18</v>
      </c>
      <c r="G86" s="6" t="s">
        <v>19</v>
      </c>
      <c r="H86" s="11">
        <v>46136</v>
      </c>
      <c r="I86" s="11"/>
      <c r="J86" s="6" t="s">
        <v>27</v>
      </c>
      <c r="K86" s="6"/>
      <c r="L86" s="6"/>
      <c r="M86" s="6">
        <v>67</v>
      </c>
      <c r="N86">
        <f t="shared" si="6"/>
        <v>0</v>
      </c>
      <c r="O86" t="str">
        <f t="shared" si="7"/>
        <v>04-2026</v>
      </c>
      <c r="P86" t="str">
        <f t="shared" si="8"/>
        <v/>
      </c>
      <c r="Q86">
        <f t="shared" si="9"/>
        <v>0</v>
      </c>
      <c r="R86">
        <f t="shared" si="10"/>
        <v>0</v>
      </c>
      <c r="S86" t="str">
        <f t="shared" si="11"/>
        <v>0-90</v>
      </c>
    </row>
    <row r="87" spans="1:19" x14ac:dyDescent="0.25">
      <c r="A87" s="6" t="s">
        <v>118</v>
      </c>
      <c r="B87" s="6" t="s">
        <v>14</v>
      </c>
      <c r="C87" s="6" t="s">
        <v>15</v>
      </c>
      <c r="D87" s="6" t="s">
        <v>16</v>
      </c>
      <c r="E87" s="6" t="s">
        <v>17</v>
      </c>
      <c r="F87" s="6" t="s">
        <v>18</v>
      </c>
      <c r="G87" s="6" t="s">
        <v>19</v>
      </c>
      <c r="H87" s="11">
        <v>46137</v>
      </c>
      <c r="I87" s="11">
        <v>46150</v>
      </c>
      <c r="J87" s="6" t="s">
        <v>20</v>
      </c>
      <c r="K87" s="6" t="s">
        <v>21</v>
      </c>
      <c r="L87" s="6" t="s">
        <v>37</v>
      </c>
      <c r="M87" s="6">
        <v>13</v>
      </c>
      <c r="N87">
        <f t="shared" si="6"/>
        <v>1</v>
      </c>
      <c r="O87" t="str">
        <f t="shared" si="7"/>
        <v>04-2026</v>
      </c>
      <c r="P87" t="str">
        <f t="shared" si="8"/>
        <v>05-2026</v>
      </c>
      <c r="Q87">
        <f t="shared" si="9"/>
        <v>1</v>
      </c>
      <c r="R87">
        <f t="shared" si="10"/>
        <v>0</v>
      </c>
      <c r="S87" t="str">
        <f t="shared" si="11"/>
        <v>0-90</v>
      </c>
    </row>
    <row r="88" spans="1:19" x14ac:dyDescent="0.25">
      <c r="A88" s="6" t="s">
        <v>119</v>
      </c>
      <c r="B88" s="6" t="s">
        <v>14</v>
      </c>
      <c r="C88" s="6" t="s">
        <v>15</v>
      </c>
      <c r="D88" s="6" t="s">
        <v>16</v>
      </c>
      <c r="E88" s="6" t="s">
        <v>17</v>
      </c>
      <c r="F88" s="6" t="s">
        <v>18</v>
      </c>
      <c r="G88" s="6" t="s">
        <v>19</v>
      </c>
      <c r="H88" s="11">
        <v>46137</v>
      </c>
      <c r="I88" s="11">
        <v>46145</v>
      </c>
      <c r="J88" s="6" t="s">
        <v>20</v>
      </c>
      <c r="K88" s="6" t="s">
        <v>24</v>
      </c>
      <c r="L88" s="6" t="s">
        <v>55</v>
      </c>
      <c r="M88" s="6">
        <v>8</v>
      </c>
      <c r="N88">
        <f t="shared" si="6"/>
        <v>1</v>
      </c>
      <c r="O88" t="str">
        <f t="shared" si="7"/>
        <v>04-2026</v>
      </c>
      <c r="P88" t="str">
        <f t="shared" si="8"/>
        <v>05-2026</v>
      </c>
      <c r="Q88">
        <f t="shared" si="9"/>
        <v>0</v>
      </c>
      <c r="R88">
        <f t="shared" si="10"/>
        <v>1</v>
      </c>
      <c r="S88" t="str">
        <f t="shared" si="11"/>
        <v>0-90</v>
      </c>
    </row>
    <row r="89" spans="1:19" x14ac:dyDescent="0.25">
      <c r="A89" s="6" t="s">
        <v>120</v>
      </c>
      <c r="B89" s="6" t="s">
        <v>14</v>
      </c>
      <c r="C89" s="6" t="s">
        <v>15</v>
      </c>
      <c r="D89" s="6" t="s">
        <v>16</v>
      </c>
      <c r="E89" s="6" t="s">
        <v>17</v>
      </c>
      <c r="F89" s="6" t="s">
        <v>18</v>
      </c>
      <c r="G89" s="6" t="s">
        <v>19</v>
      </c>
      <c r="H89" s="11">
        <v>46137</v>
      </c>
      <c r="I89" s="11">
        <v>46137</v>
      </c>
      <c r="J89" s="6" t="s">
        <v>20</v>
      </c>
      <c r="K89" s="6" t="s">
        <v>21</v>
      </c>
      <c r="L89" s="6" t="s">
        <v>61</v>
      </c>
      <c r="M89" s="6">
        <v>0</v>
      </c>
      <c r="N89">
        <f t="shared" si="6"/>
        <v>1</v>
      </c>
      <c r="O89" t="str">
        <f t="shared" si="7"/>
        <v>04-2026</v>
      </c>
      <c r="P89" t="str">
        <f t="shared" si="8"/>
        <v>04-2026</v>
      </c>
      <c r="Q89">
        <f t="shared" si="9"/>
        <v>1</v>
      </c>
      <c r="R89">
        <f t="shared" si="10"/>
        <v>0</v>
      </c>
      <c r="S89" t="str">
        <f t="shared" si="11"/>
        <v>0-90</v>
      </c>
    </row>
    <row r="90" spans="1:19" x14ac:dyDescent="0.25">
      <c r="A90" s="6" t="s">
        <v>121</v>
      </c>
      <c r="B90" s="6" t="s">
        <v>14</v>
      </c>
      <c r="C90" s="6" t="s">
        <v>15</v>
      </c>
      <c r="D90" s="6" t="s">
        <v>16</v>
      </c>
      <c r="E90" s="6" t="s">
        <v>17</v>
      </c>
      <c r="F90" s="6" t="s">
        <v>18</v>
      </c>
      <c r="G90" s="6" t="s">
        <v>19</v>
      </c>
      <c r="H90" s="11">
        <v>45682</v>
      </c>
      <c r="I90" s="11">
        <v>46141</v>
      </c>
      <c r="J90" s="6" t="s">
        <v>20</v>
      </c>
      <c r="K90" s="6" t="s">
        <v>24</v>
      </c>
      <c r="L90" s="6" t="s">
        <v>55</v>
      </c>
      <c r="M90" s="6">
        <v>459</v>
      </c>
      <c r="N90">
        <f t="shared" si="6"/>
        <v>1</v>
      </c>
      <c r="O90" t="str">
        <f t="shared" si="7"/>
        <v>01-2025</v>
      </c>
      <c r="P90" t="str">
        <f t="shared" si="8"/>
        <v>04-2026</v>
      </c>
      <c r="Q90">
        <f t="shared" si="9"/>
        <v>0</v>
      </c>
      <c r="R90">
        <f t="shared" si="10"/>
        <v>1</v>
      </c>
      <c r="S90" t="str">
        <f t="shared" si="11"/>
        <v>above 1 year</v>
      </c>
    </row>
    <row r="91" spans="1:19" x14ac:dyDescent="0.25">
      <c r="A91" s="6" t="s">
        <v>122</v>
      </c>
      <c r="B91" s="6" t="s">
        <v>14</v>
      </c>
      <c r="C91" s="6" t="s">
        <v>15</v>
      </c>
      <c r="D91" s="6" t="s">
        <v>16</v>
      </c>
      <c r="E91" s="6" t="s">
        <v>17</v>
      </c>
      <c r="F91" s="6" t="s">
        <v>18</v>
      </c>
      <c r="G91" s="6" t="s">
        <v>19</v>
      </c>
      <c r="H91" s="11">
        <v>45802</v>
      </c>
      <c r="I91" s="11">
        <v>46141</v>
      </c>
      <c r="J91" s="6" t="s">
        <v>20</v>
      </c>
      <c r="K91" s="6" t="s">
        <v>24</v>
      </c>
      <c r="L91" s="6" t="s">
        <v>25</v>
      </c>
      <c r="M91" s="6">
        <v>339</v>
      </c>
      <c r="N91">
        <f t="shared" si="6"/>
        <v>1</v>
      </c>
      <c r="O91" t="str">
        <f t="shared" si="7"/>
        <v>05-2025</v>
      </c>
      <c r="P91" t="str">
        <f t="shared" si="8"/>
        <v>04-2026</v>
      </c>
      <c r="Q91">
        <f t="shared" si="9"/>
        <v>0</v>
      </c>
      <c r="R91">
        <f t="shared" si="10"/>
        <v>1</v>
      </c>
      <c r="S91" t="str">
        <f t="shared" si="11"/>
        <v>180-365</v>
      </c>
    </row>
    <row r="92" spans="1:19" x14ac:dyDescent="0.25">
      <c r="A92" s="6" t="s">
        <v>123</v>
      </c>
      <c r="B92" s="6" t="s">
        <v>14</v>
      </c>
      <c r="C92" s="6" t="s">
        <v>15</v>
      </c>
      <c r="D92" s="6" t="s">
        <v>16</v>
      </c>
      <c r="E92" s="6" t="s">
        <v>17</v>
      </c>
      <c r="F92" s="6" t="s">
        <v>18</v>
      </c>
      <c r="G92" s="6" t="s">
        <v>19</v>
      </c>
      <c r="H92" s="11">
        <v>46138</v>
      </c>
      <c r="I92" s="11">
        <v>46158</v>
      </c>
      <c r="J92" s="6" t="s">
        <v>20</v>
      </c>
      <c r="K92" s="6" t="s">
        <v>21</v>
      </c>
      <c r="L92" s="6" t="s">
        <v>37</v>
      </c>
      <c r="M92" s="6">
        <v>20</v>
      </c>
      <c r="N92">
        <f t="shared" si="6"/>
        <v>1</v>
      </c>
      <c r="O92" t="str">
        <f t="shared" si="7"/>
        <v>04-2026</v>
      </c>
      <c r="P92" t="str">
        <f t="shared" si="8"/>
        <v>05-2026</v>
      </c>
      <c r="Q92">
        <f t="shared" si="9"/>
        <v>1</v>
      </c>
      <c r="R92">
        <f t="shared" si="10"/>
        <v>0</v>
      </c>
      <c r="S92" t="str">
        <f t="shared" si="11"/>
        <v>0-90</v>
      </c>
    </row>
    <row r="93" spans="1:19" x14ac:dyDescent="0.25">
      <c r="A93" s="6" t="s">
        <v>124</v>
      </c>
      <c r="B93" s="6" t="s">
        <v>14</v>
      </c>
      <c r="C93" s="6" t="s">
        <v>15</v>
      </c>
      <c r="D93" s="6" t="s">
        <v>16</v>
      </c>
      <c r="E93" s="6" t="s">
        <v>17</v>
      </c>
      <c r="F93" s="6" t="s">
        <v>18</v>
      </c>
      <c r="G93" s="6" t="s">
        <v>19</v>
      </c>
      <c r="H93" s="11">
        <v>46138</v>
      </c>
      <c r="I93" s="11">
        <v>46193</v>
      </c>
      <c r="J93" s="6" t="s">
        <v>20</v>
      </c>
      <c r="K93" s="6" t="s">
        <v>24</v>
      </c>
      <c r="L93" s="6" t="s">
        <v>55</v>
      </c>
      <c r="M93" s="6">
        <v>55</v>
      </c>
      <c r="N93">
        <f t="shared" si="6"/>
        <v>1</v>
      </c>
      <c r="O93" t="str">
        <f t="shared" si="7"/>
        <v>04-2026</v>
      </c>
      <c r="P93" t="str">
        <f t="shared" si="8"/>
        <v>06-2026</v>
      </c>
      <c r="Q93">
        <f t="shared" si="9"/>
        <v>0</v>
      </c>
      <c r="R93">
        <f t="shared" si="10"/>
        <v>1</v>
      </c>
      <c r="S93" t="str">
        <f t="shared" si="11"/>
        <v>0-90</v>
      </c>
    </row>
    <row r="94" spans="1:19" x14ac:dyDescent="0.25">
      <c r="A94" s="6" t="s">
        <v>125</v>
      </c>
      <c r="B94" s="6" t="s">
        <v>14</v>
      </c>
      <c r="C94" s="6" t="s">
        <v>15</v>
      </c>
      <c r="D94" s="6" t="s">
        <v>16</v>
      </c>
      <c r="E94" s="6" t="s">
        <v>17</v>
      </c>
      <c r="F94" s="6" t="s">
        <v>18</v>
      </c>
      <c r="G94" s="6" t="s">
        <v>19</v>
      </c>
      <c r="H94" s="11">
        <v>45683</v>
      </c>
      <c r="I94" s="11">
        <v>46123</v>
      </c>
      <c r="J94" s="6" t="s">
        <v>20</v>
      </c>
      <c r="K94" s="6" t="s">
        <v>21</v>
      </c>
      <c r="L94" s="6" t="s">
        <v>22</v>
      </c>
      <c r="M94" s="6">
        <v>440</v>
      </c>
      <c r="N94">
        <f t="shared" si="6"/>
        <v>1</v>
      </c>
      <c r="O94" t="str">
        <f t="shared" si="7"/>
        <v>01-2025</v>
      </c>
      <c r="P94" t="str">
        <f t="shared" si="8"/>
        <v>04-2026</v>
      </c>
      <c r="Q94">
        <f t="shared" si="9"/>
        <v>1</v>
      </c>
      <c r="R94">
        <f t="shared" si="10"/>
        <v>0</v>
      </c>
      <c r="S94" t="str">
        <f t="shared" si="11"/>
        <v>above 1 year</v>
      </c>
    </row>
    <row r="95" spans="1:19" x14ac:dyDescent="0.25">
      <c r="A95" s="6" t="s">
        <v>126</v>
      </c>
      <c r="B95" s="6" t="s">
        <v>14</v>
      </c>
      <c r="C95" s="6" t="s">
        <v>15</v>
      </c>
      <c r="D95" s="6" t="s">
        <v>16</v>
      </c>
      <c r="E95" s="6" t="s">
        <v>17</v>
      </c>
      <c r="F95" s="6" t="s">
        <v>18</v>
      </c>
      <c r="G95" s="6" t="s">
        <v>19</v>
      </c>
      <c r="H95" s="11">
        <v>46048</v>
      </c>
      <c r="I95" s="11">
        <v>46161</v>
      </c>
      <c r="J95" s="6" t="s">
        <v>20</v>
      </c>
      <c r="K95" s="6" t="s">
        <v>24</v>
      </c>
      <c r="L95" s="6" t="s">
        <v>55</v>
      </c>
      <c r="M95" s="6">
        <v>113</v>
      </c>
      <c r="N95">
        <f t="shared" si="6"/>
        <v>1</v>
      </c>
      <c r="O95" t="str">
        <f t="shared" si="7"/>
        <v>01-2026</v>
      </c>
      <c r="P95" t="str">
        <f t="shared" si="8"/>
        <v>05-2026</v>
      </c>
      <c r="Q95">
        <f t="shared" si="9"/>
        <v>0</v>
      </c>
      <c r="R95">
        <f t="shared" si="10"/>
        <v>1</v>
      </c>
      <c r="S95" t="str">
        <f t="shared" si="11"/>
        <v>90-180</v>
      </c>
    </row>
    <row r="96" spans="1:19" x14ac:dyDescent="0.25">
      <c r="A96" s="6" t="s">
        <v>127</v>
      </c>
      <c r="B96" s="6" t="s">
        <v>14</v>
      </c>
      <c r="C96" s="6" t="s">
        <v>15</v>
      </c>
      <c r="D96" s="6" t="s">
        <v>16</v>
      </c>
      <c r="E96" s="6" t="s">
        <v>17</v>
      </c>
      <c r="F96" s="6" t="s">
        <v>18</v>
      </c>
      <c r="G96" s="6" t="s">
        <v>19</v>
      </c>
      <c r="H96" s="11">
        <v>45956</v>
      </c>
      <c r="I96" s="11">
        <v>46138</v>
      </c>
      <c r="J96" s="6" t="s">
        <v>20</v>
      </c>
      <c r="K96" s="6" t="s">
        <v>24</v>
      </c>
      <c r="L96" s="6" t="s">
        <v>41</v>
      </c>
      <c r="M96" s="6">
        <v>182</v>
      </c>
      <c r="N96">
        <f t="shared" si="6"/>
        <v>1</v>
      </c>
      <c r="O96" t="str">
        <f t="shared" si="7"/>
        <v>10-2025</v>
      </c>
      <c r="P96" t="str">
        <f t="shared" si="8"/>
        <v>04-2026</v>
      </c>
      <c r="Q96">
        <f t="shared" si="9"/>
        <v>0</v>
      </c>
      <c r="R96">
        <f t="shared" si="10"/>
        <v>1</v>
      </c>
      <c r="S96" t="str">
        <f t="shared" si="11"/>
        <v>180-365</v>
      </c>
    </row>
    <row r="97" spans="1:19" x14ac:dyDescent="0.25">
      <c r="A97" s="6" t="s">
        <v>128</v>
      </c>
      <c r="B97" s="6" t="s">
        <v>14</v>
      </c>
      <c r="C97" s="6" t="s">
        <v>15</v>
      </c>
      <c r="D97" s="6" t="s">
        <v>16</v>
      </c>
      <c r="E97" s="6" t="s">
        <v>17</v>
      </c>
      <c r="F97" s="6" t="s">
        <v>18</v>
      </c>
      <c r="G97" s="6" t="s">
        <v>19</v>
      </c>
      <c r="H97" s="11">
        <v>46139</v>
      </c>
      <c r="I97" s="11">
        <v>46157</v>
      </c>
      <c r="J97" s="6" t="s">
        <v>20</v>
      </c>
      <c r="K97" s="6" t="s">
        <v>24</v>
      </c>
      <c r="L97" s="6" t="s">
        <v>55</v>
      </c>
      <c r="M97" s="6">
        <v>18</v>
      </c>
      <c r="N97">
        <f t="shared" si="6"/>
        <v>1</v>
      </c>
      <c r="O97" t="str">
        <f t="shared" si="7"/>
        <v>04-2026</v>
      </c>
      <c r="P97" t="str">
        <f t="shared" si="8"/>
        <v>05-2026</v>
      </c>
      <c r="Q97">
        <f t="shared" si="9"/>
        <v>0</v>
      </c>
      <c r="R97">
        <f t="shared" si="10"/>
        <v>1</v>
      </c>
      <c r="S97" t="str">
        <f t="shared" si="11"/>
        <v>0-90</v>
      </c>
    </row>
    <row r="98" spans="1:19" x14ac:dyDescent="0.25">
      <c r="A98" s="6" t="s">
        <v>129</v>
      </c>
      <c r="B98" s="6" t="s">
        <v>14</v>
      </c>
      <c r="C98" s="6" t="s">
        <v>15</v>
      </c>
      <c r="D98" s="6" t="s">
        <v>16</v>
      </c>
      <c r="E98" s="6" t="s">
        <v>17</v>
      </c>
      <c r="F98" s="6" t="s">
        <v>18</v>
      </c>
      <c r="G98" s="6" t="s">
        <v>19</v>
      </c>
      <c r="H98" s="11">
        <v>46108</v>
      </c>
      <c r="I98" s="11"/>
      <c r="J98" s="6" t="s">
        <v>27</v>
      </c>
      <c r="K98" s="6"/>
      <c r="L98" s="6"/>
      <c r="M98" s="6">
        <v>95</v>
      </c>
      <c r="N98">
        <f t="shared" si="6"/>
        <v>0</v>
      </c>
      <c r="O98" t="str">
        <f t="shared" si="7"/>
        <v>03-2026</v>
      </c>
      <c r="P98" t="str">
        <f t="shared" si="8"/>
        <v/>
      </c>
      <c r="Q98">
        <f t="shared" si="9"/>
        <v>0</v>
      </c>
      <c r="R98">
        <f t="shared" si="10"/>
        <v>0</v>
      </c>
      <c r="S98" t="str">
        <f t="shared" si="11"/>
        <v>90-180</v>
      </c>
    </row>
    <row r="99" spans="1:19" x14ac:dyDescent="0.25">
      <c r="A99" s="6" t="s">
        <v>130</v>
      </c>
      <c r="B99" s="6" t="s">
        <v>14</v>
      </c>
      <c r="C99" s="6" t="s">
        <v>15</v>
      </c>
      <c r="D99" s="6" t="s">
        <v>16</v>
      </c>
      <c r="E99" s="6" t="s">
        <v>17</v>
      </c>
      <c r="F99" s="6" t="s">
        <v>18</v>
      </c>
      <c r="G99" s="6" t="s">
        <v>19</v>
      </c>
      <c r="H99" s="11">
        <v>45804</v>
      </c>
      <c r="I99" s="11">
        <v>46142</v>
      </c>
      <c r="J99" s="6" t="s">
        <v>20</v>
      </c>
      <c r="K99" s="6" t="s">
        <v>24</v>
      </c>
      <c r="L99" s="6" t="s">
        <v>55</v>
      </c>
      <c r="M99" s="6">
        <v>338</v>
      </c>
      <c r="N99">
        <f t="shared" si="6"/>
        <v>1</v>
      </c>
      <c r="O99" t="str">
        <f t="shared" si="7"/>
        <v>05-2025</v>
      </c>
      <c r="P99" t="str">
        <f t="shared" si="8"/>
        <v>04-2026</v>
      </c>
      <c r="Q99">
        <f t="shared" si="9"/>
        <v>0</v>
      </c>
      <c r="R99">
        <f t="shared" si="10"/>
        <v>1</v>
      </c>
      <c r="S99" t="str">
        <f t="shared" si="11"/>
        <v>180-365</v>
      </c>
    </row>
    <row r="100" spans="1:19" x14ac:dyDescent="0.25">
      <c r="A100" s="6" t="s">
        <v>131</v>
      </c>
      <c r="B100" s="6" t="s">
        <v>14</v>
      </c>
      <c r="C100" s="6" t="s">
        <v>15</v>
      </c>
      <c r="D100" s="6" t="s">
        <v>16</v>
      </c>
      <c r="E100" s="6" t="s">
        <v>17</v>
      </c>
      <c r="F100" s="6" t="s">
        <v>18</v>
      </c>
      <c r="G100" s="6" t="s">
        <v>19</v>
      </c>
      <c r="H100" s="11">
        <v>46140</v>
      </c>
      <c r="I100" s="11">
        <v>46140</v>
      </c>
      <c r="J100" s="6" t="s">
        <v>20</v>
      </c>
      <c r="K100" s="6" t="s">
        <v>21</v>
      </c>
      <c r="L100" s="6" t="s">
        <v>50</v>
      </c>
      <c r="M100" s="6">
        <v>0</v>
      </c>
      <c r="N100">
        <f t="shared" si="6"/>
        <v>1</v>
      </c>
      <c r="O100" t="str">
        <f t="shared" si="7"/>
        <v>04-2026</v>
      </c>
      <c r="P100" t="str">
        <f t="shared" si="8"/>
        <v>04-2026</v>
      </c>
      <c r="Q100">
        <f t="shared" si="9"/>
        <v>1</v>
      </c>
      <c r="R100">
        <f t="shared" si="10"/>
        <v>0</v>
      </c>
      <c r="S100" t="str">
        <f t="shared" si="11"/>
        <v>0-90</v>
      </c>
    </row>
    <row r="101" spans="1:19" x14ac:dyDescent="0.25">
      <c r="A101" s="6" t="s">
        <v>132</v>
      </c>
      <c r="B101" s="6" t="s">
        <v>14</v>
      </c>
      <c r="C101" s="6" t="s">
        <v>15</v>
      </c>
      <c r="D101" s="6" t="s">
        <v>16</v>
      </c>
      <c r="E101" s="6" t="s">
        <v>17</v>
      </c>
      <c r="F101" s="6" t="s">
        <v>18</v>
      </c>
      <c r="G101" s="6" t="s">
        <v>19</v>
      </c>
      <c r="H101" s="11">
        <v>45897</v>
      </c>
      <c r="I101" s="11">
        <v>46133</v>
      </c>
      <c r="J101" s="6" t="s">
        <v>20</v>
      </c>
      <c r="K101" s="6" t="s">
        <v>21</v>
      </c>
      <c r="L101" s="6" t="s">
        <v>50</v>
      </c>
      <c r="M101" s="6">
        <v>236</v>
      </c>
      <c r="N101">
        <f t="shared" si="6"/>
        <v>1</v>
      </c>
      <c r="O101" t="str">
        <f t="shared" si="7"/>
        <v>08-2025</v>
      </c>
      <c r="P101" t="str">
        <f t="shared" si="8"/>
        <v>04-2026</v>
      </c>
      <c r="Q101">
        <f t="shared" si="9"/>
        <v>1</v>
      </c>
      <c r="R101">
        <f t="shared" si="10"/>
        <v>0</v>
      </c>
      <c r="S101" t="str">
        <f t="shared" si="11"/>
        <v>180-365</v>
      </c>
    </row>
    <row r="102" spans="1:19" x14ac:dyDescent="0.25">
      <c r="A102" s="6" t="s">
        <v>133</v>
      </c>
      <c r="B102" s="6" t="s">
        <v>14</v>
      </c>
      <c r="C102" s="6" t="s">
        <v>15</v>
      </c>
      <c r="D102" s="6" t="s">
        <v>16</v>
      </c>
      <c r="E102" s="6" t="s">
        <v>17</v>
      </c>
      <c r="F102" s="6" t="s">
        <v>18</v>
      </c>
      <c r="G102" s="6" t="s">
        <v>19</v>
      </c>
      <c r="H102" s="11">
        <v>46109</v>
      </c>
      <c r="I102" s="11"/>
      <c r="J102" s="6" t="s">
        <v>27</v>
      </c>
      <c r="K102" s="6"/>
      <c r="L102" s="6"/>
      <c r="M102" s="6">
        <v>94</v>
      </c>
      <c r="N102">
        <f t="shared" si="6"/>
        <v>0</v>
      </c>
      <c r="O102" t="str">
        <f t="shared" si="7"/>
        <v>03-2026</v>
      </c>
      <c r="P102" t="str">
        <f t="shared" si="8"/>
        <v/>
      </c>
      <c r="Q102">
        <f t="shared" si="9"/>
        <v>0</v>
      </c>
      <c r="R102">
        <f t="shared" si="10"/>
        <v>0</v>
      </c>
      <c r="S102" t="str">
        <f t="shared" si="11"/>
        <v>90-180</v>
      </c>
    </row>
    <row r="103" spans="1:19" x14ac:dyDescent="0.25">
      <c r="A103" s="6" t="s">
        <v>134</v>
      </c>
      <c r="B103" s="6" t="s">
        <v>14</v>
      </c>
      <c r="C103" s="6" t="s">
        <v>15</v>
      </c>
      <c r="D103" s="6" t="s">
        <v>16</v>
      </c>
      <c r="E103" s="6" t="s">
        <v>17</v>
      </c>
      <c r="F103" s="6" t="s">
        <v>18</v>
      </c>
      <c r="G103" s="6" t="s">
        <v>19</v>
      </c>
      <c r="H103" s="11">
        <v>46170</v>
      </c>
      <c r="I103" s="11">
        <v>46170</v>
      </c>
      <c r="J103" s="6" t="s">
        <v>20</v>
      </c>
      <c r="K103" s="6" t="s">
        <v>21</v>
      </c>
      <c r="L103" s="6" t="s">
        <v>22</v>
      </c>
      <c r="M103" s="6">
        <v>0</v>
      </c>
      <c r="N103">
        <f t="shared" si="6"/>
        <v>1</v>
      </c>
      <c r="O103" t="str">
        <f t="shared" si="7"/>
        <v>05-2026</v>
      </c>
      <c r="P103" t="str">
        <f t="shared" si="8"/>
        <v>05-2026</v>
      </c>
      <c r="Q103">
        <f t="shared" si="9"/>
        <v>1</v>
      </c>
      <c r="R103">
        <f t="shared" si="10"/>
        <v>0</v>
      </c>
      <c r="S103" t="str">
        <f t="shared" si="11"/>
        <v>0-90</v>
      </c>
    </row>
    <row r="104" spans="1:19" x14ac:dyDescent="0.25">
      <c r="A104" s="6" t="s">
        <v>135</v>
      </c>
      <c r="B104" s="6" t="s">
        <v>14</v>
      </c>
      <c r="C104" s="6" t="s">
        <v>15</v>
      </c>
      <c r="D104" s="6" t="s">
        <v>16</v>
      </c>
      <c r="E104" s="6" t="s">
        <v>17</v>
      </c>
      <c r="F104" s="6" t="s">
        <v>18</v>
      </c>
      <c r="G104" s="6" t="s">
        <v>19</v>
      </c>
      <c r="H104" s="11">
        <v>46141</v>
      </c>
      <c r="I104" s="11"/>
      <c r="J104" s="6" t="s">
        <v>27</v>
      </c>
      <c r="K104" s="6"/>
      <c r="L104" s="6"/>
      <c r="M104" s="6">
        <v>62</v>
      </c>
      <c r="N104">
        <f t="shared" si="6"/>
        <v>0</v>
      </c>
      <c r="O104" t="str">
        <f t="shared" si="7"/>
        <v>04-2026</v>
      </c>
      <c r="P104" t="str">
        <f t="shared" si="8"/>
        <v/>
      </c>
      <c r="Q104">
        <f t="shared" si="9"/>
        <v>0</v>
      </c>
      <c r="R104">
        <f t="shared" si="10"/>
        <v>0</v>
      </c>
      <c r="S104" t="str">
        <f t="shared" si="11"/>
        <v>0-90</v>
      </c>
    </row>
    <row r="105" spans="1:19" x14ac:dyDescent="0.25">
      <c r="A105" s="6" t="s">
        <v>136</v>
      </c>
      <c r="B105" s="6" t="s">
        <v>14</v>
      </c>
      <c r="C105" s="6" t="s">
        <v>15</v>
      </c>
      <c r="D105" s="6" t="s">
        <v>16</v>
      </c>
      <c r="E105" s="6" t="s">
        <v>17</v>
      </c>
      <c r="F105" s="6" t="s">
        <v>18</v>
      </c>
      <c r="G105" s="6" t="s">
        <v>19</v>
      </c>
      <c r="H105" s="11">
        <v>46141</v>
      </c>
      <c r="I105" s="11"/>
      <c r="J105" s="6" t="s">
        <v>27</v>
      </c>
      <c r="K105" s="6"/>
      <c r="L105" s="6"/>
      <c r="M105" s="6">
        <v>62</v>
      </c>
      <c r="N105">
        <f t="shared" si="6"/>
        <v>0</v>
      </c>
      <c r="O105" t="str">
        <f t="shared" si="7"/>
        <v>04-2026</v>
      </c>
      <c r="P105" t="str">
        <f t="shared" si="8"/>
        <v/>
      </c>
      <c r="Q105">
        <f t="shared" si="9"/>
        <v>0</v>
      </c>
      <c r="R105">
        <f t="shared" si="10"/>
        <v>0</v>
      </c>
      <c r="S105" t="str">
        <f t="shared" si="11"/>
        <v>0-90</v>
      </c>
    </row>
    <row r="106" spans="1:19" x14ac:dyDescent="0.25">
      <c r="A106" s="6" t="s">
        <v>137</v>
      </c>
      <c r="B106" s="6" t="s">
        <v>14</v>
      </c>
      <c r="C106" s="6" t="s">
        <v>15</v>
      </c>
      <c r="D106" s="6" t="s">
        <v>16</v>
      </c>
      <c r="E106" s="6" t="s">
        <v>17</v>
      </c>
      <c r="F106" s="6" t="s">
        <v>18</v>
      </c>
      <c r="G106" s="6" t="s">
        <v>19</v>
      </c>
      <c r="H106" s="11">
        <v>45898</v>
      </c>
      <c r="I106" s="11">
        <v>46167</v>
      </c>
      <c r="J106" s="6" t="s">
        <v>20</v>
      </c>
      <c r="K106" s="6" t="s">
        <v>24</v>
      </c>
      <c r="L106" s="6" t="s">
        <v>25</v>
      </c>
      <c r="M106" s="6">
        <v>269</v>
      </c>
      <c r="N106">
        <f t="shared" si="6"/>
        <v>1</v>
      </c>
      <c r="O106" t="str">
        <f t="shared" si="7"/>
        <v>08-2025</v>
      </c>
      <c r="P106" t="str">
        <f t="shared" si="8"/>
        <v>05-2026</v>
      </c>
      <c r="Q106">
        <f t="shared" si="9"/>
        <v>0</v>
      </c>
      <c r="R106">
        <f t="shared" si="10"/>
        <v>1</v>
      </c>
      <c r="S106" t="str">
        <f t="shared" si="11"/>
        <v>180-365</v>
      </c>
    </row>
    <row r="107" spans="1:19" x14ac:dyDescent="0.25">
      <c r="A107" s="6" t="s">
        <v>138</v>
      </c>
      <c r="B107" s="6" t="s">
        <v>14</v>
      </c>
      <c r="C107" s="6" t="s">
        <v>15</v>
      </c>
      <c r="D107" s="6" t="s">
        <v>16</v>
      </c>
      <c r="E107" s="6" t="s">
        <v>17</v>
      </c>
      <c r="F107" s="6" t="s">
        <v>18</v>
      </c>
      <c r="G107" s="6" t="s">
        <v>19</v>
      </c>
      <c r="H107" s="11">
        <v>46202</v>
      </c>
      <c r="I107" s="11">
        <v>46202</v>
      </c>
      <c r="J107" s="6" t="s">
        <v>20</v>
      </c>
      <c r="K107" s="6" t="s">
        <v>21</v>
      </c>
      <c r="L107" s="6" t="s">
        <v>61</v>
      </c>
      <c r="M107" s="6">
        <v>0</v>
      </c>
      <c r="N107">
        <f t="shared" si="6"/>
        <v>1</v>
      </c>
      <c r="O107" t="str">
        <f t="shared" si="7"/>
        <v>06-2026</v>
      </c>
      <c r="P107" t="str">
        <f t="shared" si="8"/>
        <v>06-2026</v>
      </c>
      <c r="Q107">
        <f t="shared" si="9"/>
        <v>1</v>
      </c>
      <c r="R107">
        <f t="shared" si="10"/>
        <v>0</v>
      </c>
      <c r="S107" t="str">
        <f t="shared" si="11"/>
        <v>0-90</v>
      </c>
    </row>
    <row r="108" spans="1:19" x14ac:dyDescent="0.25">
      <c r="A108" s="6" t="s">
        <v>139</v>
      </c>
      <c r="B108" s="6" t="s">
        <v>14</v>
      </c>
      <c r="C108" s="6" t="s">
        <v>15</v>
      </c>
      <c r="D108" s="6" t="s">
        <v>16</v>
      </c>
      <c r="E108" s="6" t="s">
        <v>17</v>
      </c>
      <c r="F108" s="6" t="s">
        <v>18</v>
      </c>
      <c r="G108" s="6" t="s">
        <v>19</v>
      </c>
      <c r="H108" s="11">
        <v>45838</v>
      </c>
      <c r="I108" s="11">
        <v>46142</v>
      </c>
      <c r="J108" s="6" t="s">
        <v>20</v>
      </c>
      <c r="K108" s="6" t="s">
        <v>21</v>
      </c>
      <c r="L108" s="6" t="s">
        <v>61</v>
      </c>
      <c r="M108" s="6">
        <v>304</v>
      </c>
      <c r="N108">
        <f t="shared" si="6"/>
        <v>1</v>
      </c>
      <c r="O108" t="str">
        <f t="shared" si="7"/>
        <v>06-2025</v>
      </c>
      <c r="P108" t="str">
        <f t="shared" si="8"/>
        <v>04-2026</v>
      </c>
      <c r="Q108">
        <f t="shared" si="9"/>
        <v>1</v>
      </c>
      <c r="R108">
        <f t="shared" si="10"/>
        <v>0</v>
      </c>
      <c r="S108" t="str">
        <f t="shared" si="11"/>
        <v>180-365</v>
      </c>
    </row>
    <row r="109" spans="1:19" x14ac:dyDescent="0.25">
      <c r="A109" s="6" t="s">
        <v>140</v>
      </c>
      <c r="B109" s="6" t="s">
        <v>14</v>
      </c>
      <c r="C109" s="6" t="s">
        <v>15</v>
      </c>
      <c r="D109" s="6" t="s">
        <v>16</v>
      </c>
      <c r="E109" s="6" t="s">
        <v>17</v>
      </c>
      <c r="F109" s="6" t="s">
        <v>18</v>
      </c>
      <c r="G109" s="6" t="s">
        <v>19</v>
      </c>
      <c r="H109" s="11">
        <v>46203</v>
      </c>
      <c r="I109" s="11">
        <v>46203</v>
      </c>
      <c r="J109" s="6" t="s">
        <v>20</v>
      </c>
      <c r="K109" s="6" t="s">
        <v>21</v>
      </c>
      <c r="L109" s="6" t="s">
        <v>50</v>
      </c>
      <c r="M109" s="6">
        <v>0</v>
      </c>
      <c r="N109">
        <f t="shared" si="6"/>
        <v>1</v>
      </c>
      <c r="O109" t="str">
        <f t="shared" si="7"/>
        <v>06-2026</v>
      </c>
      <c r="P109" t="str">
        <f t="shared" si="8"/>
        <v>06-2026</v>
      </c>
      <c r="Q109">
        <f t="shared" si="9"/>
        <v>1</v>
      </c>
      <c r="R109">
        <f t="shared" si="10"/>
        <v>0</v>
      </c>
      <c r="S109" t="str">
        <f t="shared" si="11"/>
        <v>0-90</v>
      </c>
    </row>
    <row r="110" spans="1:19" x14ac:dyDescent="0.25">
      <c r="A110" s="6" t="s">
        <v>141</v>
      </c>
      <c r="B110" s="6" t="s">
        <v>14</v>
      </c>
      <c r="C110" s="6" t="s">
        <v>15</v>
      </c>
      <c r="D110" s="6" t="s">
        <v>16</v>
      </c>
      <c r="E110" s="6" t="s">
        <v>17</v>
      </c>
      <c r="F110" s="6" t="s">
        <v>18</v>
      </c>
      <c r="G110" s="6" t="s">
        <v>142</v>
      </c>
      <c r="H110" s="11">
        <v>46114</v>
      </c>
      <c r="I110" s="11">
        <v>46127</v>
      </c>
      <c r="J110" s="6" t="s">
        <v>20</v>
      </c>
      <c r="K110" s="6" t="s">
        <v>21</v>
      </c>
      <c r="L110" s="6" t="s">
        <v>50</v>
      </c>
      <c r="M110" s="6">
        <v>13</v>
      </c>
      <c r="N110">
        <f t="shared" si="6"/>
        <v>1</v>
      </c>
      <c r="O110" t="str">
        <f t="shared" si="7"/>
        <v>04-2026</v>
      </c>
      <c r="P110" t="str">
        <f t="shared" si="8"/>
        <v>04-2026</v>
      </c>
      <c r="Q110">
        <f t="shared" si="9"/>
        <v>1</v>
      </c>
      <c r="R110">
        <f t="shared" si="10"/>
        <v>0</v>
      </c>
      <c r="S110" t="str">
        <f t="shared" si="11"/>
        <v>0-90</v>
      </c>
    </row>
    <row r="111" spans="1:19" x14ac:dyDescent="0.25">
      <c r="A111" s="6" t="s">
        <v>143</v>
      </c>
      <c r="B111" s="6" t="s">
        <v>14</v>
      </c>
      <c r="C111" s="6" t="s">
        <v>15</v>
      </c>
      <c r="D111" s="6" t="s">
        <v>16</v>
      </c>
      <c r="E111" s="6" t="s">
        <v>17</v>
      </c>
      <c r="F111" s="6" t="s">
        <v>18</v>
      </c>
      <c r="G111" s="6" t="s">
        <v>142</v>
      </c>
      <c r="H111" s="11">
        <v>45993</v>
      </c>
      <c r="I111" s="11"/>
      <c r="J111" s="6" t="s">
        <v>27</v>
      </c>
      <c r="K111" s="6"/>
      <c r="L111" s="6"/>
      <c r="M111" s="6">
        <v>210</v>
      </c>
      <c r="N111">
        <f t="shared" si="6"/>
        <v>0</v>
      </c>
      <c r="O111" t="str">
        <f t="shared" si="7"/>
        <v>12-2025</v>
      </c>
      <c r="P111" t="str">
        <f t="shared" si="8"/>
        <v/>
      </c>
      <c r="Q111">
        <f t="shared" si="9"/>
        <v>0</v>
      </c>
      <c r="R111">
        <f t="shared" si="10"/>
        <v>0</v>
      </c>
      <c r="S111" t="str">
        <f t="shared" si="11"/>
        <v>180-365</v>
      </c>
    </row>
    <row r="112" spans="1:19" x14ac:dyDescent="0.25">
      <c r="A112" s="6" t="s">
        <v>144</v>
      </c>
      <c r="B112" s="6" t="s">
        <v>14</v>
      </c>
      <c r="C112" s="6" t="s">
        <v>15</v>
      </c>
      <c r="D112" s="6" t="s">
        <v>16</v>
      </c>
      <c r="E112" s="6" t="s">
        <v>17</v>
      </c>
      <c r="F112" s="6" t="s">
        <v>18</v>
      </c>
      <c r="G112" s="6" t="s">
        <v>142</v>
      </c>
      <c r="H112" s="11">
        <v>45840</v>
      </c>
      <c r="I112" s="11">
        <v>46150</v>
      </c>
      <c r="J112" s="6" t="s">
        <v>20</v>
      </c>
      <c r="K112" s="6" t="s">
        <v>21</v>
      </c>
      <c r="L112" s="6" t="s">
        <v>22</v>
      </c>
      <c r="M112" s="6">
        <v>310</v>
      </c>
      <c r="N112">
        <f t="shared" si="6"/>
        <v>1</v>
      </c>
      <c r="O112" t="str">
        <f t="shared" si="7"/>
        <v>07-2025</v>
      </c>
      <c r="P112" t="str">
        <f t="shared" si="8"/>
        <v>05-2026</v>
      </c>
      <c r="Q112">
        <f t="shared" si="9"/>
        <v>1</v>
      </c>
      <c r="R112">
        <f t="shared" si="10"/>
        <v>0</v>
      </c>
      <c r="S112" t="str">
        <f t="shared" si="11"/>
        <v>180-365</v>
      </c>
    </row>
    <row r="113" spans="1:19" x14ac:dyDescent="0.25">
      <c r="A113" s="6" t="s">
        <v>145</v>
      </c>
      <c r="B113" s="6" t="s">
        <v>14</v>
      </c>
      <c r="C113" s="6" t="s">
        <v>15</v>
      </c>
      <c r="D113" s="6" t="s">
        <v>16</v>
      </c>
      <c r="E113" s="6" t="s">
        <v>17</v>
      </c>
      <c r="F113" s="6" t="s">
        <v>18</v>
      </c>
      <c r="G113" s="6" t="s">
        <v>142</v>
      </c>
      <c r="H113" s="11">
        <v>45750</v>
      </c>
      <c r="I113" s="11">
        <v>46169</v>
      </c>
      <c r="J113" s="6" t="s">
        <v>20</v>
      </c>
      <c r="K113" s="6" t="s">
        <v>24</v>
      </c>
      <c r="L113" s="6" t="s">
        <v>55</v>
      </c>
      <c r="M113" s="6">
        <v>419</v>
      </c>
      <c r="N113">
        <f t="shared" si="6"/>
        <v>1</v>
      </c>
      <c r="O113" t="str">
        <f t="shared" si="7"/>
        <v>04-2025</v>
      </c>
      <c r="P113" t="str">
        <f t="shared" si="8"/>
        <v>05-2026</v>
      </c>
      <c r="Q113">
        <f t="shared" si="9"/>
        <v>0</v>
      </c>
      <c r="R113">
        <f t="shared" si="10"/>
        <v>1</v>
      </c>
      <c r="S113" t="str">
        <f t="shared" si="11"/>
        <v>above 1 year</v>
      </c>
    </row>
    <row r="114" spans="1:19" x14ac:dyDescent="0.25">
      <c r="A114" s="6" t="s">
        <v>146</v>
      </c>
      <c r="B114" s="6" t="s">
        <v>14</v>
      </c>
      <c r="C114" s="6" t="s">
        <v>15</v>
      </c>
      <c r="D114" s="6" t="s">
        <v>16</v>
      </c>
      <c r="E114" s="6" t="s">
        <v>17</v>
      </c>
      <c r="F114" s="6" t="s">
        <v>18</v>
      </c>
      <c r="G114" s="6" t="s">
        <v>142</v>
      </c>
      <c r="H114" s="11">
        <v>46115</v>
      </c>
      <c r="I114" s="11">
        <v>46172</v>
      </c>
      <c r="J114" s="6" t="s">
        <v>20</v>
      </c>
      <c r="K114" s="6" t="s">
        <v>21</v>
      </c>
      <c r="L114" s="6" t="s">
        <v>30</v>
      </c>
      <c r="M114" s="6">
        <v>57</v>
      </c>
      <c r="N114">
        <f t="shared" si="6"/>
        <v>1</v>
      </c>
      <c r="O114" t="str">
        <f t="shared" si="7"/>
        <v>04-2026</v>
      </c>
      <c r="P114" t="str">
        <f t="shared" si="8"/>
        <v>05-2026</v>
      </c>
      <c r="Q114">
        <f t="shared" si="9"/>
        <v>1</v>
      </c>
      <c r="R114">
        <f t="shared" si="10"/>
        <v>0</v>
      </c>
      <c r="S114" t="str">
        <f t="shared" si="11"/>
        <v>0-90</v>
      </c>
    </row>
    <row r="115" spans="1:19" x14ac:dyDescent="0.25">
      <c r="A115" s="6" t="s">
        <v>147</v>
      </c>
      <c r="B115" s="6" t="s">
        <v>14</v>
      </c>
      <c r="C115" s="6" t="s">
        <v>15</v>
      </c>
      <c r="D115" s="6" t="s">
        <v>16</v>
      </c>
      <c r="E115" s="6" t="s">
        <v>17</v>
      </c>
      <c r="F115" s="6" t="s">
        <v>18</v>
      </c>
      <c r="G115" s="6" t="s">
        <v>142</v>
      </c>
      <c r="H115" s="11">
        <v>46116</v>
      </c>
      <c r="I115" s="11"/>
      <c r="J115" s="6" t="s">
        <v>27</v>
      </c>
      <c r="K115" s="6"/>
      <c r="L115" s="6"/>
      <c r="M115" s="6">
        <v>87</v>
      </c>
      <c r="N115">
        <f t="shared" si="6"/>
        <v>0</v>
      </c>
      <c r="O115" t="str">
        <f t="shared" si="7"/>
        <v>04-2026</v>
      </c>
      <c r="P115" t="str">
        <f t="shared" si="8"/>
        <v/>
      </c>
      <c r="Q115">
        <f t="shared" si="9"/>
        <v>0</v>
      </c>
      <c r="R115">
        <f t="shared" si="10"/>
        <v>0</v>
      </c>
      <c r="S115" t="str">
        <f t="shared" si="11"/>
        <v>0-90</v>
      </c>
    </row>
    <row r="116" spans="1:19" x14ac:dyDescent="0.25">
      <c r="A116" s="6" t="s">
        <v>148</v>
      </c>
      <c r="B116" s="6" t="s">
        <v>14</v>
      </c>
      <c r="C116" s="6" t="s">
        <v>15</v>
      </c>
      <c r="D116" s="6" t="s">
        <v>16</v>
      </c>
      <c r="E116" s="6" t="s">
        <v>17</v>
      </c>
      <c r="F116" s="6" t="s">
        <v>18</v>
      </c>
      <c r="G116" s="6" t="s">
        <v>142</v>
      </c>
      <c r="H116" s="11">
        <v>46057</v>
      </c>
      <c r="I116" s="11"/>
      <c r="J116" s="6" t="s">
        <v>27</v>
      </c>
      <c r="K116" s="6"/>
      <c r="L116" s="6"/>
      <c r="M116" s="6">
        <v>146</v>
      </c>
      <c r="N116">
        <f t="shared" si="6"/>
        <v>0</v>
      </c>
      <c r="O116" t="str">
        <f t="shared" si="7"/>
        <v>02-2026</v>
      </c>
      <c r="P116" t="str">
        <f t="shared" si="8"/>
        <v/>
      </c>
      <c r="Q116">
        <f t="shared" si="9"/>
        <v>0</v>
      </c>
      <c r="R116">
        <f t="shared" si="10"/>
        <v>0</v>
      </c>
      <c r="S116" t="str">
        <f t="shared" si="11"/>
        <v>90-180</v>
      </c>
    </row>
    <row r="117" spans="1:19" x14ac:dyDescent="0.25">
      <c r="A117" s="6" t="s">
        <v>149</v>
      </c>
      <c r="B117" s="6" t="s">
        <v>14</v>
      </c>
      <c r="C117" s="6" t="s">
        <v>15</v>
      </c>
      <c r="D117" s="6" t="s">
        <v>16</v>
      </c>
      <c r="E117" s="6" t="s">
        <v>17</v>
      </c>
      <c r="F117" s="6" t="s">
        <v>18</v>
      </c>
      <c r="G117" s="6" t="s">
        <v>142</v>
      </c>
      <c r="H117" s="11">
        <v>45721</v>
      </c>
      <c r="I117" s="11">
        <v>46152</v>
      </c>
      <c r="J117" s="6" t="s">
        <v>20</v>
      </c>
      <c r="K117" s="6" t="s">
        <v>24</v>
      </c>
      <c r="L117" s="6" t="s">
        <v>41</v>
      </c>
      <c r="M117" s="6">
        <v>431</v>
      </c>
      <c r="N117">
        <f t="shared" si="6"/>
        <v>1</v>
      </c>
      <c r="O117" t="str">
        <f t="shared" si="7"/>
        <v>03-2025</v>
      </c>
      <c r="P117" t="str">
        <f t="shared" si="8"/>
        <v>05-2026</v>
      </c>
      <c r="Q117">
        <f t="shared" si="9"/>
        <v>0</v>
      </c>
      <c r="R117">
        <f t="shared" si="10"/>
        <v>1</v>
      </c>
      <c r="S117" t="str">
        <f t="shared" si="11"/>
        <v>above 1 year</v>
      </c>
    </row>
    <row r="118" spans="1:19" x14ac:dyDescent="0.25">
      <c r="A118" s="6" t="s">
        <v>150</v>
      </c>
      <c r="B118" s="6" t="s">
        <v>14</v>
      </c>
      <c r="C118" s="6" t="s">
        <v>15</v>
      </c>
      <c r="D118" s="6" t="s">
        <v>16</v>
      </c>
      <c r="E118" s="6" t="s">
        <v>17</v>
      </c>
      <c r="F118" s="6" t="s">
        <v>18</v>
      </c>
      <c r="G118" s="6" t="s">
        <v>142</v>
      </c>
      <c r="H118" s="11">
        <v>45966</v>
      </c>
      <c r="I118" s="11"/>
      <c r="J118" s="6" t="s">
        <v>27</v>
      </c>
      <c r="K118" s="6"/>
      <c r="L118" s="6"/>
      <c r="M118" s="6">
        <v>237</v>
      </c>
      <c r="N118">
        <f t="shared" si="6"/>
        <v>0</v>
      </c>
      <c r="O118" t="str">
        <f t="shared" si="7"/>
        <v>11-2025</v>
      </c>
      <c r="P118" t="str">
        <f t="shared" si="8"/>
        <v/>
      </c>
      <c r="Q118">
        <f t="shared" si="9"/>
        <v>0</v>
      </c>
      <c r="R118">
        <f t="shared" si="10"/>
        <v>0</v>
      </c>
      <c r="S118" t="str">
        <f t="shared" si="11"/>
        <v>180-365</v>
      </c>
    </row>
    <row r="119" spans="1:19" x14ac:dyDescent="0.25">
      <c r="A119" s="6" t="s">
        <v>151</v>
      </c>
      <c r="B119" s="6" t="s">
        <v>14</v>
      </c>
      <c r="C119" s="6" t="s">
        <v>15</v>
      </c>
      <c r="D119" s="6" t="s">
        <v>16</v>
      </c>
      <c r="E119" s="6" t="s">
        <v>17</v>
      </c>
      <c r="F119" s="6" t="s">
        <v>18</v>
      </c>
      <c r="G119" s="6" t="s">
        <v>142</v>
      </c>
      <c r="H119" s="11">
        <v>45753</v>
      </c>
      <c r="I119" s="11">
        <v>46162</v>
      </c>
      <c r="J119" s="6" t="s">
        <v>20</v>
      </c>
      <c r="K119" s="6" t="s">
        <v>24</v>
      </c>
      <c r="L119" s="6" t="s">
        <v>55</v>
      </c>
      <c r="M119" s="6">
        <v>409</v>
      </c>
      <c r="N119">
        <f t="shared" si="6"/>
        <v>1</v>
      </c>
      <c r="O119" t="str">
        <f t="shared" si="7"/>
        <v>04-2025</v>
      </c>
      <c r="P119" t="str">
        <f t="shared" si="8"/>
        <v>05-2026</v>
      </c>
      <c r="Q119">
        <f t="shared" si="9"/>
        <v>0</v>
      </c>
      <c r="R119">
        <f t="shared" si="10"/>
        <v>1</v>
      </c>
      <c r="S119" t="str">
        <f t="shared" si="11"/>
        <v>above 1 year</v>
      </c>
    </row>
    <row r="120" spans="1:19" x14ac:dyDescent="0.25">
      <c r="A120" s="6" t="s">
        <v>152</v>
      </c>
      <c r="B120" s="6" t="s">
        <v>14</v>
      </c>
      <c r="C120" s="6" t="s">
        <v>15</v>
      </c>
      <c r="D120" s="6" t="s">
        <v>16</v>
      </c>
      <c r="E120" s="6" t="s">
        <v>17</v>
      </c>
      <c r="F120" s="6" t="s">
        <v>18</v>
      </c>
      <c r="G120" s="6" t="s">
        <v>142</v>
      </c>
      <c r="H120" s="11">
        <v>46118</v>
      </c>
      <c r="I120" s="11">
        <v>46171</v>
      </c>
      <c r="J120" s="6" t="s">
        <v>20</v>
      </c>
      <c r="K120" s="6" t="s">
        <v>21</v>
      </c>
      <c r="L120" s="6" t="s">
        <v>22</v>
      </c>
      <c r="M120" s="6">
        <v>53</v>
      </c>
      <c r="N120">
        <f t="shared" si="6"/>
        <v>1</v>
      </c>
      <c r="O120" t="str">
        <f t="shared" si="7"/>
        <v>04-2026</v>
      </c>
      <c r="P120" t="str">
        <f t="shared" si="8"/>
        <v>05-2026</v>
      </c>
      <c r="Q120">
        <f t="shared" si="9"/>
        <v>1</v>
      </c>
      <c r="R120">
        <f t="shared" si="10"/>
        <v>0</v>
      </c>
      <c r="S120" t="str">
        <f t="shared" si="11"/>
        <v>0-90</v>
      </c>
    </row>
    <row r="121" spans="1:19" x14ac:dyDescent="0.25">
      <c r="A121" s="6" t="s">
        <v>153</v>
      </c>
      <c r="B121" s="6" t="s">
        <v>14</v>
      </c>
      <c r="C121" s="6" t="s">
        <v>15</v>
      </c>
      <c r="D121" s="6" t="s">
        <v>16</v>
      </c>
      <c r="E121" s="6" t="s">
        <v>17</v>
      </c>
      <c r="F121" s="6" t="s">
        <v>18</v>
      </c>
      <c r="G121" s="6" t="s">
        <v>142</v>
      </c>
      <c r="H121" s="11">
        <v>45875</v>
      </c>
      <c r="I121" s="11"/>
      <c r="J121" s="6" t="s">
        <v>27</v>
      </c>
      <c r="K121" s="6"/>
      <c r="L121" s="6"/>
      <c r="M121" s="6">
        <v>328</v>
      </c>
      <c r="N121">
        <f t="shared" si="6"/>
        <v>0</v>
      </c>
      <c r="O121" t="str">
        <f t="shared" si="7"/>
        <v>08-2025</v>
      </c>
      <c r="P121" t="str">
        <f t="shared" si="8"/>
        <v/>
      </c>
      <c r="Q121">
        <f t="shared" si="9"/>
        <v>0</v>
      </c>
      <c r="R121">
        <f t="shared" si="10"/>
        <v>0</v>
      </c>
      <c r="S121" t="str">
        <f t="shared" si="11"/>
        <v>180-365</v>
      </c>
    </row>
    <row r="122" spans="1:19" x14ac:dyDescent="0.25">
      <c r="A122" s="6" t="s">
        <v>154</v>
      </c>
      <c r="B122" s="6" t="s">
        <v>14</v>
      </c>
      <c r="C122" s="6" t="s">
        <v>15</v>
      </c>
      <c r="D122" s="6" t="s">
        <v>16</v>
      </c>
      <c r="E122" s="6" t="s">
        <v>17</v>
      </c>
      <c r="F122" s="6" t="s">
        <v>18</v>
      </c>
      <c r="G122" s="6" t="s">
        <v>142</v>
      </c>
      <c r="H122" s="11">
        <v>45755</v>
      </c>
      <c r="I122" s="11"/>
      <c r="J122" s="6" t="s">
        <v>27</v>
      </c>
      <c r="K122" s="6"/>
      <c r="L122" s="6"/>
      <c r="M122" s="6">
        <v>448</v>
      </c>
      <c r="N122">
        <f t="shared" si="6"/>
        <v>0</v>
      </c>
      <c r="O122" t="str">
        <f t="shared" si="7"/>
        <v>04-2025</v>
      </c>
      <c r="P122" t="str">
        <f t="shared" si="8"/>
        <v/>
      </c>
      <c r="Q122">
        <f t="shared" si="9"/>
        <v>0</v>
      </c>
      <c r="R122">
        <f t="shared" si="10"/>
        <v>0</v>
      </c>
      <c r="S122" t="str">
        <f t="shared" si="11"/>
        <v>above 1 year</v>
      </c>
    </row>
    <row r="123" spans="1:19" x14ac:dyDescent="0.25">
      <c r="A123" s="6" t="s">
        <v>155</v>
      </c>
      <c r="B123" s="6" t="s">
        <v>14</v>
      </c>
      <c r="C123" s="6" t="s">
        <v>15</v>
      </c>
      <c r="D123" s="6" t="s">
        <v>16</v>
      </c>
      <c r="E123" s="6" t="s">
        <v>17</v>
      </c>
      <c r="F123" s="6" t="s">
        <v>18</v>
      </c>
      <c r="G123" s="6" t="s">
        <v>142</v>
      </c>
      <c r="H123" s="11">
        <v>46030</v>
      </c>
      <c r="I123" s="11">
        <v>46135</v>
      </c>
      <c r="J123" s="6" t="s">
        <v>20</v>
      </c>
      <c r="K123" s="6" t="s">
        <v>24</v>
      </c>
      <c r="L123" s="6" t="s">
        <v>55</v>
      </c>
      <c r="M123" s="6">
        <v>105</v>
      </c>
      <c r="N123">
        <f t="shared" si="6"/>
        <v>1</v>
      </c>
      <c r="O123" t="str">
        <f t="shared" si="7"/>
        <v>01-2026</v>
      </c>
      <c r="P123" t="str">
        <f t="shared" si="8"/>
        <v>04-2026</v>
      </c>
      <c r="Q123">
        <f t="shared" si="9"/>
        <v>0</v>
      </c>
      <c r="R123">
        <f t="shared" si="10"/>
        <v>1</v>
      </c>
      <c r="S123" t="str">
        <f t="shared" si="11"/>
        <v>90-180</v>
      </c>
    </row>
    <row r="124" spans="1:19" x14ac:dyDescent="0.25">
      <c r="A124" s="6" t="s">
        <v>156</v>
      </c>
      <c r="B124" s="6" t="s">
        <v>14</v>
      </c>
      <c r="C124" s="6" t="s">
        <v>15</v>
      </c>
      <c r="D124" s="6" t="s">
        <v>16</v>
      </c>
      <c r="E124" s="6" t="s">
        <v>17</v>
      </c>
      <c r="F124" s="6" t="s">
        <v>18</v>
      </c>
      <c r="G124" s="6" t="s">
        <v>142</v>
      </c>
      <c r="H124" s="11">
        <v>45846</v>
      </c>
      <c r="I124" s="11"/>
      <c r="J124" s="6" t="s">
        <v>27</v>
      </c>
      <c r="K124" s="6"/>
      <c r="L124" s="6"/>
      <c r="M124" s="6">
        <v>357</v>
      </c>
      <c r="N124">
        <f t="shared" si="6"/>
        <v>0</v>
      </c>
      <c r="O124" t="str">
        <f t="shared" si="7"/>
        <v>07-2025</v>
      </c>
      <c r="P124" t="str">
        <f t="shared" si="8"/>
        <v/>
      </c>
      <c r="Q124">
        <f t="shared" si="9"/>
        <v>0</v>
      </c>
      <c r="R124">
        <f t="shared" si="10"/>
        <v>0</v>
      </c>
      <c r="S124" t="str">
        <f t="shared" si="11"/>
        <v>180-365</v>
      </c>
    </row>
    <row r="125" spans="1:19" x14ac:dyDescent="0.25">
      <c r="A125" s="6" t="s">
        <v>157</v>
      </c>
      <c r="B125" s="6" t="s">
        <v>14</v>
      </c>
      <c r="C125" s="6" t="s">
        <v>15</v>
      </c>
      <c r="D125" s="6" t="s">
        <v>16</v>
      </c>
      <c r="E125" s="6" t="s">
        <v>17</v>
      </c>
      <c r="F125" s="6" t="s">
        <v>18</v>
      </c>
      <c r="G125" s="6" t="s">
        <v>142</v>
      </c>
      <c r="H125" s="11">
        <v>45846</v>
      </c>
      <c r="I125" s="11">
        <v>46162</v>
      </c>
      <c r="J125" s="6" t="s">
        <v>20</v>
      </c>
      <c r="K125" s="6" t="s">
        <v>24</v>
      </c>
      <c r="L125" s="6" t="s">
        <v>55</v>
      </c>
      <c r="M125" s="6">
        <v>316</v>
      </c>
      <c r="N125">
        <f t="shared" si="6"/>
        <v>1</v>
      </c>
      <c r="O125" t="str">
        <f t="shared" si="7"/>
        <v>07-2025</v>
      </c>
      <c r="P125" t="str">
        <f t="shared" si="8"/>
        <v>05-2026</v>
      </c>
      <c r="Q125">
        <f t="shared" si="9"/>
        <v>0</v>
      </c>
      <c r="R125">
        <f t="shared" si="10"/>
        <v>1</v>
      </c>
      <c r="S125" t="str">
        <f t="shared" si="11"/>
        <v>180-365</v>
      </c>
    </row>
    <row r="126" spans="1:19" x14ac:dyDescent="0.25">
      <c r="A126" s="6" t="s">
        <v>158</v>
      </c>
      <c r="B126" s="6" t="s">
        <v>14</v>
      </c>
      <c r="C126" s="6" t="s">
        <v>15</v>
      </c>
      <c r="D126" s="6" t="s">
        <v>16</v>
      </c>
      <c r="E126" s="6" t="s">
        <v>17</v>
      </c>
      <c r="F126" s="6" t="s">
        <v>18</v>
      </c>
      <c r="G126" s="6" t="s">
        <v>142</v>
      </c>
      <c r="H126" s="11">
        <v>45878</v>
      </c>
      <c r="I126" s="11"/>
      <c r="J126" s="6" t="s">
        <v>27</v>
      </c>
      <c r="K126" s="6"/>
      <c r="L126" s="6"/>
      <c r="M126" s="6">
        <v>325</v>
      </c>
      <c r="N126">
        <f t="shared" si="6"/>
        <v>0</v>
      </c>
      <c r="O126" t="str">
        <f t="shared" si="7"/>
        <v>08-2025</v>
      </c>
      <c r="P126" t="str">
        <f t="shared" si="8"/>
        <v/>
      </c>
      <c r="Q126">
        <f t="shared" si="9"/>
        <v>0</v>
      </c>
      <c r="R126">
        <f t="shared" si="10"/>
        <v>0</v>
      </c>
      <c r="S126" t="str">
        <f t="shared" si="11"/>
        <v>180-365</v>
      </c>
    </row>
    <row r="127" spans="1:19" x14ac:dyDescent="0.25">
      <c r="A127" s="6" t="s">
        <v>159</v>
      </c>
      <c r="B127" s="6" t="s">
        <v>14</v>
      </c>
      <c r="C127" s="6" t="s">
        <v>15</v>
      </c>
      <c r="D127" s="6" t="s">
        <v>16</v>
      </c>
      <c r="E127" s="6" t="s">
        <v>17</v>
      </c>
      <c r="F127" s="6" t="s">
        <v>18</v>
      </c>
      <c r="G127" s="6" t="s">
        <v>142</v>
      </c>
      <c r="H127" s="11">
        <v>46122</v>
      </c>
      <c r="I127" s="11"/>
      <c r="J127" s="6" t="s">
        <v>27</v>
      </c>
      <c r="K127" s="6"/>
      <c r="L127" s="6"/>
      <c r="M127" s="6">
        <v>81</v>
      </c>
      <c r="N127">
        <f t="shared" si="6"/>
        <v>0</v>
      </c>
      <c r="O127" t="str">
        <f t="shared" si="7"/>
        <v>04-2026</v>
      </c>
      <c r="P127" t="str">
        <f t="shared" si="8"/>
        <v/>
      </c>
      <c r="Q127">
        <f t="shared" si="9"/>
        <v>0</v>
      </c>
      <c r="R127">
        <f t="shared" si="10"/>
        <v>0</v>
      </c>
      <c r="S127" t="str">
        <f t="shared" si="11"/>
        <v>0-90</v>
      </c>
    </row>
    <row r="128" spans="1:19" x14ac:dyDescent="0.25">
      <c r="A128" s="6" t="s">
        <v>160</v>
      </c>
      <c r="B128" s="6" t="s">
        <v>14</v>
      </c>
      <c r="C128" s="6" t="s">
        <v>15</v>
      </c>
      <c r="D128" s="6" t="s">
        <v>16</v>
      </c>
      <c r="E128" s="6" t="s">
        <v>17</v>
      </c>
      <c r="F128" s="6" t="s">
        <v>18</v>
      </c>
      <c r="G128" s="6" t="s">
        <v>142</v>
      </c>
      <c r="H128" s="11">
        <v>46122</v>
      </c>
      <c r="I128" s="11"/>
      <c r="J128" s="6" t="s">
        <v>27</v>
      </c>
      <c r="K128" s="6"/>
      <c r="L128" s="6"/>
      <c r="M128" s="6">
        <v>81</v>
      </c>
      <c r="N128">
        <f t="shared" si="6"/>
        <v>0</v>
      </c>
      <c r="O128" t="str">
        <f t="shared" si="7"/>
        <v>04-2026</v>
      </c>
      <c r="P128" t="str">
        <f t="shared" si="8"/>
        <v/>
      </c>
      <c r="Q128">
        <f t="shared" si="9"/>
        <v>0</v>
      </c>
      <c r="R128">
        <f t="shared" si="10"/>
        <v>0</v>
      </c>
      <c r="S128" t="str">
        <f t="shared" si="11"/>
        <v>0-90</v>
      </c>
    </row>
    <row r="129" spans="1:19" x14ac:dyDescent="0.25">
      <c r="A129" s="6" t="s">
        <v>161</v>
      </c>
      <c r="B129" s="6" t="s">
        <v>14</v>
      </c>
      <c r="C129" s="6" t="s">
        <v>15</v>
      </c>
      <c r="D129" s="6" t="s">
        <v>16</v>
      </c>
      <c r="E129" s="6" t="s">
        <v>17</v>
      </c>
      <c r="F129" s="6" t="s">
        <v>18</v>
      </c>
      <c r="G129" s="6" t="s">
        <v>142</v>
      </c>
      <c r="H129" s="11">
        <v>46122</v>
      </c>
      <c r="I129" s="11">
        <v>46127</v>
      </c>
      <c r="J129" s="6" t="s">
        <v>20</v>
      </c>
      <c r="K129" s="6" t="s">
        <v>21</v>
      </c>
      <c r="L129" s="6" t="s">
        <v>37</v>
      </c>
      <c r="M129" s="6">
        <v>5</v>
      </c>
      <c r="N129">
        <f t="shared" si="6"/>
        <v>1</v>
      </c>
      <c r="O129" t="str">
        <f t="shared" si="7"/>
        <v>04-2026</v>
      </c>
      <c r="P129" t="str">
        <f t="shared" si="8"/>
        <v>04-2026</v>
      </c>
      <c r="Q129">
        <f t="shared" si="9"/>
        <v>1</v>
      </c>
      <c r="R129">
        <f t="shared" si="10"/>
        <v>0</v>
      </c>
      <c r="S129" t="str">
        <f t="shared" si="11"/>
        <v>0-90</v>
      </c>
    </row>
    <row r="130" spans="1:19" x14ac:dyDescent="0.25">
      <c r="A130" s="6" t="s">
        <v>162</v>
      </c>
      <c r="B130" s="6" t="s">
        <v>14</v>
      </c>
      <c r="C130" s="6" t="s">
        <v>15</v>
      </c>
      <c r="D130" s="6" t="s">
        <v>16</v>
      </c>
      <c r="E130" s="6" t="s">
        <v>17</v>
      </c>
      <c r="F130" s="6" t="s">
        <v>18</v>
      </c>
      <c r="G130" s="6" t="s">
        <v>142</v>
      </c>
      <c r="H130" s="11">
        <v>45698</v>
      </c>
      <c r="I130" s="11">
        <v>46159</v>
      </c>
      <c r="J130" s="6" t="s">
        <v>20</v>
      </c>
      <c r="K130" s="6" t="s">
        <v>24</v>
      </c>
      <c r="L130" s="6" t="s">
        <v>25</v>
      </c>
      <c r="M130" s="6">
        <v>461</v>
      </c>
      <c r="N130">
        <f t="shared" si="6"/>
        <v>1</v>
      </c>
      <c r="O130" t="str">
        <f t="shared" si="7"/>
        <v>02-2025</v>
      </c>
      <c r="P130" t="str">
        <f t="shared" si="8"/>
        <v>05-2026</v>
      </c>
      <c r="Q130">
        <f t="shared" si="9"/>
        <v>0</v>
      </c>
      <c r="R130">
        <f t="shared" si="10"/>
        <v>1</v>
      </c>
      <c r="S130" t="str">
        <f t="shared" si="11"/>
        <v>above 1 year</v>
      </c>
    </row>
    <row r="131" spans="1:19" x14ac:dyDescent="0.25">
      <c r="A131" s="6" t="s">
        <v>163</v>
      </c>
      <c r="B131" s="6" t="s">
        <v>14</v>
      </c>
      <c r="C131" s="6" t="s">
        <v>15</v>
      </c>
      <c r="D131" s="6" t="s">
        <v>16</v>
      </c>
      <c r="E131" s="6" t="s">
        <v>17</v>
      </c>
      <c r="F131" s="6" t="s">
        <v>18</v>
      </c>
      <c r="G131" s="6" t="s">
        <v>142</v>
      </c>
      <c r="H131" s="11">
        <v>45787</v>
      </c>
      <c r="I131" s="11">
        <v>46170</v>
      </c>
      <c r="J131" s="6" t="s">
        <v>20</v>
      </c>
      <c r="K131" s="6" t="s">
        <v>21</v>
      </c>
      <c r="L131" s="6" t="s">
        <v>50</v>
      </c>
      <c r="M131" s="6">
        <v>383</v>
      </c>
      <c r="N131">
        <f t="shared" ref="N131:N194" si="12">IF(J131="Relieved",1,0)</f>
        <v>1</v>
      </c>
      <c r="O131" t="str">
        <f t="shared" ref="O131:O194" si="13">TEXT(H131,"mm-yyyy")</f>
        <v>05-2025</v>
      </c>
      <c r="P131" t="str">
        <f t="shared" ref="P131:P194" si="14">IF(I131="","",TEXT(I131,"mm-yyyy"))</f>
        <v>05-2026</v>
      </c>
      <c r="Q131">
        <f t="shared" ref="Q131:Q194" si="15">IF(K131="Voluntary",1,0)</f>
        <v>1</v>
      </c>
      <c r="R131">
        <f t="shared" ref="R131:R194" si="16">IF(K131="Involuntary",1,0)</f>
        <v>0</v>
      </c>
      <c r="S131" t="str">
        <f t="shared" ref="S131:S194" si="17">IF(M131&lt;90,"0-90",IF(M131&lt;180,"90-180",IF(M131&lt;365,"180-365","above 1 year")))</f>
        <v>above 1 year</v>
      </c>
    </row>
    <row r="132" spans="1:19" x14ac:dyDescent="0.25">
      <c r="A132" s="6" t="s">
        <v>164</v>
      </c>
      <c r="B132" s="6" t="s">
        <v>14</v>
      </c>
      <c r="C132" s="6" t="s">
        <v>15</v>
      </c>
      <c r="D132" s="6" t="s">
        <v>16</v>
      </c>
      <c r="E132" s="6" t="s">
        <v>17</v>
      </c>
      <c r="F132" s="6" t="s">
        <v>18</v>
      </c>
      <c r="G132" s="6" t="s">
        <v>142</v>
      </c>
      <c r="H132" s="11">
        <v>46152</v>
      </c>
      <c r="I132" s="11">
        <v>46152</v>
      </c>
      <c r="J132" s="6" t="s">
        <v>20</v>
      </c>
      <c r="K132" s="6" t="s">
        <v>21</v>
      </c>
      <c r="L132" s="6" t="s">
        <v>22</v>
      </c>
      <c r="M132" s="6">
        <v>0</v>
      </c>
      <c r="N132">
        <f t="shared" si="12"/>
        <v>1</v>
      </c>
      <c r="O132" t="str">
        <f t="shared" si="13"/>
        <v>05-2026</v>
      </c>
      <c r="P132" t="str">
        <f t="shared" si="14"/>
        <v>05-2026</v>
      </c>
      <c r="Q132">
        <f t="shared" si="15"/>
        <v>1</v>
      </c>
      <c r="R132">
        <f t="shared" si="16"/>
        <v>0</v>
      </c>
      <c r="S132" t="str">
        <f t="shared" si="17"/>
        <v>0-90</v>
      </c>
    </row>
    <row r="133" spans="1:19" x14ac:dyDescent="0.25">
      <c r="A133" s="6" t="s">
        <v>165</v>
      </c>
      <c r="B133" s="6" t="s">
        <v>14</v>
      </c>
      <c r="C133" s="6" t="s">
        <v>15</v>
      </c>
      <c r="D133" s="6" t="s">
        <v>16</v>
      </c>
      <c r="E133" s="6" t="s">
        <v>17</v>
      </c>
      <c r="F133" s="6" t="s">
        <v>18</v>
      </c>
      <c r="G133" s="6" t="s">
        <v>142</v>
      </c>
      <c r="H133" s="11">
        <v>46123</v>
      </c>
      <c r="I133" s="11"/>
      <c r="J133" s="6" t="s">
        <v>27</v>
      </c>
      <c r="K133" s="6"/>
      <c r="L133" s="6"/>
      <c r="M133" s="6">
        <v>80</v>
      </c>
      <c r="N133">
        <f t="shared" si="12"/>
        <v>0</v>
      </c>
      <c r="O133" t="str">
        <f t="shared" si="13"/>
        <v>04-2026</v>
      </c>
      <c r="P133" t="str">
        <f t="shared" si="14"/>
        <v/>
      </c>
      <c r="Q133">
        <f t="shared" si="15"/>
        <v>0</v>
      </c>
      <c r="R133">
        <f t="shared" si="16"/>
        <v>0</v>
      </c>
      <c r="S133" t="str">
        <f t="shared" si="17"/>
        <v>0-90</v>
      </c>
    </row>
    <row r="134" spans="1:19" x14ac:dyDescent="0.25">
      <c r="A134" s="6" t="s">
        <v>166</v>
      </c>
      <c r="B134" s="6" t="s">
        <v>14</v>
      </c>
      <c r="C134" s="6" t="s">
        <v>15</v>
      </c>
      <c r="D134" s="6" t="s">
        <v>16</v>
      </c>
      <c r="E134" s="6" t="s">
        <v>17</v>
      </c>
      <c r="F134" s="6" t="s">
        <v>18</v>
      </c>
      <c r="G134" s="6" t="s">
        <v>142</v>
      </c>
      <c r="H134" s="11">
        <v>46123</v>
      </c>
      <c r="I134" s="11"/>
      <c r="J134" s="6" t="s">
        <v>27</v>
      </c>
      <c r="K134" s="6"/>
      <c r="L134" s="6"/>
      <c r="M134" s="6">
        <v>80</v>
      </c>
      <c r="N134">
        <f t="shared" si="12"/>
        <v>0</v>
      </c>
      <c r="O134" t="str">
        <f t="shared" si="13"/>
        <v>04-2026</v>
      </c>
      <c r="P134" t="str">
        <f t="shared" si="14"/>
        <v/>
      </c>
      <c r="Q134">
        <f t="shared" si="15"/>
        <v>0</v>
      </c>
      <c r="R134">
        <f t="shared" si="16"/>
        <v>0</v>
      </c>
      <c r="S134" t="str">
        <f t="shared" si="17"/>
        <v>0-90</v>
      </c>
    </row>
    <row r="135" spans="1:19" x14ac:dyDescent="0.25">
      <c r="A135" s="6" t="s">
        <v>167</v>
      </c>
      <c r="B135" s="6" t="s">
        <v>14</v>
      </c>
      <c r="C135" s="6" t="s">
        <v>15</v>
      </c>
      <c r="D135" s="6" t="s">
        <v>16</v>
      </c>
      <c r="E135" s="6" t="s">
        <v>17</v>
      </c>
      <c r="F135" s="6" t="s">
        <v>18</v>
      </c>
      <c r="G135" s="6" t="s">
        <v>142</v>
      </c>
      <c r="H135" s="11">
        <v>46124</v>
      </c>
      <c r="I135" s="11">
        <v>46158</v>
      </c>
      <c r="J135" s="6" t="s">
        <v>20</v>
      </c>
      <c r="K135" s="6" t="s">
        <v>24</v>
      </c>
      <c r="L135" s="6" t="s">
        <v>44</v>
      </c>
      <c r="M135" s="6">
        <v>34</v>
      </c>
      <c r="N135">
        <f t="shared" si="12"/>
        <v>1</v>
      </c>
      <c r="O135" t="str">
        <f t="shared" si="13"/>
        <v>04-2026</v>
      </c>
      <c r="P135" t="str">
        <f t="shared" si="14"/>
        <v>05-2026</v>
      </c>
      <c r="Q135">
        <f t="shared" si="15"/>
        <v>0</v>
      </c>
      <c r="R135">
        <f t="shared" si="16"/>
        <v>1</v>
      </c>
      <c r="S135" t="str">
        <f t="shared" si="17"/>
        <v>0-90</v>
      </c>
    </row>
    <row r="136" spans="1:19" x14ac:dyDescent="0.25">
      <c r="A136" s="6" t="s">
        <v>168</v>
      </c>
      <c r="B136" s="6" t="s">
        <v>14</v>
      </c>
      <c r="C136" s="6" t="s">
        <v>15</v>
      </c>
      <c r="D136" s="6" t="s">
        <v>16</v>
      </c>
      <c r="E136" s="6" t="s">
        <v>17</v>
      </c>
      <c r="F136" s="6" t="s">
        <v>18</v>
      </c>
      <c r="G136" s="6" t="s">
        <v>142</v>
      </c>
      <c r="H136" s="11">
        <v>45881</v>
      </c>
      <c r="I136" s="11">
        <v>46145</v>
      </c>
      <c r="J136" s="6" t="s">
        <v>20</v>
      </c>
      <c r="K136" s="6" t="s">
        <v>24</v>
      </c>
      <c r="L136" s="6" t="s">
        <v>55</v>
      </c>
      <c r="M136" s="6">
        <v>264</v>
      </c>
      <c r="N136">
        <f t="shared" si="12"/>
        <v>1</v>
      </c>
      <c r="O136" t="str">
        <f t="shared" si="13"/>
        <v>08-2025</v>
      </c>
      <c r="P136" t="str">
        <f t="shared" si="14"/>
        <v>05-2026</v>
      </c>
      <c r="Q136">
        <f t="shared" si="15"/>
        <v>0</v>
      </c>
      <c r="R136">
        <f t="shared" si="16"/>
        <v>1</v>
      </c>
      <c r="S136" t="str">
        <f t="shared" si="17"/>
        <v>180-365</v>
      </c>
    </row>
    <row r="137" spans="1:19" x14ac:dyDescent="0.25">
      <c r="A137" s="6" t="s">
        <v>169</v>
      </c>
      <c r="B137" s="6" t="s">
        <v>14</v>
      </c>
      <c r="C137" s="6" t="s">
        <v>15</v>
      </c>
      <c r="D137" s="6" t="s">
        <v>16</v>
      </c>
      <c r="E137" s="6" t="s">
        <v>17</v>
      </c>
      <c r="F137" s="6" t="s">
        <v>18</v>
      </c>
      <c r="G137" s="6" t="s">
        <v>142</v>
      </c>
      <c r="H137" s="11">
        <v>45700</v>
      </c>
      <c r="I137" s="11">
        <v>46145</v>
      </c>
      <c r="J137" s="6" t="s">
        <v>20</v>
      </c>
      <c r="K137" s="6" t="s">
        <v>24</v>
      </c>
      <c r="L137" s="6" t="s">
        <v>55</v>
      </c>
      <c r="M137" s="6">
        <v>445</v>
      </c>
      <c r="N137">
        <f t="shared" si="12"/>
        <v>1</v>
      </c>
      <c r="O137" t="str">
        <f t="shared" si="13"/>
        <v>02-2025</v>
      </c>
      <c r="P137" t="str">
        <f t="shared" si="14"/>
        <v>05-2026</v>
      </c>
      <c r="Q137">
        <f t="shared" si="15"/>
        <v>0</v>
      </c>
      <c r="R137">
        <f t="shared" si="16"/>
        <v>1</v>
      </c>
      <c r="S137" t="str">
        <f t="shared" si="17"/>
        <v>above 1 year</v>
      </c>
    </row>
    <row r="138" spans="1:19" x14ac:dyDescent="0.25">
      <c r="A138" s="6" t="s">
        <v>170</v>
      </c>
      <c r="B138" s="6" t="s">
        <v>14</v>
      </c>
      <c r="C138" s="6" t="s">
        <v>15</v>
      </c>
      <c r="D138" s="6" t="s">
        <v>16</v>
      </c>
      <c r="E138" s="6" t="s">
        <v>17</v>
      </c>
      <c r="F138" s="6" t="s">
        <v>18</v>
      </c>
      <c r="G138" s="6" t="s">
        <v>142</v>
      </c>
      <c r="H138" s="11">
        <v>45912</v>
      </c>
      <c r="I138" s="11"/>
      <c r="J138" s="6" t="s">
        <v>27</v>
      </c>
      <c r="K138" s="6"/>
      <c r="L138" s="6"/>
      <c r="M138" s="6">
        <v>291</v>
      </c>
      <c r="N138">
        <f t="shared" si="12"/>
        <v>0</v>
      </c>
      <c r="O138" t="str">
        <f t="shared" si="13"/>
        <v>09-2025</v>
      </c>
      <c r="P138" t="str">
        <f t="shared" si="14"/>
        <v/>
      </c>
      <c r="Q138">
        <f t="shared" si="15"/>
        <v>0</v>
      </c>
      <c r="R138">
        <f t="shared" si="16"/>
        <v>0</v>
      </c>
      <c r="S138" t="str">
        <f t="shared" si="17"/>
        <v>180-365</v>
      </c>
    </row>
    <row r="139" spans="1:19" x14ac:dyDescent="0.25">
      <c r="A139" s="6" t="s">
        <v>171</v>
      </c>
      <c r="B139" s="6" t="s">
        <v>14</v>
      </c>
      <c r="C139" s="6" t="s">
        <v>15</v>
      </c>
      <c r="D139" s="6" t="s">
        <v>16</v>
      </c>
      <c r="E139" s="6" t="s">
        <v>17</v>
      </c>
      <c r="F139" s="6" t="s">
        <v>18</v>
      </c>
      <c r="G139" s="6" t="s">
        <v>142</v>
      </c>
      <c r="H139" s="11">
        <v>45912</v>
      </c>
      <c r="I139" s="11">
        <v>46168</v>
      </c>
      <c r="J139" s="6" t="s">
        <v>20</v>
      </c>
      <c r="K139" s="6" t="s">
        <v>24</v>
      </c>
      <c r="L139" s="6" t="s">
        <v>41</v>
      </c>
      <c r="M139" s="6">
        <v>256</v>
      </c>
      <c r="N139">
        <f t="shared" si="12"/>
        <v>1</v>
      </c>
      <c r="O139" t="str">
        <f t="shared" si="13"/>
        <v>09-2025</v>
      </c>
      <c r="P139" t="str">
        <f t="shared" si="14"/>
        <v>05-2026</v>
      </c>
      <c r="Q139">
        <f t="shared" si="15"/>
        <v>0</v>
      </c>
      <c r="R139">
        <f t="shared" si="16"/>
        <v>1</v>
      </c>
      <c r="S139" t="str">
        <f t="shared" si="17"/>
        <v>180-365</v>
      </c>
    </row>
    <row r="140" spans="1:19" x14ac:dyDescent="0.25">
      <c r="A140" s="6" t="s">
        <v>172</v>
      </c>
      <c r="B140" s="6" t="s">
        <v>14</v>
      </c>
      <c r="C140" s="6" t="s">
        <v>15</v>
      </c>
      <c r="D140" s="6" t="s">
        <v>16</v>
      </c>
      <c r="E140" s="6" t="s">
        <v>17</v>
      </c>
      <c r="F140" s="6" t="s">
        <v>18</v>
      </c>
      <c r="G140" s="6" t="s">
        <v>142</v>
      </c>
      <c r="H140" s="11">
        <v>46066</v>
      </c>
      <c r="I140" s="11">
        <v>46147</v>
      </c>
      <c r="J140" s="6" t="s">
        <v>20</v>
      </c>
      <c r="K140" s="6" t="s">
        <v>24</v>
      </c>
      <c r="L140" s="6" t="s">
        <v>44</v>
      </c>
      <c r="M140" s="6">
        <v>81</v>
      </c>
      <c r="N140">
        <f t="shared" si="12"/>
        <v>1</v>
      </c>
      <c r="O140" t="str">
        <f t="shared" si="13"/>
        <v>02-2026</v>
      </c>
      <c r="P140" t="str">
        <f t="shared" si="14"/>
        <v>05-2026</v>
      </c>
      <c r="Q140">
        <f t="shared" si="15"/>
        <v>0</v>
      </c>
      <c r="R140">
        <f t="shared" si="16"/>
        <v>1</v>
      </c>
      <c r="S140" t="str">
        <f t="shared" si="17"/>
        <v>0-90</v>
      </c>
    </row>
    <row r="141" spans="1:19" x14ac:dyDescent="0.25">
      <c r="A141" s="6" t="s">
        <v>173</v>
      </c>
      <c r="B141" s="6" t="s">
        <v>14</v>
      </c>
      <c r="C141" s="6" t="s">
        <v>15</v>
      </c>
      <c r="D141" s="6" t="s">
        <v>16</v>
      </c>
      <c r="E141" s="6" t="s">
        <v>17</v>
      </c>
      <c r="F141" s="6" t="s">
        <v>18</v>
      </c>
      <c r="G141" s="6" t="s">
        <v>142</v>
      </c>
      <c r="H141" s="11">
        <v>46126</v>
      </c>
      <c r="I141" s="11"/>
      <c r="J141" s="6" t="s">
        <v>27</v>
      </c>
      <c r="K141" s="6"/>
      <c r="L141" s="6"/>
      <c r="M141" s="6">
        <v>77</v>
      </c>
      <c r="N141">
        <f t="shared" si="12"/>
        <v>0</v>
      </c>
      <c r="O141" t="str">
        <f t="shared" si="13"/>
        <v>04-2026</v>
      </c>
      <c r="P141" t="str">
        <f t="shared" si="14"/>
        <v/>
      </c>
      <c r="Q141">
        <f t="shared" si="15"/>
        <v>0</v>
      </c>
      <c r="R141">
        <f t="shared" si="16"/>
        <v>0</v>
      </c>
      <c r="S141" t="str">
        <f t="shared" si="17"/>
        <v>0-90</v>
      </c>
    </row>
    <row r="142" spans="1:19" x14ac:dyDescent="0.25">
      <c r="A142" s="6" t="s">
        <v>174</v>
      </c>
      <c r="B142" s="6" t="s">
        <v>14</v>
      </c>
      <c r="C142" s="6" t="s">
        <v>15</v>
      </c>
      <c r="D142" s="6" t="s">
        <v>16</v>
      </c>
      <c r="E142" s="6" t="s">
        <v>17</v>
      </c>
      <c r="F142" s="6" t="s">
        <v>18</v>
      </c>
      <c r="G142" s="6" t="s">
        <v>142</v>
      </c>
      <c r="H142" s="11">
        <v>45883</v>
      </c>
      <c r="I142" s="11">
        <v>46161</v>
      </c>
      <c r="J142" s="6" t="s">
        <v>20</v>
      </c>
      <c r="K142" s="6" t="s">
        <v>24</v>
      </c>
      <c r="L142" s="6" t="s">
        <v>25</v>
      </c>
      <c r="M142" s="6">
        <v>278</v>
      </c>
      <c r="N142">
        <f t="shared" si="12"/>
        <v>1</v>
      </c>
      <c r="O142" t="str">
        <f t="shared" si="13"/>
        <v>08-2025</v>
      </c>
      <c r="P142" t="str">
        <f t="shared" si="14"/>
        <v>05-2026</v>
      </c>
      <c r="Q142">
        <f t="shared" si="15"/>
        <v>0</v>
      </c>
      <c r="R142">
        <f t="shared" si="16"/>
        <v>1</v>
      </c>
      <c r="S142" t="str">
        <f t="shared" si="17"/>
        <v>180-365</v>
      </c>
    </row>
    <row r="143" spans="1:19" x14ac:dyDescent="0.25">
      <c r="A143" s="6" t="s">
        <v>175</v>
      </c>
      <c r="B143" s="6" t="s">
        <v>14</v>
      </c>
      <c r="C143" s="6" t="s">
        <v>15</v>
      </c>
      <c r="D143" s="6" t="s">
        <v>16</v>
      </c>
      <c r="E143" s="6" t="s">
        <v>17</v>
      </c>
      <c r="F143" s="6" t="s">
        <v>18</v>
      </c>
      <c r="G143" s="6" t="s">
        <v>142</v>
      </c>
      <c r="H143" s="11">
        <v>46067</v>
      </c>
      <c r="I143" s="11"/>
      <c r="J143" s="6" t="s">
        <v>27</v>
      </c>
      <c r="K143" s="6"/>
      <c r="L143" s="6"/>
      <c r="M143" s="6">
        <v>136</v>
      </c>
      <c r="N143">
        <f t="shared" si="12"/>
        <v>0</v>
      </c>
      <c r="O143" t="str">
        <f t="shared" si="13"/>
        <v>02-2026</v>
      </c>
      <c r="P143" t="str">
        <f t="shared" si="14"/>
        <v/>
      </c>
      <c r="Q143">
        <f t="shared" si="15"/>
        <v>0</v>
      </c>
      <c r="R143">
        <f t="shared" si="16"/>
        <v>0</v>
      </c>
      <c r="S143" t="str">
        <f t="shared" si="17"/>
        <v>90-180</v>
      </c>
    </row>
    <row r="144" spans="1:19" x14ac:dyDescent="0.25">
      <c r="A144" s="6" t="s">
        <v>176</v>
      </c>
      <c r="B144" s="6" t="s">
        <v>14</v>
      </c>
      <c r="C144" s="6" t="s">
        <v>15</v>
      </c>
      <c r="D144" s="6" t="s">
        <v>16</v>
      </c>
      <c r="E144" s="6" t="s">
        <v>17</v>
      </c>
      <c r="F144" s="6" t="s">
        <v>18</v>
      </c>
      <c r="G144" s="6" t="s">
        <v>142</v>
      </c>
      <c r="H144" s="11">
        <v>46187</v>
      </c>
      <c r="I144" s="11"/>
      <c r="J144" s="6" t="s">
        <v>27</v>
      </c>
      <c r="K144" s="6"/>
      <c r="L144" s="6"/>
      <c r="M144" s="6">
        <v>16</v>
      </c>
      <c r="N144">
        <f t="shared" si="12"/>
        <v>0</v>
      </c>
      <c r="O144" t="str">
        <f t="shared" si="13"/>
        <v>06-2026</v>
      </c>
      <c r="P144" t="str">
        <f t="shared" si="14"/>
        <v/>
      </c>
      <c r="Q144">
        <f t="shared" si="15"/>
        <v>0</v>
      </c>
      <c r="R144">
        <f t="shared" si="16"/>
        <v>0</v>
      </c>
      <c r="S144" t="str">
        <f t="shared" si="17"/>
        <v>0-90</v>
      </c>
    </row>
    <row r="145" spans="1:19" x14ac:dyDescent="0.25">
      <c r="A145" s="6" t="s">
        <v>177</v>
      </c>
      <c r="B145" s="6" t="s">
        <v>14</v>
      </c>
      <c r="C145" s="6" t="s">
        <v>15</v>
      </c>
      <c r="D145" s="6" t="s">
        <v>16</v>
      </c>
      <c r="E145" s="6" t="s">
        <v>17</v>
      </c>
      <c r="F145" s="6" t="s">
        <v>18</v>
      </c>
      <c r="G145" s="6" t="s">
        <v>142</v>
      </c>
      <c r="H145" s="11">
        <v>46127</v>
      </c>
      <c r="I145" s="11">
        <v>46141</v>
      </c>
      <c r="J145" s="6" t="s">
        <v>20</v>
      </c>
      <c r="K145" s="6" t="s">
        <v>21</v>
      </c>
      <c r="L145" s="6" t="s">
        <v>30</v>
      </c>
      <c r="M145" s="6">
        <v>14</v>
      </c>
      <c r="N145">
        <f t="shared" si="12"/>
        <v>1</v>
      </c>
      <c r="O145" t="str">
        <f t="shared" si="13"/>
        <v>04-2026</v>
      </c>
      <c r="P145" t="str">
        <f t="shared" si="14"/>
        <v>04-2026</v>
      </c>
      <c r="Q145">
        <f t="shared" si="15"/>
        <v>1</v>
      </c>
      <c r="R145">
        <f t="shared" si="16"/>
        <v>0</v>
      </c>
      <c r="S145" t="str">
        <f t="shared" si="17"/>
        <v>0-90</v>
      </c>
    </row>
    <row r="146" spans="1:19" x14ac:dyDescent="0.25">
      <c r="A146" s="6" t="s">
        <v>178</v>
      </c>
      <c r="B146" s="6" t="s">
        <v>14</v>
      </c>
      <c r="C146" s="6" t="s">
        <v>15</v>
      </c>
      <c r="D146" s="6" t="s">
        <v>16</v>
      </c>
      <c r="E146" s="6" t="s">
        <v>17</v>
      </c>
      <c r="F146" s="6" t="s">
        <v>18</v>
      </c>
      <c r="G146" s="6" t="s">
        <v>142</v>
      </c>
      <c r="H146" s="11">
        <v>46127</v>
      </c>
      <c r="I146" s="11">
        <v>46173</v>
      </c>
      <c r="J146" s="6" t="s">
        <v>20</v>
      </c>
      <c r="K146" s="6" t="s">
        <v>24</v>
      </c>
      <c r="L146" s="6" t="s">
        <v>44</v>
      </c>
      <c r="M146" s="6">
        <v>46</v>
      </c>
      <c r="N146">
        <f t="shared" si="12"/>
        <v>1</v>
      </c>
      <c r="O146" t="str">
        <f t="shared" si="13"/>
        <v>04-2026</v>
      </c>
      <c r="P146" t="str">
        <f t="shared" si="14"/>
        <v>05-2026</v>
      </c>
      <c r="Q146">
        <f t="shared" si="15"/>
        <v>0</v>
      </c>
      <c r="R146">
        <f t="shared" si="16"/>
        <v>1</v>
      </c>
      <c r="S146" t="str">
        <f t="shared" si="17"/>
        <v>0-90</v>
      </c>
    </row>
    <row r="147" spans="1:19" x14ac:dyDescent="0.25">
      <c r="A147" s="6" t="s">
        <v>179</v>
      </c>
      <c r="B147" s="6" t="s">
        <v>14</v>
      </c>
      <c r="C147" s="6" t="s">
        <v>15</v>
      </c>
      <c r="D147" s="6" t="s">
        <v>16</v>
      </c>
      <c r="E147" s="6" t="s">
        <v>17</v>
      </c>
      <c r="F147" s="6" t="s">
        <v>18</v>
      </c>
      <c r="G147" s="6" t="s">
        <v>142</v>
      </c>
      <c r="H147" s="11">
        <v>46127</v>
      </c>
      <c r="I147" s="11">
        <v>46173</v>
      </c>
      <c r="J147" s="6" t="s">
        <v>20</v>
      </c>
      <c r="K147" s="6" t="s">
        <v>21</v>
      </c>
      <c r="L147" s="6" t="s">
        <v>33</v>
      </c>
      <c r="M147" s="6">
        <v>46</v>
      </c>
      <c r="N147">
        <f t="shared" si="12"/>
        <v>1</v>
      </c>
      <c r="O147" t="str">
        <f t="shared" si="13"/>
        <v>04-2026</v>
      </c>
      <c r="P147" t="str">
        <f t="shared" si="14"/>
        <v>05-2026</v>
      </c>
      <c r="Q147">
        <f t="shared" si="15"/>
        <v>1</v>
      </c>
      <c r="R147">
        <f t="shared" si="16"/>
        <v>0</v>
      </c>
      <c r="S147" t="str">
        <f t="shared" si="17"/>
        <v>0-90</v>
      </c>
    </row>
    <row r="148" spans="1:19" x14ac:dyDescent="0.25">
      <c r="A148" s="6" t="s">
        <v>180</v>
      </c>
      <c r="B148" s="6" t="s">
        <v>14</v>
      </c>
      <c r="C148" s="6" t="s">
        <v>15</v>
      </c>
      <c r="D148" s="6" t="s">
        <v>16</v>
      </c>
      <c r="E148" s="6" t="s">
        <v>17</v>
      </c>
      <c r="F148" s="6" t="s">
        <v>18</v>
      </c>
      <c r="G148" s="6" t="s">
        <v>142</v>
      </c>
      <c r="H148" s="11">
        <v>46068</v>
      </c>
      <c r="I148" s="11">
        <v>46138</v>
      </c>
      <c r="J148" s="6" t="s">
        <v>20</v>
      </c>
      <c r="K148" s="6" t="s">
        <v>21</v>
      </c>
      <c r="L148" s="6" t="s">
        <v>30</v>
      </c>
      <c r="M148" s="6">
        <v>70</v>
      </c>
      <c r="N148">
        <f t="shared" si="12"/>
        <v>1</v>
      </c>
      <c r="O148" t="str">
        <f t="shared" si="13"/>
        <v>02-2026</v>
      </c>
      <c r="P148" t="str">
        <f t="shared" si="14"/>
        <v>04-2026</v>
      </c>
      <c r="Q148">
        <f t="shared" si="15"/>
        <v>1</v>
      </c>
      <c r="R148">
        <f t="shared" si="16"/>
        <v>0</v>
      </c>
      <c r="S148" t="str">
        <f t="shared" si="17"/>
        <v>0-90</v>
      </c>
    </row>
    <row r="149" spans="1:19" x14ac:dyDescent="0.25">
      <c r="A149" s="6" t="s">
        <v>181</v>
      </c>
      <c r="B149" s="6" t="s">
        <v>14</v>
      </c>
      <c r="C149" s="6" t="s">
        <v>15</v>
      </c>
      <c r="D149" s="6" t="s">
        <v>16</v>
      </c>
      <c r="E149" s="6" t="s">
        <v>17</v>
      </c>
      <c r="F149" s="6" t="s">
        <v>18</v>
      </c>
      <c r="G149" s="6" t="s">
        <v>142</v>
      </c>
      <c r="H149" s="11">
        <v>46038</v>
      </c>
      <c r="I149" s="11">
        <v>46158</v>
      </c>
      <c r="J149" s="6" t="s">
        <v>20</v>
      </c>
      <c r="K149" s="6" t="s">
        <v>24</v>
      </c>
      <c r="L149" s="6" t="s">
        <v>25</v>
      </c>
      <c r="M149" s="6">
        <v>120</v>
      </c>
      <c r="N149">
        <f t="shared" si="12"/>
        <v>1</v>
      </c>
      <c r="O149" t="str">
        <f t="shared" si="13"/>
        <v>01-2026</v>
      </c>
      <c r="P149" t="str">
        <f t="shared" si="14"/>
        <v>05-2026</v>
      </c>
      <c r="Q149">
        <f t="shared" si="15"/>
        <v>0</v>
      </c>
      <c r="R149">
        <f t="shared" si="16"/>
        <v>1</v>
      </c>
      <c r="S149" t="str">
        <f t="shared" si="17"/>
        <v>90-180</v>
      </c>
    </row>
    <row r="150" spans="1:19" x14ac:dyDescent="0.25">
      <c r="A150" s="6" t="s">
        <v>182</v>
      </c>
      <c r="B150" s="6" t="s">
        <v>14</v>
      </c>
      <c r="C150" s="6" t="s">
        <v>15</v>
      </c>
      <c r="D150" s="6" t="s">
        <v>16</v>
      </c>
      <c r="E150" s="6" t="s">
        <v>17</v>
      </c>
      <c r="F150" s="6" t="s">
        <v>18</v>
      </c>
      <c r="G150" s="6" t="s">
        <v>142</v>
      </c>
      <c r="H150" s="11">
        <v>45855</v>
      </c>
      <c r="I150" s="11">
        <v>46140</v>
      </c>
      <c r="J150" s="6" t="s">
        <v>20</v>
      </c>
      <c r="K150" s="6" t="s">
        <v>21</v>
      </c>
      <c r="L150" s="6" t="s">
        <v>22</v>
      </c>
      <c r="M150" s="6">
        <v>285</v>
      </c>
      <c r="N150">
        <f t="shared" si="12"/>
        <v>1</v>
      </c>
      <c r="O150" t="str">
        <f t="shared" si="13"/>
        <v>07-2025</v>
      </c>
      <c r="P150" t="str">
        <f t="shared" si="14"/>
        <v>04-2026</v>
      </c>
      <c r="Q150">
        <f t="shared" si="15"/>
        <v>1</v>
      </c>
      <c r="R150">
        <f t="shared" si="16"/>
        <v>0</v>
      </c>
      <c r="S150" t="str">
        <f t="shared" si="17"/>
        <v>180-365</v>
      </c>
    </row>
    <row r="151" spans="1:19" x14ac:dyDescent="0.25">
      <c r="A151" s="6" t="s">
        <v>183</v>
      </c>
      <c r="B151" s="6" t="s">
        <v>14</v>
      </c>
      <c r="C151" s="6" t="s">
        <v>15</v>
      </c>
      <c r="D151" s="6" t="s">
        <v>16</v>
      </c>
      <c r="E151" s="6" t="s">
        <v>17</v>
      </c>
      <c r="F151" s="6" t="s">
        <v>18</v>
      </c>
      <c r="G151" s="6" t="s">
        <v>142</v>
      </c>
      <c r="H151" s="11">
        <v>45794</v>
      </c>
      <c r="I151" s="11">
        <v>46169</v>
      </c>
      <c r="J151" s="6" t="s">
        <v>20</v>
      </c>
      <c r="K151" s="6" t="s">
        <v>24</v>
      </c>
      <c r="L151" s="6" t="s">
        <v>55</v>
      </c>
      <c r="M151" s="6">
        <v>375</v>
      </c>
      <c r="N151">
        <f t="shared" si="12"/>
        <v>1</v>
      </c>
      <c r="O151" t="str">
        <f t="shared" si="13"/>
        <v>05-2025</v>
      </c>
      <c r="P151" t="str">
        <f t="shared" si="14"/>
        <v>05-2026</v>
      </c>
      <c r="Q151">
        <f t="shared" si="15"/>
        <v>0</v>
      </c>
      <c r="R151">
        <f t="shared" si="16"/>
        <v>1</v>
      </c>
      <c r="S151" t="str">
        <f t="shared" si="17"/>
        <v>above 1 year</v>
      </c>
    </row>
    <row r="152" spans="1:19" x14ac:dyDescent="0.25">
      <c r="A152" s="6" t="s">
        <v>184</v>
      </c>
      <c r="B152" s="6" t="s">
        <v>14</v>
      </c>
      <c r="C152" s="6" t="s">
        <v>15</v>
      </c>
      <c r="D152" s="6" t="s">
        <v>16</v>
      </c>
      <c r="E152" s="6" t="s">
        <v>17</v>
      </c>
      <c r="F152" s="6" t="s">
        <v>18</v>
      </c>
      <c r="G152" s="6" t="s">
        <v>142</v>
      </c>
      <c r="H152" s="11">
        <v>46130</v>
      </c>
      <c r="I152" s="11"/>
      <c r="J152" s="6" t="s">
        <v>27</v>
      </c>
      <c r="K152" s="6"/>
      <c r="L152" s="6"/>
      <c r="M152" s="6">
        <v>73</v>
      </c>
      <c r="N152">
        <f t="shared" si="12"/>
        <v>0</v>
      </c>
      <c r="O152" t="str">
        <f t="shared" si="13"/>
        <v>04-2026</v>
      </c>
      <c r="P152" t="str">
        <f t="shared" si="14"/>
        <v/>
      </c>
      <c r="Q152">
        <f t="shared" si="15"/>
        <v>0</v>
      </c>
      <c r="R152">
        <f t="shared" si="16"/>
        <v>0</v>
      </c>
      <c r="S152" t="str">
        <f t="shared" si="17"/>
        <v>0-90</v>
      </c>
    </row>
    <row r="153" spans="1:19" x14ac:dyDescent="0.25">
      <c r="A153" s="6" t="s">
        <v>185</v>
      </c>
      <c r="B153" s="6" t="s">
        <v>14</v>
      </c>
      <c r="C153" s="6" t="s">
        <v>15</v>
      </c>
      <c r="D153" s="6" t="s">
        <v>16</v>
      </c>
      <c r="E153" s="6" t="s">
        <v>17</v>
      </c>
      <c r="F153" s="6" t="s">
        <v>18</v>
      </c>
      <c r="G153" s="6" t="s">
        <v>142</v>
      </c>
      <c r="H153" s="11">
        <v>46099</v>
      </c>
      <c r="I153" s="11"/>
      <c r="J153" s="6" t="s">
        <v>27</v>
      </c>
      <c r="K153" s="6"/>
      <c r="L153" s="6"/>
      <c r="M153" s="6">
        <v>104</v>
      </c>
      <c r="N153">
        <f t="shared" si="12"/>
        <v>0</v>
      </c>
      <c r="O153" t="str">
        <f t="shared" si="13"/>
        <v>03-2026</v>
      </c>
      <c r="P153" t="str">
        <f t="shared" si="14"/>
        <v/>
      </c>
      <c r="Q153">
        <f t="shared" si="15"/>
        <v>0</v>
      </c>
      <c r="R153">
        <f t="shared" si="16"/>
        <v>0</v>
      </c>
      <c r="S153" t="str">
        <f t="shared" si="17"/>
        <v>90-180</v>
      </c>
    </row>
    <row r="154" spans="1:19" x14ac:dyDescent="0.25">
      <c r="A154" s="6" t="s">
        <v>186</v>
      </c>
      <c r="B154" s="6" t="s">
        <v>14</v>
      </c>
      <c r="C154" s="6" t="s">
        <v>15</v>
      </c>
      <c r="D154" s="6" t="s">
        <v>16</v>
      </c>
      <c r="E154" s="6" t="s">
        <v>17</v>
      </c>
      <c r="F154" s="6" t="s">
        <v>18</v>
      </c>
      <c r="G154" s="6" t="s">
        <v>142</v>
      </c>
      <c r="H154" s="11">
        <v>45676</v>
      </c>
      <c r="I154" s="11"/>
      <c r="J154" s="6" t="s">
        <v>27</v>
      </c>
      <c r="K154" s="6"/>
      <c r="L154" s="6"/>
      <c r="M154" s="6">
        <v>527</v>
      </c>
      <c r="N154">
        <f t="shared" si="12"/>
        <v>0</v>
      </c>
      <c r="O154" t="str">
        <f t="shared" si="13"/>
        <v>01-2025</v>
      </c>
      <c r="P154" t="str">
        <f t="shared" si="14"/>
        <v/>
      </c>
      <c r="Q154">
        <f t="shared" si="15"/>
        <v>0</v>
      </c>
      <c r="R154">
        <f t="shared" si="16"/>
        <v>0</v>
      </c>
      <c r="S154" t="str">
        <f t="shared" si="17"/>
        <v>above 1 year</v>
      </c>
    </row>
    <row r="155" spans="1:19" x14ac:dyDescent="0.25">
      <c r="A155" s="6" t="s">
        <v>187</v>
      </c>
      <c r="B155" s="6" t="s">
        <v>14</v>
      </c>
      <c r="C155" s="6" t="s">
        <v>15</v>
      </c>
      <c r="D155" s="6" t="s">
        <v>16</v>
      </c>
      <c r="E155" s="6" t="s">
        <v>17</v>
      </c>
      <c r="F155" s="6" t="s">
        <v>18</v>
      </c>
      <c r="G155" s="6" t="s">
        <v>142</v>
      </c>
      <c r="H155" s="11">
        <v>45827</v>
      </c>
      <c r="I155" s="11"/>
      <c r="J155" s="6" t="s">
        <v>27</v>
      </c>
      <c r="K155" s="6"/>
      <c r="L155" s="6"/>
      <c r="M155" s="6">
        <v>376</v>
      </c>
      <c r="N155">
        <f t="shared" si="12"/>
        <v>0</v>
      </c>
      <c r="O155" t="str">
        <f t="shared" si="13"/>
        <v>06-2025</v>
      </c>
      <c r="P155" t="str">
        <f t="shared" si="14"/>
        <v/>
      </c>
      <c r="Q155">
        <f t="shared" si="15"/>
        <v>0</v>
      </c>
      <c r="R155">
        <f t="shared" si="16"/>
        <v>0</v>
      </c>
      <c r="S155" t="str">
        <f t="shared" si="17"/>
        <v>above 1 year</v>
      </c>
    </row>
    <row r="156" spans="1:19" x14ac:dyDescent="0.25">
      <c r="A156" s="6" t="s">
        <v>188</v>
      </c>
      <c r="B156" s="6" t="s">
        <v>14</v>
      </c>
      <c r="C156" s="6" t="s">
        <v>15</v>
      </c>
      <c r="D156" s="6" t="s">
        <v>16</v>
      </c>
      <c r="E156" s="6" t="s">
        <v>17</v>
      </c>
      <c r="F156" s="6" t="s">
        <v>18</v>
      </c>
      <c r="G156" s="6" t="s">
        <v>142</v>
      </c>
      <c r="H156" s="11">
        <v>46132</v>
      </c>
      <c r="I156" s="11"/>
      <c r="J156" s="6" t="s">
        <v>27</v>
      </c>
      <c r="K156" s="6"/>
      <c r="L156" s="6"/>
      <c r="M156" s="6">
        <v>71</v>
      </c>
      <c r="N156">
        <f t="shared" si="12"/>
        <v>0</v>
      </c>
      <c r="O156" t="str">
        <f t="shared" si="13"/>
        <v>04-2026</v>
      </c>
      <c r="P156" t="str">
        <f t="shared" si="14"/>
        <v/>
      </c>
      <c r="Q156">
        <f t="shared" si="15"/>
        <v>0</v>
      </c>
      <c r="R156">
        <f t="shared" si="16"/>
        <v>0</v>
      </c>
      <c r="S156" t="str">
        <f t="shared" si="17"/>
        <v>0-90</v>
      </c>
    </row>
    <row r="157" spans="1:19" x14ac:dyDescent="0.25">
      <c r="A157" s="6" t="s">
        <v>189</v>
      </c>
      <c r="B157" s="6" t="s">
        <v>14</v>
      </c>
      <c r="C157" s="6" t="s">
        <v>15</v>
      </c>
      <c r="D157" s="6" t="s">
        <v>16</v>
      </c>
      <c r="E157" s="6" t="s">
        <v>17</v>
      </c>
      <c r="F157" s="6" t="s">
        <v>18</v>
      </c>
      <c r="G157" s="6" t="s">
        <v>142</v>
      </c>
      <c r="H157" s="11">
        <v>46101</v>
      </c>
      <c r="I157" s="11"/>
      <c r="J157" s="6" t="s">
        <v>27</v>
      </c>
      <c r="K157" s="6"/>
      <c r="L157" s="6"/>
      <c r="M157" s="6">
        <v>102</v>
      </c>
      <c r="N157">
        <f t="shared" si="12"/>
        <v>0</v>
      </c>
      <c r="O157" t="str">
        <f t="shared" si="13"/>
        <v>03-2026</v>
      </c>
      <c r="P157" t="str">
        <f t="shared" si="14"/>
        <v/>
      </c>
      <c r="Q157">
        <f t="shared" si="15"/>
        <v>0</v>
      </c>
      <c r="R157">
        <f t="shared" si="16"/>
        <v>0</v>
      </c>
      <c r="S157" t="str">
        <f t="shared" si="17"/>
        <v>90-180</v>
      </c>
    </row>
    <row r="158" spans="1:19" x14ac:dyDescent="0.25">
      <c r="A158" s="6" t="s">
        <v>190</v>
      </c>
      <c r="B158" s="6" t="s">
        <v>14</v>
      </c>
      <c r="C158" s="6" t="s">
        <v>15</v>
      </c>
      <c r="D158" s="6" t="s">
        <v>16</v>
      </c>
      <c r="E158" s="6" t="s">
        <v>17</v>
      </c>
      <c r="F158" s="6" t="s">
        <v>18</v>
      </c>
      <c r="G158" s="6" t="s">
        <v>142</v>
      </c>
      <c r="H158" s="11">
        <v>45797</v>
      </c>
      <c r="I158" s="11">
        <v>46130</v>
      </c>
      <c r="J158" s="6" t="s">
        <v>20</v>
      </c>
      <c r="K158" s="6" t="s">
        <v>24</v>
      </c>
      <c r="L158" s="6" t="s">
        <v>44</v>
      </c>
      <c r="M158" s="6">
        <v>333</v>
      </c>
      <c r="N158">
        <f t="shared" si="12"/>
        <v>1</v>
      </c>
      <c r="O158" t="str">
        <f t="shared" si="13"/>
        <v>05-2025</v>
      </c>
      <c r="P158" t="str">
        <f t="shared" si="14"/>
        <v>04-2026</v>
      </c>
      <c r="Q158">
        <f t="shared" si="15"/>
        <v>0</v>
      </c>
      <c r="R158">
        <f t="shared" si="16"/>
        <v>1</v>
      </c>
      <c r="S158" t="str">
        <f t="shared" si="17"/>
        <v>180-365</v>
      </c>
    </row>
    <row r="159" spans="1:19" x14ac:dyDescent="0.25">
      <c r="A159" s="6" t="s">
        <v>191</v>
      </c>
      <c r="B159" s="6" t="s">
        <v>14</v>
      </c>
      <c r="C159" s="6" t="s">
        <v>15</v>
      </c>
      <c r="D159" s="6" t="s">
        <v>16</v>
      </c>
      <c r="E159" s="6" t="s">
        <v>17</v>
      </c>
      <c r="F159" s="6" t="s">
        <v>18</v>
      </c>
      <c r="G159" s="6" t="s">
        <v>142</v>
      </c>
      <c r="H159" s="11">
        <v>46012</v>
      </c>
      <c r="I159" s="11"/>
      <c r="J159" s="6" t="s">
        <v>27</v>
      </c>
      <c r="K159" s="6"/>
      <c r="L159" s="6"/>
      <c r="M159" s="6">
        <v>191</v>
      </c>
      <c r="N159">
        <f t="shared" si="12"/>
        <v>0</v>
      </c>
      <c r="O159" t="str">
        <f t="shared" si="13"/>
        <v>12-2025</v>
      </c>
      <c r="P159" t="str">
        <f t="shared" si="14"/>
        <v/>
      </c>
      <c r="Q159">
        <f t="shared" si="15"/>
        <v>0</v>
      </c>
      <c r="R159">
        <f t="shared" si="16"/>
        <v>0</v>
      </c>
      <c r="S159" t="str">
        <f t="shared" si="17"/>
        <v>180-365</v>
      </c>
    </row>
    <row r="160" spans="1:19" x14ac:dyDescent="0.25">
      <c r="A160" s="6" t="s">
        <v>192</v>
      </c>
      <c r="B160" s="6" t="s">
        <v>14</v>
      </c>
      <c r="C160" s="6" t="s">
        <v>15</v>
      </c>
      <c r="D160" s="6" t="s">
        <v>16</v>
      </c>
      <c r="E160" s="6" t="s">
        <v>17</v>
      </c>
      <c r="F160" s="6" t="s">
        <v>18</v>
      </c>
      <c r="G160" s="6" t="s">
        <v>142</v>
      </c>
      <c r="H160" s="11">
        <v>46043</v>
      </c>
      <c r="I160" s="11">
        <v>46163</v>
      </c>
      <c r="J160" s="6" t="s">
        <v>20</v>
      </c>
      <c r="K160" s="6" t="s">
        <v>24</v>
      </c>
      <c r="L160" s="6" t="s">
        <v>44</v>
      </c>
      <c r="M160" s="6">
        <v>120</v>
      </c>
      <c r="N160">
        <f t="shared" si="12"/>
        <v>1</v>
      </c>
      <c r="O160" t="str">
        <f t="shared" si="13"/>
        <v>01-2026</v>
      </c>
      <c r="P160" t="str">
        <f t="shared" si="14"/>
        <v>05-2026</v>
      </c>
      <c r="Q160">
        <f t="shared" si="15"/>
        <v>0</v>
      </c>
      <c r="R160">
        <f t="shared" si="16"/>
        <v>1</v>
      </c>
      <c r="S160" t="str">
        <f t="shared" si="17"/>
        <v>90-180</v>
      </c>
    </row>
    <row r="161" spans="1:19" x14ac:dyDescent="0.25">
      <c r="A161" s="6" t="s">
        <v>193</v>
      </c>
      <c r="B161" s="6" t="s">
        <v>14</v>
      </c>
      <c r="C161" s="6" t="s">
        <v>15</v>
      </c>
      <c r="D161" s="6" t="s">
        <v>16</v>
      </c>
      <c r="E161" s="6" t="s">
        <v>17</v>
      </c>
      <c r="F161" s="6" t="s">
        <v>18</v>
      </c>
      <c r="G161" s="6" t="s">
        <v>142</v>
      </c>
      <c r="H161" s="11">
        <v>46134</v>
      </c>
      <c r="I161" s="11">
        <v>46148</v>
      </c>
      <c r="J161" s="6" t="s">
        <v>20</v>
      </c>
      <c r="K161" s="6" t="s">
        <v>24</v>
      </c>
      <c r="L161" s="6" t="s">
        <v>41</v>
      </c>
      <c r="M161" s="6">
        <v>14</v>
      </c>
      <c r="N161">
        <f t="shared" si="12"/>
        <v>1</v>
      </c>
      <c r="O161" t="str">
        <f t="shared" si="13"/>
        <v>04-2026</v>
      </c>
      <c r="P161" t="str">
        <f t="shared" si="14"/>
        <v>05-2026</v>
      </c>
      <c r="Q161">
        <f t="shared" si="15"/>
        <v>0</v>
      </c>
      <c r="R161">
        <f t="shared" si="16"/>
        <v>1</v>
      </c>
      <c r="S161" t="str">
        <f t="shared" si="17"/>
        <v>0-90</v>
      </c>
    </row>
    <row r="162" spans="1:19" x14ac:dyDescent="0.25">
      <c r="A162" s="6" t="s">
        <v>194</v>
      </c>
      <c r="B162" s="6" t="s">
        <v>14</v>
      </c>
      <c r="C162" s="6" t="s">
        <v>15</v>
      </c>
      <c r="D162" s="6" t="s">
        <v>16</v>
      </c>
      <c r="E162" s="6" t="s">
        <v>17</v>
      </c>
      <c r="F162" s="6" t="s">
        <v>18</v>
      </c>
      <c r="G162" s="6" t="s">
        <v>142</v>
      </c>
      <c r="H162" s="11">
        <v>46135</v>
      </c>
      <c r="I162" s="11"/>
      <c r="J162" s="6" t="s">
        <v>27</v>
      </c>
      <c r="K162" s="6"/>
      <c r="L162" s="6"/>
      <c r="M162" s="6">
        <v>68</v>
      </c>
      <c r="N162">
        <f t="shared" si="12"/>
        <v>0</v>
      </c>
      <c r="O162" t="str">
        <f t="shared" si="13"/>
        <v>04-2026</v>
      </c>
      <c r="P162" t="str">
        <f t="shared" si="14"/>
        <v/>
      </c>
      <c r="Q162">
        <f t="shared" si="15"/>
        <v>0</v>
      </c>
      <c r="R162">
        <f t="shared" si="16"/>
        <v>0</v>
      </c>
      <c r="S162" t="str">
        <f t="shared" si="17"/>
        <v>0-90</v>
      </c>
    </row>
    <row r="163" spans="1:19" x14ac:dyDescent="0.25">
      <c r="A163" s="6" t="s">
        <v>195</v>
      </c>
      <c r="B163" s="6" t="s">
        <v>14</v>
      </c>
      <c r="C163" s="6" t="s">
        <v>15</v>
      </c>
      <c r="D163" s="6" t="s">
        <v>16</v>
      </c>
      <c r="E163" s="6" t="s">
        <v>17</v>
      </c>
      <c r="F163" s="6" t="s">
        <v>18</v>
      </c>
      <c r="G163" s="6" t="s">
        <v>142</v>
      </c>
      <c r="H163" s="11">
        <v>46135</v>
      </c>
      <c r="I163" s="11"/>
      <c r="J163" s="6" t="s">
        <v>27</v>
      </c>
      <c r="K163" s="6"/>
      <c r="L163" s="6"/>
      <c r="M163" s="6">
        <v>68</v>
      </c>
      <c r="N163">
        <f t="shared" si="12"/>
        <v>0</v>
      </c>
      <c r="O163" t="str">
        <f t="shared" si="13"/>
        <v>04-2026</v>
      </c>
      <c r="P163" t="str">
        <f t="shared" si="14"/>
        <v/>
      </c>
      <c r="Q163">
        <f t="shared" si="15"/>
        <v>0</v>
      </c>
      <c r="R163">
        <f t="shared" si="16"/>
        <v>0</v>
      </c>
      <c r="S163" t="str">
        <f t="shared" si="17"/>
        <v>0-90</v>
      </c>
    </row>
    <row r="164" spans="1:19" x14ac:dyDescent="0.25">
      <c r="A164" s="6" t="s">
        <v>196</v>
      </c>
      <c r="B164" s="6" t="s">
        <v>14</v>
      </c>
      <c r="C164" s="6" t="s">
        <v>15</v>
      </c>
      <c r="D164" s="6" t="s">
        <v>16</v>
      </c>
      <c r="E164" s="6" t="s">
        <v>17</v>
      </c>
      <c r="F164" s="6" t="s">
        <v>18</v>
      </c>
      <c r="G164" s="6" t="s">
        <v>142</v>
      </c>
      <c r="H164" s="11">
        <v>45831</v>
      </c>
      <c r="I164" s="11">
        <v>46151</v>
      </c>
      <c r="J164" s="6" t="s">
        <v>20</v>
      </c>
      <c r="K164" s="6" t="s">
        <v>24</v>
      </c>
      <c r="L164" s="6" t="s">
        <v>25</v>
      </c>
      <c r="M164" s="6">
        <v>320</v>
      </c>
      <c r="N164">
        <f t="shared" si="12"/>
        <v>1</v>
      </c>
      <c r="O164" t="str">
        <f t="shared" si="13"/>
        <v>06-2025</v>
      </c>
      <c r="P164" t="str">
        <f t="shared" si="14"/>
        <v>05-2026</v>
      </c>
      <c r="Q164">
        <f t="shared" si="15"/>
        <v>0</v>
      </c>
      <c r="R164">
        <f t="shared" si="16"/>
        <v>1</v>
      </c>
      <c r="S164" t="str">
        <f t="shared" si="17"/>
        <v>180-365</v>
      </c>
    </row>
    <row r="165" spans="1:19" x14ac:dyDescent="0.25">
      <c r="A165" s="6" t="s">
        <v>197</v>
      </c>
      <c r="B165" s="6" t="s">
        <v>14</v>
      </c>
      <c r="C165" s="6" t="s">
        <v>15</v>
      </c>
      <c r="D165" s="6" t="s">
        <v>16</v>
      </c>
      <c r="E165" s="6" t="s">
        <v>17</v>
      </c>
      <c r="F165" s="6" t="s">
        <v>18</v>
      </c>
      <c r="G165" s="6" t="s">
        <v>142</v>
      </c>
      <c r="H165" s="11">
        <v>45923</v>
      </c>
      <c r="I165" s="11">
        <v>46134</v>
      </c>
      <c r="J165" s="6" t="s">
        <v>20</v>
      </c>
      <c r="K165" s="6" t="s">
        <v>21</v>
      </c>
      <c r="L165" s="6" t="s">
        <v>22</v>
      </c>
      <c r="M165" s="6">
        <v>211</v>
      </c>
      <c r="N165">
        <f t="shared" si="12"/>
        <v>1</v>
      </c>
      <c r="O165" t="str">
        <f t="shared" si="13"/>
        <v>09-2025</v>
      </c>
      <c r="P165" t="str">
        <f t="shared" si="14"/>
        <v>04-2026</v>
      </c>
      <c r="Q165">
        <f t="shared" si="15"/>
        <v>1</v>
      </c>
      <c r="R165">
        <f t="shared" si="16"/>
        <v>0</v>
      </c>
      <c r="S165" t="str">
        <f t="shared" si="17"/>
        <v>180-365</v>
      </c>
    </row>
    <row r="166" spans="1:19" x14ac:dyDescent="0.25">
      <c r="A166" s="6" t="s">
        <v>198</v>
      </c>
      <c r="B166" s="6" t="s">
        <v>14</v>
      </c>
      <c r="C166" s="6" t="s">
        <v>15</v>
      </c>
      <c r="D166" s="6" t="s">
        <v>16</v>
      </c>
      <c r="E166" s="6" t="s">
        <v>17</v>
      </c>
      <c r="F166" s="6" t="s">
        <v>18</v>
      </c>
      <c r="G166" s="6" t="s">
        <v>142</v>
      </c>
      <c r="H166" s="11">
        <v>46136</v>
      </c>
      <c r="I166" s="11">
        <v>46167</v>
      </c>
      <c r="J166" s="6" t="s">
        <v>20</v>
      </c>
      <c r="K166" s="6" t="s">
        <v>24</v>
      </c>
      <c r="L166" s="6" t="s">
        <v>41</v>
      </c>
      <c r="M166" s="6">
        <v>31</v>
      </c>
      <c r="N166">
        <f t="shared" si="12"/>
        <v>1</v>
      </c>
      <c r="O166" t="str">
        <f t="shared" si="13"/>
        <v>04-2026</v>
      </c>
      <c r="P166" t="str">
        <f t="shared" si="14"/>
        <v>05-2026</v>
      </c>
      <c r="Q166">
        <f t="shared" si="15"/>
        <v>0</v>
      </c>
      <c r="R166">
        <f t="shared" si="16"/>
        <v>1</v>
      </c>
      <c r="S166" t="str">
        <f t="shared" si="17"/>
        <v>0-90</v>
      </c>
    </row>
    <row r="167" spans="1:19" x14ac:dyDescent="0.25">
      <c r="A167" s="6" t="s">
        <v>199</v>
      </c>
      <c r="B167" s="6" t="s">
        <v>14</v>
      </c>
      <c r="C167" s="6" t="s">
        <v>15</v>
      </c>
      <c r="D167" s="6" t="s">
        <v>16</v>
      </c>
      <c r="E167" s="6" t="s">
        <v>17</v>
      </c>
      <c r="F167" s="6" t="s">
        <v>18</v>
      </c>
      <c r="G167" s="6" t="s">
        <v>142</v>
      </c>
      <c r="H167" s="11">
        <v>45862</v>
      </c>
      <c r="I167" s="11">
        <v>46163</v>
      </c>
      <c r="J167" s="6" t="s">
        <v>20</v>
      </c>
      <c r="K167" s="6" t="s">
        <v>24</v>
      </c>
      <c r="L167" s="6" t="s">
        <v>25</v>
      </c>
      <c r="M167" s="6">
        <v>301</v>
      </c>
      <c r="N167">
        <f t="shared" si="12"/>
        <v>1</v>
      </c>
      <c r="O167" t="str">
        <f t="shared" si="13"/>
        <v>07-2025</v>
      </c>
      <c r="P167" t="str">
        <f t="shared" si="14"/>
        <v>05-2026</v>
      </c>
      <c r="Q167">
        <f t="shared" si="15"/>
        <v>0</v>
      </c>
      <c r="R167">
        <f t="shared" si="16"/>
        <v>1</v>
      </c>
      <c r="S167" t="str">
        <f t="shared" si="17"/>
        <v>180-365</v>
      </c>
    </row>
    <row r="168" spans="1:19" x14ac:dyDescent="0.25">
      <c r="A168" s="6" t="s">
        <v>200</v>
      </c>
      <c r="B168" s="6" t="s">
        <v>14</v>
      </c>
      <c r="C168" s="6" t="s">
        <v>15</v>
      </c>
      <c r="D168" s="6" t="s">
        <v>16</v>
      </c>
      <c r="E168" s="6" t="s">
        <v>17</v>
      </c>
      <c r="F168" s="6" t="s">
        <v>18</v>
      </c>
      <c r="G168" s="6" t="s">
        <v>142</v>
      </c>
      <c r="H168" s="11">
        <v>45682</v>
      </c>
      <c r="I168" s="11"/>
      <c r="J168" s="6" t="s">
        <v>27</v>
      </c>
      <c r="K168" s="6"/>
      <c r="L168" s="6"/>
      <c r="M168" s="6">
        <v>521</v>
      </c>
      <c r="N168">
        <f t="shared" si="12"/>
        <v>0</v>
      </c>
      <c r="O168" t="str">
        <f t="shared" si="13"/>
        <v>01-2025</v>
      </c>
      <c r="P168" t="str">
        <f t="shared" si="14"/>
        <v/>
      </c>
      <c r="Q168">
        <f t="shared" si="15"/>
        <v>0</v>
      </c>
      <c r="R168">
        <f t="shared" si="16"/>
        <v>0</v>
      </c>
      <c r="S168" t="str">
        <f t="shared" si="17"/>
        <v>above 1 year</v>
      </c>
    </row>
    <row r="169" spans="1:19" x14ac:dyDescent="0.25">
      <c r="A169" s="6" t="s">
        <v>201</v>
      </c>
      <c r="B169" s="6" t="s">
        <v>14</v>
      </c>
      <c r="C169" s="6" t="s">
        <v>15</v>
      </c>
      <c r="D169" s="6" t="s">
        <v>16</v>
      </c>
      <c r="E169" s="6" t="s">
        <v>17</v>
      </c>
      <c r="F169" s="6" t="s">
        <v>18</v>
      </c>
      <c r="G169" s="6" t="s">
        <v>142</v>
      </c>
      <c r="H169" s="11">
        <v>46079</v>
      </c>
      <c r="I169" s="11">
        <v>46148</v>
      </c>
      <c r="J169" s="6" t="s">
        <v>20</v>
      </c>
      <c r="K169" s="6" t="s">
        <v>24</v>
      </c>
      <c r="L169" s="6" t="s">
        <v>44</v>
      </c>
      <c r="M169" s="6">
        <v>69</v>
      </c>
      <c r="N169">
        <f t="shared" si="12"/>
        <v>1</v>
      </c>
      <c r="O169" t="str">
        <f t="shared" si="13"/>
        <v>02-2026</v>
      </c>
      <c r="P169" t="str">
        <f t="shared" si="14"/>
        <v>05-2026</v>
      </c>
      <c r="Q169">
        <f t="shared" si="15"/>
        <v>0</v>
      </c>
      <c r="R169">
        <f t="shared" si="16"/>
        <v>1</v>
      </c>
      <c r="S169" t="str">
        <f t="shared" si="17"/>
        <v>0-90</v>
      </c>
    </row>
    <row r="170" spans="1:19" x14ac:dyDescent="0.25">
      <c r="A170" s="6" t="s">
        <v>202</v>
      </c>
      <c r="B170" s="6" t="s">
        <v>14</v>
      </c>
      <c r="C170" s="6" t="s">
        <v>15</v>
      </c>
      <c r="D170" s="6" t="s">
        <v>16</v>
      </c>
      <c r="E170" s="6" t="s">
        <v>17</v>
      </c>
      <c r="F170" s="6" t="s">
        <v>18</v>
      </c>
      <c r="G170" s="6" t="s">
        <v>142</v>
      </c>
      <c r="H170" s="11">
        <v>45804</v>
      </c>
      <c r="I170" s="11"/>
      <c r="J170" s="6" t="s">
        <v>27</v>
      </c>
      <c r="K170" s="6"/>
      <c r="L170" s="6"/>
      <c r="M170" s="6">
        <v>399</v>
      </c>
      <c r="N170">
        <f t="shared" si="12"/>
        <v>0</v>
      </c>
      <c r="O170" t="str">
        <f t="shared" si="13"/>
        <v>05-2025</v>
      </c>
      <c r="P170" t="str">
        <f t="shared" si="14"/>
        <v/>
      </c>
      <c r="Q170">
        <f t="shared" si="15"/>
        <v>0</v>
      </c>
      <c r="R170">
        <f t="shared" si="16"/>
        <v>0</v>
      </c>
      <c r="S170" t="str">
        <f t="shared" si="17"/>
        <v>above 1 year</v>
      </c>
    </row>
    <row r="171" spans="1:19" x14ac:dyDescent="0.25">
      <c r="A171" s="6" t="s">
        <v>203</v>
      </c>
      <c r="B171" s="6" t="s">
        <v>14</v>
      </c>
      <c r="C171" s="6" t="s">
        <v>15</v>
      </c>
      <c r="D171" s="6" t="s">
        <v>16</v>
      </c>
      <c r="E171" s="6" t="s">
        <v>17</v>
      </c>
      <c r="F171" s="6" t="s">
        <v>18</v>
      </c>
      <c r="G171" s="6" t="s">
        <v>142</v>
      </c>
      <c r="H171" s="11">
        <v>46140</v>
      </c>
      <c r="I171" s="11">
        <v>46181</v>
      </c>
      <c r="J171" s="6" t="s">
        <v>20</v>
      </c>
      <c r="K171" s="6" t="s">
        <v>21</v>
      </c>
      <c r="L171" s="6" t="s">
        <v>37</v>
      </c>
      <c r="M171" s="6">
        <v>41</v>
      </c>
      <c r="N171">
        <f t="shared" si="12"/>
        <v>1</v>
      </c>
      <c r="O171" t="str">
        <f t="shared" si="13"/>
        <v>04-2026</v>
      </c>
      <c r="P171" t="str">
        <f t="shared" si="14"/>
        <v>06-2026</v>
      </c>
      <c r="Q171">
        <f t="shared" si="15"/>
        <v>1</v>
      </c>
      <c r="R171">
        <f t="shared" si="16"/>
        <v>0</v>
      </c>
      <c r="S171" t="str">
        <f t="shared" si="17"/>
        <v>0-90</v>
      </c>
    </row>
    <row r="172" spans="1:19" x14ac:dyDescent="0.25">
      <c r="A172" s="6" t="s">
        <v>204</v>
      </c>
      <c r="B172" s="6" t="s">
        <v>14</v>
      </c>
      <c r="C172" s="6" t="s">
        <v>15</v>
      </c>
      <c r="D172" s="6" t="s">
        <v>16</v>
      </c>
      <c r="E172" s="6" t="s">
        <v>17</v>
      </c>
      <c r="F172" s="6" t="s">
        <v>18</v>
      </c>
      <c r="G172" s="6" t="s">
        <v>142</v>
      </c>
      <c r="H172" s="11">
        <v>45989</v>
      </c>
      <c r="I172" s="11">
        <v>46163</v>
      </c>
      <c r="J172" s="6" t="s">
        <v>20</v>
      </c>
      <c r="K172" s="6" t="s">
        <v>24</v>
      </c>
      <c r="L172" s="6" t="s">
        <v>44</v>
      </c>
      <c r="M172" s="6">
        <v>174</v>
      </c>
      <c r="N172">
        <f t="shared" si="12"/>
        <v>1</v>
      </c>
      <c r="O172" t="str">
        <f t="shared" si="13"/>
        <v>11-2025</v>
      </c>
      <c r="P172" t="str">
        <f t="shared" si="14"/>
        <v>05-2026</v>
      </c>
      <c r="Q172">
        <f t="shared" si="15"/>
        <v>0</v>
      </c>
      <c r="R172">
        <f t="shared" si="16"/>
        <v>1</v>
      </c>
      <c r="S172" t="str">
        <f t="shared" si="17"/>
        <v>90-180</v>
      </c>
    </row>
    <row r="173" spans="1:19" x14ac:dyDescent="0.25">
      <c r="A173" s="6" t="s">
        <v>205</v>
      </c>
      <c r="B173" s="6" t="s">
        <v>14</v>
      </c>
      <c r="C173" s="6" t="s">
        <v>15</v>
      </c>
      <c r="D173" s="6" t="s">
        <v>16</v>
      </c>
      <c r="E173" s="6" t="s">
        <v>17</v>
      </c>
      <c r="F173" s="6" t="s">
        <v>18</v>
      </c>
      <c r="G173" s="6" t="s">
        <v>142</v>
      </c>
      <c r="H173" s="11">
        <v>46171</v>
      </c>
      <c r="I173" s="11">
        <v>46171</v>
      </c>
      <c r="J173" s="6" t="s">
        <v>20</v>
      </c>
      <c r="K173" s="6" t="s">
        <v>21</v>
      </c>
      <c r="L173" s="6" t="s">
        <v>37</v>
      </c>
      <c r="M173" s="6">
        <v>0</v>
      </c>
      <c r="N173">
        <f t="shared" si="12"/>
        <v>1</v>
      </c>
      <c r="O173" t="str">
        <f t="shared" si="13"/>
        <v>05-2026</v>
      </c>
      <c r="P173" t="str">
        <f t="shared" si="14"/>
        <v>05-2026</v>
      </c>
      <c r="Q173">
        <f t="shared" si="15"/>
        <v>1</v>
      </c>
      <c r="R173">
        <f t="shared" si="16"/>
        <v>0</v>
      </c>
      <c r="S173" t="str">
        <f t="shared" si="17"/>
        <v>0-90</v>
      </c>
    </row>
    <row r="174" spans="1:19" x14ac:dyDescent="0.25">
      <c r="A174" s="6" t="s">
        <v>206</v>
      </c>
      <c r="B174" s="6" t="s">
        <v>14</v>
      </c>
      <c r="C174" s="6" t="s">
        <v>15</v>
      </c>
      <c r="D174" s="6" t="s">
        <v>16</v>
      </c>
      <c r="E174" s="6" t="s">
        <v>17</v>
      </c>
      <c r="F174" s="6" t="s">
        <v>18</v>
      </c>
      <c r="G174" s="6" t="s">
        <v>142</v>
      </c>
      <c r="H174" s="11">
        <v>46142</v>
      </c>
      <c r="I174" s="11">
        <v>46142</v>
      </c>
      <c r="J174" s="6" t="s">
        <v>20</v>
      </c>
      <c r="K174" s="6" t="s">
        <v>21</v>
      </c>
      <c r="L174" s="6" t="s">
        <v>50</v>
      </c>
      <c r="M174" s="6">
        <v>0</v>
      </c>
      <c r="N174">
        <f t="shared" si="12"/>
        <v>1</v>
      </c>
      <c r="O174" t="str">
        <f t="shared" si="13"/>
        <v>04-2026</v>
      </c>
      <c r="P174" t="str">
        <f t="shared" si="14"/>
        <v>04-2026</v>
      </c>
      <c r="Q174">
        <f t="shared" si="15"/>
        <v>1</v>
      </c>
      <c r="R174">
        <f t="shared" si="16"/>
        <v>0</v>
      </c>
      <c r="S174" t="str">
        <f t="shared" si="17"/>
        <v>0-90</v>
      </c>
    </row>
    <row r="175" spans="1:19" x14ac:dyDescent="0.25">
      <c r="A175" s="6" t="s">
        <v>207</v>
      </c>
      <c r="B175" s="6" t="s">
        <v>14</v>
      </c>
      <c r="C175" s="6" t="s">
        <v>15</v>
      </c>
      <c r="D175" s="6" t="s">
        <v>208</v>
      </c>
      <c r="E175" s="6" t="s">
        <v>209</v>
      </c>
      <c r="F175" s="6" t="s">
        <v>210</v>
      </c>
      <c r="G175" s="6" t="s">
        <v>19</v>
      </c>
      <c r="H175" s="11">
        <v>45748</v>
      </c>
      <c r="I175" s="11"/>
      <c r="J175" s="6" t="s">
        <v>27</v>
      </c>
      <c r="K175" s="6"/>
      <c r="L175" s="6"/>
      <c r="M175" s="6">
        <v>455</v>
      </c>
      <c r="N175">
        <f t="shared" si="12"/>
        <v>0</v>
      </c>
      <c r="O175" t="str">
        <f t="shared" si="13"/>
        <v>04-2025</v>
      </c>
      <c r="P175" t="str">
        <f t="shared" si="14"/>
        <v/>
      </c>
      <c r="Q175">
        <f t="shared" si="15"/>
        <v>0</v>
      </c>
      <c r="R175">
        <f t="shared" si="16"/>
        <v>0</v>
      </c>
      <c r="S175" t="str">
        <f t="shared" si="17"/>
        <v>above 1 year</v>
      </c>
    </row>
    <row r="176" spans="1:19" x14ac:dyDescent="0.25">
      <c r="A176" s="6" t="s">
        <v>211</v>
      </c>
      <c r="B176" s="6" t="s">
        <v>14</v>
      </c>
      <c r="C176" s="6" t="s">
        <v>15</v>
      </c>
      <c r="D176" s="6" t="s">
        <v>208</v>
      </c>
      <c r="E176" s="6" t="s">
        <v>209</v>
      </c>
      <c r="F176" s="6" t="s">
        <v>210</v>
      </c>
      <c r="G176" s="6" t="s">
        <v>19</v>
      </c>
      <c r="H176" s="11">
        <v>46113</v>
      </c>
      <c r="I176" s="11">
        <v>46185</v>
      </c>
      <c r="J176" s="6" t="s">
        <v>20</v>
      </c>
      <c r="K176" s="6" t="s">
        <v>24</v>
      </c>
      <c r="L176" s="6" t="s">
        <v>44</v>
      </c>
      <c r="M176" s="6">
        <v>72</v>
      </c>
      <c r="N176">
        <f t="shared" si="12"/>
        <v>1</v>
      </c>
      <c r="O176" t="str">
        <f t="shared" si="13"/>
        <v>04-2026</v>
      </c>
      <c r="P176" t="str">
        <f t="shared" si="14"/>
        <v>06-2026</v>
      </c>
      <c r="Q176">
        <f t="shared" si="15"/>
        <v>0</v>
      </c>
      <c r="R176">
        <f t="shared" si="16"/>
        <v>1</v>
      </c>
      <c r="S176" t="str">
        <f t="shared" si="17"/>
        <v>0-90</v>
      </c>
    </row>
    <row r="177" spans="1:19" x14ac:dyDescent="0.25">
      <c r="A177" s="6" t="s">
        <v>212</v>
      </c>
      <c r="B177" s="6" t="s">
        <v>14</v>
      </c>
      <c r="C177" s="6" t="s">
        <v>15</v>
      </c>
      <c r="D177" s="6" t="s">
        <v>208</v>
      </c>
      <c r="E177" s="6" t="s">
        <v>209</v>
      </c>
      <c r="F177" s="6" t="s">
        <v>210</v>
      </c>
      <c r="G177" s="6" t="s">
        <v>19</v>
      </c>
      <c r="H177" s="11">
        <v>46113</v>
      </c>
      <c r="I177" s="11"/>
      <c r="J177" s="6" t="s">
        <v>27</v>
      </c>
      <c r="K177" s="6"/>
      <c r="L177" s="6"/>
      <c r="M177" s="6">
        <v>90</v>
      </c>
      <c r="N177">
        <f t="shared" si="12"/>
        <v>0</v>
      </c>
      <c r="O177" t="str">
        <f t="shared" si="13"/>
        <v>04-2026</v>
      </c>
      <c r="P177" t="str">
        <f t="shared" si="14"/>
        <v/>
      </c>
      <c r="Q177">
        <f t="shared" si="15"/>
        <v>0</v>
      </c>
      <c r="R177">
        <f t="shared" si="16"/>
        <v>0</v>
      </c>
      <c r="S177" t="str">
        <f t="shared" si="17"/>
        <v>90-180</v>
      </c>
    </row>
    <row r="178" spans="1:19" x14ac:dyDescent="0.25">
      <c r="A178" s="6" t="s">
        <v>213</v>
      </c>
      <c r="B178" s="6" t="s">
        <v>14</v>
      </c>
      <c r="C178" s="6" t="s">
        <v>15</v>
      </c>
      <c r="D178" s="6" t="s">
        <v>208</v>
      </c>
      <c r="E178" s="6" t="s">
        <v>209</v>
      </c>
      <c r="F178" s="6" t="s">
        <v>210</v>
      </c>
      <c r="G178" s="6" t="s">
        <v>19</v>
      </c>
      <c r="H178" s="11">
        <v>46113</v>
      </c>
      <c r="I178" s="11">
        <v>46135</v>
      </c>
      <c r="J178" s="6" t="s">
        <v>20</v>
      </c>
      <c r="K178" s="6" t="s">
        <v>21</v>
      </c>
      <c r="L178" s="6" t="s">
        <v>33</v>
      </c>
      <c r="M178" s="6">
        <v>22</v>
      </c>
      <c r="N178">
        <f t="shared" si="12"/>
        <v>1</v>
      </c>
      <c r="O178" t="str">
        <f t="shared" si="13"/>
        <v>04-2026</v>
      </c>
      <c r="P178" t="str">
        <f t="shared" si="14"/>
        <v>04-2026</v>
      </c>
      <c r="Q178">
        <f t="shared" si="15"/>
        <v>1</v>
      </c>
      <c r="R178">
        <f t="shared" si="16"/>
        <v>0</v>
      </c>
      <c r="S178" t="str">
        <f t="shared" si="17"/>
        <v>0-90</v>
      </c>
    </row>
    <row r="179" spans="1:19" x14ac:dyDescent="0.25">
      <c r="A179" s="6" t="s">
        <v>214</v>
      </c>
      <c r="B179" s="6" t="s">
        <v>14</v>
      </c>
      <c r="C179" s="6" t="s">
        <v>15</v>
      </c>
      <c r="D179" s="6" t="s">
        <v>208</v>
      </c>
      <c r="E179" s="6" t="s">
        <v>209</v>
      </c>
      <c r="F179" s="6" t="s">
        <v>210</v>
      </c>
      <c r="G179" s="6" t="s">
        <v>19</v>
      </c>
      <c r="H179" s="11">
        <v>46113</v>
      </c>
      <c r="I179" s="11">
        <v>46199</v>
      </c>
      <c r="J179" s="6" t="s">
        <v>20</v>
      </c>
      <c r="K179" s="6" t="s">
        <v>24</v>
      </c>
      <c r="L179" s="6" t="s">
        <v>25</v>
      </c>
      <c r="M179" s="6">
        <v>86</v>
      </c>
      <c r="N179">
        <f t="shared" si="12"/>
        <v>1</v>
      </c>
      <c r="O179" t="str">
        <f t="shared" si="13"/>
        <v>04-2026</v>
      </c>
      <c r="P179" t="str">
        <f t="shared" si="14"/>
        <v>06-2026</v>
      </c>
      <c r="Q179">
        <f t="shared" si="15"/>
        <v>0</v>
      </c>
      <c r="R179">
        <f t="shared" si="16"/>
        <v>1</v>
      </c>
      <c r="S179" t="str">
        <f t="shared" si="17"/>
        <v>0-90</v>
      </c>
    </row>
    <row r="180" spans="1:19" x14ac:dyDescent="0.25">
      <c r="A180" s="6" t="s">
        <v>215</v>
      </c>
      <c r="B180" s="6" t="s">
        <v>14</v>
      </c>
      <c r="C180" s="6" t="s">
        <v>15</v>
      </c>
      <c r="D180" s="6" t="s">
        <v>208</v>
      </c>
      <c r="E180" s="6" t="s">
        <v>209</v>
      </c>
      <c r="F180" s="6" t="s">
        <v>210</v>
      </c>
      <c r="G180" s="6" t="s">
        <v>19</v>
      </c>
      <c r="H180" s="11">
        <v>46113</v>
      </c>
      <c r="I180" s="11"/>
      <c r="J180" s="6" t="s">
        <v>27</v>
      </c>
      <c r="K180" s="6"/>
      <c r="L180" s="6"/>
      <c r="M180" s="6">
        <v>90</v>
      </c>
      <c r="N180">
        <f t="shared" si="12"/>
        <v>0</v>
      </c>
      <c r="O180" t="str">
        <f t="shared" si="13"/>
        <v>04-2026</v>
      </c>
      <c r="P180" t="str">
        <f t="shared" si="14"/>
        <v/>
      </c>
      <c r="Q180">
        <f t="shared" si="15"/>
        <v>0</v>
      </c>
      <c r="R180">
        <f t="shared" si="16"/>
        <v>0</v>
      </c>
      <c r="S180" t="str">
        <f t="shared" si="17"/>
        <v>90-180</v>
      </c>
    </row>
    <row r="181" spans="1:19" x14ac:dyDescent="0.25">
      <c r="A181" s="6" t="s">
        <v>216</v>
      </c>
      <c r="B181" s="6" t="s">
        <v>14</v>
      </c>
      <c r="C181" s="6" t="s">
        <v>15</v>
      </c>
      <c r="D181" s="6" t="s">
        <v>208</v>
      </c>
      <c r="E181" s="6" t="s">
        <v>209</v>
      </c>
      <c r="F181" s="6" t="s">
        <v>210</v>
      </c>
      <c r="G181" s="6" t="s">
        <v>19</v>
      </c>
      <c r="H181" s="11">
        <v>46113</v>
      </c>
      <c r="I181" s="11"/>
      <c r="J181" s="6" t="s">
        <v>27</v>
      </c>
      <c r="K181" s="6"/>
      <c r="L181" s="6"/>
      <c r="M181" s="6">
        <v>90</v>
      </c>
      <c r="N181">
        <f t="shared" si="12"/>
        <v>0</v>
      </c>
      <c r="O181" t="str">
        <f t="shared" si="13"/>
        <v>04-2026</v>
      </c>
      <c r="P181" t="str">
        <f t="shared" si="14"/>
        <v/>
      </c>
      <c r="Q181">
        <f t="shared" si="15"/>
        <v>0</v>
      </c>
      <c r="R181">
        <f t="shared" si="16"/>
        <v>0</v>
      </c>
      <c r="S181" t="str">
        <f t="shared" si="17"/>
        <v>90-180</v>
      </c>
    </row>
    <row r="182" spans="1:19" x14ac:dyDescent="0.25">
      <c r="A182" s="6" t="s">
        <v>217</v>
      </c>
      <c r="B182" s="6" t="s">
        <v>14</v>
      </c>
      <c r="C182" s="6" t="s">
        <v>15</v>
      </c>
      <c r="D182" s="6" t="s">
        <v>208</v>
      </c>
      <c r="E182" s="6" t="s">
        <v>209</v>
      </c>
      <c r="F182" s="6" t="s">
        <v>210</v>
      </c>
      <c r="G182" s="6" t="s">
        <v>19</v>
      </c>
      <c r="H182" s="11">
        <v>46113</v>
      </c>
      <c r="I182" s="11">
        <v>46199</v>
      </c>
      <c r="J182" s="6" t="s">
        <v>20</v>
      </c>
      <c r="K182" s="6" t="s">
        <v>24</v>
      </c>
      <c r="L182" s="6" t="s">
        <v>25</v>
      </c>
      <c r="M182" s="6">
        <v>86</v>
      </c>
      <c r="N182">
        <f t="shared" si="12"/>
        <v>1</v>
      </c>
      <c r="O182" t="str">
        <f t="shared" si="13"/>
        <v>04-2026</v>
      </c>
      <c r="P182" t="str">
        <f t="shared" si="14"/>
        <v>06-2026</v>
      </c>
      <c r="Q182">
        <f t="shared" si="15"/>
        <v>0</v>
      </c>
      <c r="R182">
        <f t="shared" si="16"/>
        <v>1</v>
      </c>
      <c r="S182" t="str">
        <f t="shared" si="17"/>
        <v>0-90</v>
      </c>
    </row>
    <row r="183" spans="1:19" x14ac:dyDescent="0.25">
      <c r="A183" s="6" t="s">
        <v>218</v>
      </c>
      <c r="B183" s="6" t="s">
        <v>14</v>
      </c>
      <c r="C183" s="6" t="s">
        <v>15</v>
      </c>
      <c r="D183" s="6" t="s">
        <v>208</v>
      </c>
      <c r="E183" s="6" t="s">
        <v>209</v>
      </c>
      <c r="F183" s="6" t="s">
        <v>210</v>
      </c>
      <c r="G183" s="6" t="s">
        <v>19</v>
      </c>
      <c r="H183" s="11">
        <v>45870</v>
      </c>
      <c r="I183" s="11">
        <v>46200</v>
      </c>
      <c r="J183" s="6" t="s">
        <v>20</v>
      </c>
      <c r="K183" s="6" t="s">
        <v>24</v>
      </c>
      <c r="L183" s="6" t="s">
        <v>41</v>
      </c>
      <c r="M183" s="6">
        <v>330</v>
      </c>
      <c r="N183">
        <f t="shared" si="12"/>
        <v>1</v>
      </c>
      <c r="O183" t="str">
        <f t="shared" si="13"/>
        <v>08-2025</v>
      </c>
      <c r="P183" t="str">
        <f t="shared" si="14"/>
        <v>06-2026</v>
      </c>
      <c r="Q183">
        <f t="shared" si="15"/>
        <v>0</v>
      </c>
      <c r="R183">
        <f t="shared" si="16"/>
        <v>1</v>
      </c>
      <c r="S183" t="str">
        <f t="shared" si="17"/>
        <v>180-365</v>
      </c>
    </row>
    <row r="184" spans="1:19" x14ac:dyDescent="0.25">
      <c r="A184" s="6" t="s">
        <v>219</v>
      </c>
      <c r="B184" s="6" t="s">
        <v>14</v>
      </c>
      <c r="C184" s="6" t="s">
        <v>15</v>
      </c>
      <c r="D184" s="6" t="s">
        <v>208</v>
      </c>
      <c r="E184" s="6" t="s">
        <v>209</v>
      </c>
      <c r="F184" s="6" t="s">
        <v>210</v>
      </c>
      <c r="G184" s="6" t="s">
        <v>19</v>
      </c>
      <c r="H184" s="11">
        <v>45870</v>
      </c>
      <c r="I184" s="11">
        <v>46123</v>
      </c>
      <c r="J184" s="6" t="s">
        <v>20</v>
      </c>
      <c r="K184" s="6" t="s">
        <v>24</v>
      </c>
      <c r="L184" s="6" t="s">
        <v>41</v>
      </c>
      <c r="M184" s="6">
        <v>253</v>
      </c>
      <c r="N184">
        <f t="shared" si="12"/>
        <v>1</v>
      </c>
      <c r="O184" t="str">
        <f t="shared" si="13"/>
        <v>08-2025</v>
      </c>
      <c r="P184" t="str">
        <f t="shared" si="14"/>
        <v>04-2026</v>
      </c>
      <c r="Q184">
        <f t="shared" si="15"/>
        <v>0</v>
      </c>
      <c r="R184">
        <f t="shared" si="16"/>
        <v>1</v>
      </c>
      <c r="S184" t="str">
        <f t="shared" si="17"/>
        <v>180-365</v>
      </c>
    </row>
    <row r="185" spans="1:19" x14ac:dyDescent="0.25">
      <c r="A185" s="6" t="s">
        <v>220</v>
      </c>
      <c r="B185" s="6" t="s">
        <v>14</v>
      </c>
      <c r="C185" s="6" t="s">
        <v>15</v>
      </c>
      <c r="D185" s="6" t="s">
        <v>208</v>
      </c>
      <c r="E185" s="6" t="s">
        <v>209</v>
      </c>
      <c r="F185" s="6" t="s">
        <v>210</v>
      </c>
      <c r="G185" s="6" t="s">
        <v>19</v>
      </c>
      <c r="H185" s="11">
        <v>45870</v>
      </c>
      <c r="I185" s="11">
        <v>46156</v>
      </c>
      <c r="J185" s="6" t="s">
        <v>20</v>
      </c>
      <c r="K185" s="6" t="s">
        <v>24</v>
      </c>
      <c r="L185" s="6" t="s">
        <v>44</v>
      </c>
      <c r="M185" s="6">
        <v>286</v>
      </c>
      <c r="N185">
        <f t="shared" si="12"/>
        <v>1</v>
      </c>
      <c r="O185" t="str">
        <f t="shared" si="13"/>
        <v>08-2025</v>
      </c>
      <c r="P185" t="str">
        <f t="shared" si="14"/>
        <v>05-2026</v>
      </c>
      <c r="Q185">
        <f t="shared" si="15"/>
        <v>0</v>
      </c>
      <c r="R185">
        <f t="shared" si="16"/>
        <v>1</v>
      </c>
      <c r="S185" t="str">
        <f t="shared" si="17"/>
        <v>180-365</v>
      </c>
    </row>
    <row r="186" spans="1:19" x14ac:dyDescent="0.25">
      <c r="A186" s="6" t="s">
        <v>221</v>
      </c>
      <c r="B186" s="6" t="s">
        <v>14</v>
      </c>
      <c r="C186" s="6" t="s">
        <v>15</v>
      </c>
      <c r="D186" s="6" t="s">
        <v>208</v>
      </c>
      <c r="E186" s="6" t="s">
        <v>209</v>
      </c>
      <c r="F186" s="6" t="s">
        <v>210</v>
      </c>
      <c r="G186" s="6" t="s">
        <v>19</v>
      </c>
      <c r="H186" s="11">
        <v>45689</v>
      </c>
      <c r="I186" s="11">
        <v>46170</v>
      </c>
      <c r="J186" s="6" t="s">
        <v>20</v>
      </c>
      <c r="K186" s="6" t="s">
        <v>24</v>
      </c>
      <c r="L186" s="6" t="s">
        <v>25</v>
      </c>
      <c r="M186" s="6">
        <v>481</v>
      </c>
      <c r="N186">
        <f t="shared" si="12"/>
        <v>1</v>
      </c>
      <c r="O186" t="str">
        <f t="shared" si="13"/>
        <v>02-2025</v>
      </c>
      <c r="P186" t="str">
        <f t="shared" si="14"/>
        <v>05-2026</v>
      </c>
      <c r="Q186">
        <f t="shared" si="15"/>
        <v>0</v>
      </c>
      <c r="R186">
        <f t="shared" si="16"/>
        <v>1</v>
      </c>
      <c r="S186" t="str">
        <f t="shared" si="17"/>
        <v>above 1 year</v>
      </c>
    </row>
    <row r="187" spans="1:19" x14ac:dyDescent="0.25">
      <c r="A187" s="6" t="s">
        <v>222</v>
      </c>
      <c r="B187" s="6" t="s">
        <v>14</v>
      </c>
      <c r="C187" s="6" t="s">
        <v>15</v>
      </c>
      <c r="D187" s="6" t="s">
        <v>208</v>
      </c>
      <c r="E187" s="6" t="s">
        <v>209</v>
      </c>
      <c r="F187" s="6" t="s">
        <v>210</v>
      </c>
      <c r="G187" s="6" t="s">
        <v>19</v>
      </c>
      <c r="H187" s="11">
        <v>46023</v>
      </c>
      <c r="I187" s="11">
        <v>46122</v>
      </c>
      <c r="J187" s="6" t="s">
        <v>20</v>
      </c>
      <c r="K187" s="6" t="s">
        <v>24</v>
      </c>
      <c r="L187" s="6" t="s">
        <v>41</v>
      </c>
      <c r="M187" s="6">
        <v>99</v>
      </c>
      <c r="N187">
        <f t="shared" si="12"/>
        <v>1</v>
      </c>
      <c r="O187" t="str">
        <f t="shared" si="13"/>
        <v>01-2026</v>
      </c>
      <c r="P187" t="str">
        <f t="shared" si="14"/>
        <v>04-2026</v>
      </c>
      <c r="Q187">
        <f t="shared" si="15"/>
        <v>0</v>
      </c>
      <c r="R187">
        <f t="shared" si="16"/>
        <v>1</v>
      </c>
      <c r="S187" t="str">
        <f t="shared" si="17"/>
        <v>90-180</v>
      </c>
    </row>
    <row r="188" spans="1:19" x14ac:dyDescent="0.25">
      <c r="A188" s="6" t="s">
        <v>223</v>
      </c>
      <c r="B188" s="6" t="s">
        <v>14</v>
      </c>
      <c r="C188" s="6" t="s">
        <v>15</v>
      </c>
      <c r="D188" s="6" t="s">
        <v>208</v>
      </c>
      <c r="E188" s="6" t="s">
        <v>209</v>
      </c>
      <c r="F188" s="6" t="s">
        <v>210</v>
      </c>
      <c r="G188" s="6" t="s">
        <v>19</v>
      </c>
      <c r="H188" s="11">
        <v>46174</v>
      </c>
      <c r="I188" s="11">
        <v>46192</v>
      </c>
      <c r="J188" s="6" t="s">
        <v>20</v>
      </c>
      <c r="K188" s="6" t="s">
        <v>21</v>
      </c>
      <c r="L188" s="6" t="s">
        <v>61</v>
      </c>
      <c r="M188" s="6">
        <v>18</v>
      </c>
      <c r="N188">
        <f t="shared" si="12"/>
        <v>1</v>
      </c>
      <c r="O188" t="str">
        <f t="shared" si="13"/>
        <v>06-2026</v>
      </c>
      <c r="P188" t="str">
        <f t="shared" si="14"/>
        <v>06-2026</v>
      </c>
      <c r="Q188">
        <f t="shared" si="15"/>
        <v>1</v>
      </c>
      <c r="R188">
        <f t="shared" si="16"/>
        <v>0</v>
      </c>
      <c r="S188" t="str">
        <f t="shared" si="17"/>
        <v>0-90</v>
      </c>
    </row>
    <row r="189" spans="1:19" x14ac:dyDescent="0.25">
      <c r="A189" s="6" t="s">
        <v>224</v>
      </c>
      <c r="B189" s="6" t="s">
        <v>14</v>
      </c>
      <c r="C189" s="6" t="s">
        <v>15</v>
      </c>
      <c r="D189" s="6" t="s">
        <v>208</v>
      </c>
      <c r="E189" s="6" t="s">
        <v>209</v>
      </c>
      <c r="F189" s="6" t="s">
        <v>210</v>
      </c>
      <c r="G189" s="6" t="s">
        <v>19</v>
      </c>
      <c r="H189" s="11">
        <v>46174</v>
      </c>
      <c r="I189" s="11">
        <v>46200</v>
      </c>
      <c r="J189" s="6" t="s">
        <v>20</v>
      </c>
      <c r="K189" s="6" t="s">
        <v>21</v>
      </c>
      <c r="L189" s="6" t="s">
        <v>37</v>
      </c>
      <c r="M189" s="6">
        <v>26</v>
      </c>
      <c r="N189">
        <f t="shared" si="12"/>
        <v>1</v>
      </c>
      <c r="O189" t="str">
        <f t="shared" si="13"/>
        <v>06-2026</v>
      </c>
      <c r="P189" t="str">
        <f t="shared" si="14"/>
        <v>06-2026</v>
      </c>
      <c r="Q189">
        <f t="shared" si="15"/>
        <v>1</v>
      </c>
      <c r="R189">
        <f t="shared" si="16"/>
        <v>0</v>
      </c>
      <c r="S189" t="str">
        <f t="shared" si="17"/>
        <v>0-90</v>
      </c>
    </row>
    <row r="190" spans="1:19" x14ac:dyDescent="0.25">
      <c r="A190" s="6" t="s">
        <v>225</v>
      </c>
      <c r="B190" s="6" t="s">
        <v>14</v>
      </c>
      <c r="C190" s="6" t="s">
        <v>15</v>
      </c>
      <c r="D190" s="6" t="s">
        <v>208</v>
      </c>
      <c r="E190" s="6" t="s">
        <v>209</v>
      </c>
      <c r="F190" s="6" t="s">
        <v>210</v>
      </c>
      <c r="G190" s="6" t="s">
        <v>19</v>
      </c>
      <c r="H190" s="11">
        <v>46174</v>
      </c>
      <c r="I190" s="11"/>
      <c r="J190" s="6" t="s">
        <v>27</v>
      </c>
      <c r="K190" s="6"/>
      <c r="L190" s="6"/>
      <c r="M190" s="6">
        <v>29</v>
      </c>
      <c r="N190">
        <f t="shared" si="12"/>
        <v>0</v>
      </c>
      <c r="O190" t="str">
        <f t="shared" si="13"/>
        <v>06-2026</v>
      </c>
      <c r="P190" t="str">
        <f t="shared" si="14"/>
        <v/>
      </c>
      <c r="Q190">
        <f t="shared" si="15"/>
        <v>0</v>
      </c>
      <c r="R190">
        <f t="shared" si="16"/>
        <v>0</v>
      </c>
      <c r="S190" t="str">
        <f t="shared" si="17"/>
        <v>0-90</v>
      </c>
    </row>
    <row r="191" spans="1:19" x14ac:dyDescent="0.25">
      <c r="A191" s="6" t="s">
        <v>226</v>
      </c>
      <c r="B191" s="6" t="s">
        <v>14</v>
      </c>
      <c r="C191" s="6" t="s">
        <v>15</v>
      </c>
      <c r="D191" s="6" t="s">
        <v>208</v>
      </c>
      <c r="E191" s="6" t="s">
        <v>209</v>
      </c>
      <c r="F191" s="6" t="s">
        <v>210</v>
      </c>
      <c r="G191" s="6" t="s">
        <v>19</v>
      </c>
      <c r="H191" s="11">
        <v>46174</v>
      </c>
      <c r="I191" s="11"/>
      <c r="J191" s="6" t="s">
        <v>27</v>
      </c>
      <c r="K191" s="6"/>
      <c r="L191" s="6"/>
      <c r="M191" s="6">
        <v>29</v>
      </c>
      <c r="N191">
        <f t="shared" si="12"/>
        <v>0</v>
      </c>
      <c r="O191" t="str">
        <f t="shared" si="13"/>
        <v>06-2026</v>
      </c>
      <c r="P191" t="str">
        <f t="shared" si="14"/>
        <v/>
      </c>
      <c r="Q191">
        <f t="shared" si="15"/>
        <v>0</v>
      </c>
      <c r="R191">
        <f t="shared" si="16"/>
        <v>0</v>
      </c>
      <c r="S191" t="str">
        <f t="shared" si="17"/>
        <v>0-90</v>
      </c>
    </row>
    <row r="192" spans="1:19" x14ac:dyDescent="0.25">
      <c r="A192" s="6" t="s">
        <v>227</v>
      </c>
      <c r="B192" s="6" t="s">
        <v>14</v>
      </c>
      <c r="C192" s="6" t="s">
        <v>15</v>
      </c>
      <c r="D192" s="6" t="s">
        <v>208</v>
      </c>
      <c r="E192" s="6" t="s">
        <v>209</v>
      </c>
      <c r="F192" s="6" t="s">
        <v>210</v>
      </c>
      <c r="G192" s="6" t="s">
        <v>19</v>
      </c>
      <c r="H192" s="11">
        <v>45778</v>
      </c>
      <c r="I192" s="11">
        <v>46128</v>
      </c>
      <c r="J192" s="6" t="s">
        <v>20</v>
      </c>
      <c r="K192" s="6" t="s">
        <v>24</v>
      </c>
      <c r="L192" s="6" t="s">
        <v>41</v>
      </c>
      <c r="M192" s="6">
        <v>350</v>
      </c>
      <c r="N192">
        <f t="shared" si="12"/>
        <v>1</v>
      </c>
      <c r="O192" t="str">
        <f t="shared" si="13"/>
        <v>05-2025</v>
      </c>
      <c r="P192" t="str">
        <f t="shared" si="14"/>
        <v>04-2026</v>
      </c>
      <c r="Q192">
        <f t="shared" si="15"/>
        <v>0</v>
      </c>
      <c r="R192">
        <f t="shared" si="16"/>
        <v>1</v>
      </c>
      <c r="S192" t="str">
        <f t="shared" si="17"/>
        <v>180-365</v>
      </c>
    </row>
    <row r="193" spans="1:19" x14ac:dyDescent="0.25">
      <c r="A193" s="6" t="s">
        <v>228</v>
      </c>
      <c r="B193" s="6" t="s">
        <v>14</v>
      </c>
      <c r="C193" s="6" t="s">
        <v>15</v>
      </c>
      <c r="D193" s="6" t="s">
        <v>208</v>
      </c>
      <c r="E193" s="6" t="s">
        <v>209</v>
      </c>
      <c r="F193" s="6" t="s">
        <v>210</v>
      </c>
      <c r="G193" s="6" t="s">
        <v>19</v>
      </c>
      <c r="H193" s="11">
        <v>46143</v>
      </c>
      <c r="I193" s="11">
        <v>46168</v>
      </c>
      <c r="J193" s="6" t="s">
        <v>20</v>
      </c>
      <c r="K193" s="6" t="s">
        <v>21</v>
      </c>
      <c r="L193" s="6" t="s">
        <v>22</v>
      </c>
      <c r="M193" s="6">
        <v>25</v>
      </c>
      <c r="N193">
        <f t="shared" si="12"/>
        <v>1</v>
      </c>
      <c r="O193" t="str">
        <f t="shared" si="13"/>
        <v>05-2026</v>
      </c>
      <c r="P193" t="str">
        <f t="shared" si="14"/>
        <v>05-2026</v>
      </c>
      <c r="Q193">
        <f t="shared" si="15"/>
        <v>1</v>
      </c>
      <c r="R193">
        <f t="shared" si="16"/>
        <v>0</v>
      </c>
      <c r="S193" t="str">
        <f t="shared" si="17"/>
        <v>0-90</v>
      </c>
    </row>
    <row r="194" spans="1:19" x14ac:dyDescent="0.25">
      <c r="A194" s="6" t="s">
        <v>229</v>
      </c>
      <c r="B194" s="6" t="s">
        <v>14</v>
      </c>
      <c r="C194" s="6" t="s">
        <v>15</v>
      </c>
      <c r="D194" s="6" t="s">
        <v>208</v>
      </c>
      <c r="E194" s="6" t="s">
        <v>209</v>
      </c>
      <c r="F194" s="6" t="s">
        <v>210</v>
      </c>
      <c r="G194" s="6" t="s">
        <v>19</v>
      </c>
      <c r="H194" s="11">
        <v>46143</v>
      </c>
      <c r="I194" s="11">
        <v>46149</v>
      </c>
      <c r="J194" s="6" t="s">
        <v>20</v>
      </c>
      <c r="K194" s="6" t="s">
        <v>21</v>
      </c>
      <c r="L194" s="6" t="s">
        <v>33</v>
      </c>
      <c r="M194" s="6">
        <v>6</v>
      </c>
      <c r="N194">
        <f t="shared" si="12"/>
        <v>1</v>
      </c>
      <c r="O194" t="str">
        <f t="shared" si="13"/>
        <v>05-2026</v>
      </c>
      <c r="P194" t="str">
        <f t="shared" si="14"/>
        <v>05-2026</v>
      </c>
      <c r="Q194">
        <f t="shared" si="15"/>
        <v>1</v>
      </c>
      <c r="R194">
        <f t="shared" si="16"/>
        <v>0</v>
      </c>
      <c r="S194" t="str">
        <f t="shared" si="17"/>
        <v>0-90</v>
      </c>
    </row>
    <row r="195" spans="1:19" x14ac:dyDescent="0.25">
      <c r="A195" s="6" t="s">
        <v>230</v>
      </c>
      <c r="B195" s="6" t="s">
        <v>14</v>
      </c>
      <c r="C195" s="6" t="s">
        <v>15</v>
      </c>
      <c r="D195" s="6" t="s">
        <v>208</v>
      </c>
      <c r="E195" s="6" t="s">
        <v>209</v>
      </c>
      <c r="F195" s="6" t="s">
        <v>210</v>
      </c>
      <c r="G195" s="6" t="s">
        <v>19</v>
      </c>
      <c r="H195" s="11">
        <v>46143</v>
      </c>
      <c r="I195" s="11">
        <v>46149</v>
      </c>
      <c r="J195" s="6" t="s">
        <v>20</v>
      </c>
      <c r="K195" s="6" t="s">
        <v>21</v>
      </c>
      <c r="L195" s="6" t="s">
        <v>50</v>
      </c>
      <c r="M195" s="6">
        <v>6</v>
      </c>
      <c r="N195">
        <f t="shared" ref="N195:N258" si="18">IF(J195="Relieved",1,0)</f>
        <v>1</v>
      </c>
      <c r="O195" t="str">
        <f t="shared" ref="O195:O258" si="19">TEXT(H195,"mm-yyyy")</f>
        <v>05-2026</v>
      </c>
      <c r="P195" t="str">
        <f t="shared" ref="P195:P258" si="20">IF(I195="","",TEXT(I195,"mm-yyyy"))</f>
        <v>05-2026</v>
      </c>
      <c r="Q195">
        <f t="shared" ref="Q195:Q258" si="21">IF(K195="Voluntary",1,0)</f>
        <v>1</v>
      </c>
      <c r="R195">
        <f t="shared" ref="R195:R258" si="22">IF(K195="Involuntary",1,0)</f>
        <v>0</v>
      </c>
      <c r="S195" t="str">
        <f t="shared" ref="S195:S258" si="23">IF(M195&lt;90,"0-90",IF(M195&lt;180,"90-180",IF(M195&lt;365,"180-365","above 1 year")))</f>
        <v>0-90</v>
      </c>
    </row>
    <row r="196" spans="1:19" x14ac:dyDescent="0.25">
      <c r="A196" s="6" t="s">
        <v>231</v>
      </c>
      <c r="B196" s="6" t="s">
        <v>14</v>
      </c>
      <c r="C196" s="6" t="s">
        <v>15</v>
      </c>
      <c r="D196" s="6" t="s">
        <v>208</v>
      </c>
      <c r="E196" s="6" t="s">
        <v>209</v>
      </c>
      <c r="F196" s="6" t="s">
        <v>210</v>
      </c>
      <c r="G196" s="6" t="s">
        <v>19</v>
      </c>
      <c r="H196" s="11">
        <v>45962</v>
      </c>
      <c r="I196" s="11">
        <v>46140</v>
      </c>
      <c r="J196" s="6" t="s">
        <v>20</v>
      </c>
      <c r="K196" s="6" t="s">
        <v>24</v>
      </c>
      <c r="L196" s="6" t="s">
        <v>55</v>
      </c>
      <c r="M196" s="6">
        <v>178</v>
      </c>
      <c r="N196">
        <f t="shared" si="18"/>
        <v>1</v>
      </c>
      <c r="O196" t="str">
        <f t="shared" si="19"/>
        <v>11-2025</v>
      </c>
      <c r="P196" t="str">
        <f t="shared" si="20"/>
        <v>04-2026</v>
      </c>
      <c r="Q196">
        <f t="shared" si="21"/>
        <v>0</v>
      </c>
      <c r="R196">
        <f t="shared" si="22"/>
        <v>1</v>
      </c>
      <c r="S196" t="str">
        <f t="shared" si="23"/>
        <v>90-180</v>
      </c>
    </row>
    <row r="197" spans="1:19" x14ac:dyDescent="0.25">
      <c r="A197" s="6" t="s">
        <v>232</v>
      </c>
      <c r="B197" s="6" t="s">
        <v>14</v>
      </c>
      <c r="C197" s="6" t="s">
        <v>15</v>
      </c>
      <c r="D197" s="6" t="s">
        <v>208</v>
      </c>
      <c r="E197" s="6" t="s">
        <v>209</v>
      </c>
      <c r="F197" s="6" t="s">
        <v>210</v>
      </c>
      <c r="G197" s="6" t="s">
        <v>19</v>
      </c>
      <c r="H197" s="11">
        <v>45901</v>
      </c>
      <c r="I197" s="11">
        <v>46140</v>
      </c>
      <c r="J197" s="6" t="s">
        <v>20</v>
      </c>
      <c r="K197" s="6" t="s">
        <v>24</v>
      </c>
      <c r="L197" s="6" t="s">
        <v>25</v>
      </c>
      <c r="M197" s="6">
        <v>239</v>
      </c>
      <c r="N197">
        <f t="shared" si="18"/>
        <v>1</v>
      </c>
      <c r="O197" t="str">
        <f t="shared" si="19"/>
        <v>09-2025</v>
      </c>
      <c r="P197" t="str">
        <f t="shared" si="20"/>
        <v>04-2026</v>
      </c>
      <c r="Q197">
        <f t="shared" si="21"/>
        <v>0</v>
      </c>
      <c r="R197">
        <f t="shared" si="22"/>
        <v>1</v>
      </c>
      <c r="S197" t="str">
        <f t="shared" si="23"/>
        <v>180-365</v>
      </c>
    </row>
    <row r="198" spans="1:19" x14ac:dyDescent="0.25">
      <c r="A198" s="6" t="s">
        <v>233</v>
      </c>
      <c r="B198" s="6" t="s">
        <v>14</v>
      </c>
      <c r="C198" s="6" t="s">
        <v>15</v>
      </c>
      <c r="D198" s="6" t="s">
        <v>208</v>
      </c>
      <c r="E198" s="6" t="s">
        <v>209</v>
      </c>
      <c r="F198" s="6" t="s">
        <v>210</v>
      </c>
      <c r="G198" s="6" t="s">
        <v>19</v>
      </c>
      <c r="H198" s="11">
        <v>45901</v>
      </c>
      <c r="I198" s="11"/>
      <c r="J198" s="6" t="s">
        <v>27</v>
      </c>
      <c r="K198" s="6"/>
      <c r="L198" s="6"/>
      <c r="M198" s="6">
        <v>302</v>
      </c>
      <c r="N198">
        <f t="shared" si="18"/>
        <v>0</v>
      </c>
      <c r="O198" t="str">
        <f t="shared" si="19"/>
        <v>09-2025</v>
      </c>
      <c r="P198" t="str">
        <f t="shared" si="20"/>
        <v/>
      </c>
      <c r="Q198">
        <f t="shared" si="21"/>
        <v>0</v>
      </c>
      <c r="R198">
        <f t="shared" si="22"/>
        <v>0</v>
      </c>
      <c r="S198" t="str">
        <f t="shared" si="23"/>
        <v>180-365</v>
      </c>
    </row>
    <row r="199" spans="1:19" x14ac:dyDescent="0.25">
      <c r="A199" s="6" t="s">
        <v>234</v>
      </c>
      <c r="B199" s="6" t="s">
        <v>14</v>
      </c>
      <c r="C199" s="6" t="s">
        <v>15</v>
      </c>
      <c r="D199" s="6" t="s">
        <v>208</v>
      </c>
      <c r="E199" s="6" t="s">
        <v>209</v>
      </c>
      <c r="F199" s="6" t="s">
        <v>210</v>
      </c>
      <c r="G199" s="6" t="s">
        <v>19</v>
      </c>
      <c r="H199" s="11">
        <v>46114</v>
      </c>
      <c r="I199" s="11"/>
      <c r="J199" s="6" t="s">
        <v>27</v>
      </c>
      <c r="K199" s="6"/>
      <c r="L199" s="6"/>
      <c r="M199" s="6">
        <v>89</v>
      </c>
      <c r="N199">
        <f t="shared" si="18"/>
        <v>0</v>
      </c>
      <c r="O199" t="str">
        <f t="shared" si="19"/>
        <v>04-2026</v>
      </c>
      <c r="P199" t="str">
        <f t="shared" si="20"/>
        <v/>
      </c>
      <c r="Q199">
        <f t="shared" si="21"/>
        <v>0</v>
      </c>
      <c r="R199">
        <f t="shared" si="22"/>
        <v>0</v>
      </c>
      <c r="S199" t="str">
        <f t="shared" si="23"/>
        <v>0-90</v>
      </c>
    </row>
    <row r="200" spans="1:19" x14ac:dyDescent="0.25">
      <c r="A200" s="6" t="s">
        <v>235</v>
      </c>
      <c r="B200" s="6" t="s">
        <v>14</v>
      </c>
      <c r="C200" s="6" t="s">
        <v>15</v>
      </c>
      <c r="D200" s="6" t="s">
        <v>208</v>
      </c>
      <c r="E200" s="6" t="s">
        <v>209</v>
      </c>
      <c r="F200" s="6" t="s">
        <v>210</v>
      </c>
      <c r="G200" s="6" t="s">
        <v>19</v>
      </c>
      <c r="H200" s="11">
        <v>46114</v>
      </c>
      <c r="I200" s="11">
        <v>46167</v>
      </c>
      <c r="J200" s="6" t="s">
        <v>20</v>
      </c>
      <c r="K200" s="6" t="s">
        <v>24</v>
      </c>
      <c r="L200" s="6" t="s">
        <v>44</v>
      </c>
      <c r="M200" s="6">
        <v>53</v>
      </c>
      <c r="N200">
        <f t="shared" si="18"/>
        <v>1</v>
      </c>
      <c r="O200" t="str">
        <f t="shared" si="19"/>
        <v>04-2026</v>
      </c>
      <c r="P200" t="str">
        <f t="shared" si="20"/>
        <v>05-2026</v>
      </c>
      <c r="Q200">
        <f t="shared" si="21"/>
        <v>0</v>
      </c>
      <c r="R200">
        <f t="shared" si="22"/>
        <v>1</v>
      </c>
      <c r="S200" t="str">
        <f t="shared" si="23"/>
        <v>0-90</v>
      </c>
    </row>
    <row r="201" spans="1:19" x14ac:dyDescent="0.25">
      <c r="A201" s="6" t="s">
        <v>236</v>
      </c>
      <c r="B201" s="6" t="s">
        <v>14</v>
      </c>
      <c r="C201" s="6" t="s">
        <v>15</v>
      </c>
      <c r="D201" s="6" t="s">
        <v>208</v>
      </c>
      <c r="E201" s="6" t="s">
        <v>209</v>
      </c>
      <c r="F201" s="6" t="s">
        <v>210</v>
      </c>
      <c r="G201" s="6" t="s">
        <v>19</v>
      </c>
      <c r="H201" s="11">
        <v>46114</v>
      </c>
      <c r="I201" s="11">
        <v>46122</v>
      </c>
      <c r="J201" s="6" t="s">
        <v>20</v>
      </c>
      <c r="K201" s="6" t="s">
        <v>21</v>
      </c>
      <c r="L201" s="6" t="s">
        <v>30</v>
      </c>
      <c r="M201" s="6">
        <v>8</v>
      </c>
      <c r="N201">
        <f t="shared" si="18"/>
        <v>1</v>
      </c>
      <c r="O201" t="str">
        <f t="shared" si="19"/>
        <v>04-2026</v>
      </c>
      <c r="P201" t="str">
        <f t="shared" si="20"/>
        <v>04-2026</v>
      </c>
      <c r="Q201">
        <f t="shared" si="21"/>
        <v>1</v>
      </c>
      <c r="R201">
        <f t="shared" si="22"/>
        <v>0</v>
      </c>
      <c r="S201" t="str">
        <f t="shared" si="23"/>
        <v>0-90</v>
      </c>
    </row>
    <row r="202" spans="1:19" x14ac:dyDescent="0.25">
      <c r="A202" s="6" t="s">
        <v>237</v>
      </c>
      <c r="B202" s="6" t="s">
        <v>14</v>
      </c>
      <c r="C202" s="6" t="s">
        <v>15</v>
      </c>
      <c r="D202" s="6" t="s">
        <v>208</v>
      </c>
      <c r="E202" s="6" t="s">
        <v>209</v>
      </c>
      <c r="F202" s="6" t="s">
        <v>210</v>
      </c>
      <c r="G202" s="6" t="s">
        <v>19</v>
      </c>
      <c r="H202" s="11">
        <v>45993</v>
      </c>
      <c r="I202" s="11">
        <v>46127</v>
      </c>
      <c r="J202" s="6" t="s">
        <v>20</v>
      </c>
      <c r="K202" s="6" t="s">
        <v>24</v>
      </c>
      <c r="L202" s="6" t="s">
        <v>55</v>
      </c>
      <c r="M202" s="6">
        <v>134</v>
      </c>
      <c r="N202">
        <f t="shared" si="18"/>
        <v>1</v>
      </c>
      <c r="O202" t="str">
        <f t="shared" si="19"/>
        <v>12-2025</v>
      </c>
      <c r="P202" t="str">
        <f t="shared" si="20"/>
        <v>04-2026</v>
      </c>
      <c r="Q202">
        <f t="shared" si="21"/>
        <v>0</v>
      </c>
      <c r="R202">
        <f t="shared" si="22"/>
        <v>1</v>
      </c>
      <c r="S202" t="str">
        <f t="shared" si="23"/>
        <v>90-180</v>
      </c>
    </row>
    <row r="203" spans="1:19" x14ac:dyDescent="0.25">
      <c r="A203" s="6" t="s">
        <v>238</v>
      </c>
      <c r="B203" s="6" t="s">
        <v>14</v>
      </c>
      <c r="C203" s="6" t="s">
        <v>15</v>
      </c>
      <c r="D203" s="6" t="s">
        <v>208</v>
      </c>
      <c r="E203" s="6" t="s">
        <v>209</v>
      </c>
      <c r="F203" s="6" t="s">
        <v>210</v>
      </c>
      <c r="G203" s="6" t="s">
        <v>19</v>
      </c>
      <c r="H203" s="11">
        <v>45690</v>
      </c>
      <c r="I203" s="11">
        <v>46184</v>
      </c>
      <c r="J203" s="6" t="s">
        <v>20</v>
      </c>
      <c r="K203" s="6" t="s">
        <v>24</v>
      </c>
      <c r="L203" s="6" t="s">
        <v>44</v>
      </c>
      <c r="M203" s="6">
        <v>494</v>
      </c>
      <c r="N203">
        <f t="shared" si="18"/>
        <v>1</v>
      </c>
      <c r="O203" t="str">
        <f t="shared" si="19"/>
        <v>02-2025</v>
      </c>
      <c r="P203" t="str">
        <f t="shared" si="20"/>
        <v>06-2026</v>
      </c>
      <c r="Q203">
        <f t="shared" si="21"/>
        <v>0</v>
      </c>
      <c r="R203">
        <f t="shared" si="22"/>
        <v>1</v>
      </c>
      <c r="S203" t="str">
        <f t="shared" si="23"/>
        <v>above 1 year</v>
      </c>
    </row>
    <row r="204" spans="1:19" x14ac:dyDescent="0.25">
      <c r="A204" s="6" t="s">
        <v>239</v>
      </c>
      <c r="B204" s="6" t="s">
        <v>14</v>
      </c>
      <c r="C204" s="6" t="s">
        <v>15</v>
      </c>
      <c r="D204" s="6" t="s">
        <v>208</v>
      </c>
      <c r="E204" s="6" t="s">
        <v>209</v>
      </c>
      <c r="F204" s="6" t="s">
        <v>210</v>
      </c>
      <c r="G204" s="6" t="s">
        <v>19</v>
      </c>
      <c r="H204" s="11">
        <v>46175</v>
      </c>
      <c r="I204" s="11">
        <v>46175</v>
      </c>
      <c r="J204" s="6" t="s">
        <v>20</v>
      </c>
      <c r="K204" s="6" t="s">
        <v>21</v>
      </c>
      <c r="L204" s="6" t="s">
        <v>61</v>
      </c>
      <c r="M204" s="6">
        <v>0</v>
      </c>
      <c r="N204">
        <f t="shared" si="18"/>
        <v>1</v>
      </c>
      <c r="O204" t="str">
        <f t="shared" si="19"/>
        <v>06-2026</v>
      </c>
      <c r="P204" t="str">
        <f t="shared" si="20"/>
        <v>06-2026</v>
      </c>
      <c r="Q204">
        <f t="shared" si="21"/>
        <v>1</v>
      </c>
      <c r="R204">
        <f t="shared" si="22"/>
        <v>0</v>
      </c>
      <c r="S204" t="str">
        <f t="shared" si="23"/>
        <v>0-90</v>
      </c>
    </row>
    <row r="205" spans="1:19" x14ac:dyDescent="0.25">
      <c r="A205" s="6" t="s">
        <v>240</v>
      </c>
      <c r="B205" s="6" t="s">
        <v>14</v>
      </c>
      <c r="C205" s="6" t="s">
        <v>15</v>
      </c>
      <c r="D205" s="6" t="s">
        <v>208</v>
      </c>
      <c r="E205" s="6" t="s">
        <v>209</v>
      </c>
      <c r="F205" s="6" t="s">
        <v>210</v>
      </c>
      <c r="G205" s="6" t="s">
        <v>19</v>
      </c>
      <c r="H205" s="11">
        <v>46083</v>
      </c>
      <c r="I205" s="11"/>
      <c r="J205" s="6" t="s">
        <v>27</v>
      </c>
      <c r="K205" s="6"/>
      <c r="L205" s="6"/>
      <c r="M205" s="6">
        <v>120</v>
      </c>
      <c r="N205">
        <f t="shared" si="18"/>
        <v>0</v>
      </c>
      <c r="O205" t="str">
        <f t="shared" si="19"/>
        <v>03-2026</v>
      </c>
      <c r="P205" t="str">
        <f t="shared" si="20"/>
        <v/>
      </c>
      <c r="Q205">
        <f t="shared" si="21"/>
        <v>0</v>
      </c>
      <c r="R205">
        <f t="shared" si="22"/>
        <v>0</v>
      </c>
      <c r="S205" t="str">
        <f t="shared" si="23"/>
        <v>90-180</v>
      </c>
    </row>
    <row r="206" spans="1:19" x14ac:dyDescent="0.25">
      <c r="A206" s="6" t="s">
        <v>241</v>
      </c>
      <c r="B206" s="6" t="s">
        <v>14</v>
      </c>
      <c r="C206" s="6" t="s">
        <v>15</v>
      </c>
      <c r="D206" s="6" t="s">
        <v>208</v>
      </c>
      <c r="E206" s="6" t="s">
        <v>209</v>
      </c>
      <c r="F206" s="6" t="s">
        <v>210</v>
      </c>
      <c r="G206" s="6" t="s">
        <v>19</v>
      </c>
      <c r="H206" s="11">
        <v>46144</v>
      </c>
      <c r="I206" s="11">
        <v>46174</v>
      </c>
      <c r="J206" s="6" t="s">
        <v>20</v>
      </c>
      <c r="K206" s="6" t="s">
        <v>24</v>
      </c>
      <c r="L206" s="6" t="s">
        <v>44</v>
      </c>
      <c r="M206" s="6">
        <v>30</v>
      </c>
      <c r="N206">
        <f t="shared" si="18"/>
        <v>1</v>
      </c>
      <c r="O206" t="str">
        <f t="shared" si="19"/>
        <v>05-2026</v>
      </c>
      <c r="P206" t="str">
        <f t="shared" si="20"/>
        <v>06-2026</v>
      </c>
      <c r="Q206">
        <f t="shared" si="21"/>
        <v>0</v>
      </c>
      <c r="R206">
        <f t="shared" si="22"/>
        <v>1</v>
      </c>
      <c r="S206" t="str">
        <f t="shared" si="23"/>
        <v>0-90</v>
      </c>
    </row>
    <row r="207" spans="1:19" x14ac:dyDescent="0.25">
      <c r="A207" s="6" t="s">
        <v>242</v>
      </c>
      <c r="B207" s="6" t="s">
        <v>14</v>
      </c>
      <c r="C207" s="6" t="s">
        <v>15</v>
      </c>
      <c r="D207" s="6" t="s">
        <v>208</v>
      </c>
      <c r="E207" s="6" t="s">
        <v>209</v>
      </c>
      <c r="F207" s="6" t="s">
        <v>210</v>
      </c>
      <c r="G207" s="6" t="s">
        <v>19</v>
      </c>
      <c r="H207" s="11">
        <v>46144</v>
      </c>
      <c r="I207" s="11">
        <v>46185</v>
      </c>
      <c r="J207" s="6" t="s">
        <v>20</v>
      </c>
      <c r="K207" s="6" t="s">
        <v>24</v>
      </c>
      <c r="L207" s="6" t="s">
        <v>55</v>
      </c>
      <c r="M207" s="6">
        <v>41</v>
      </c>
      <c r="N207">
        <f t="shared" si="18"/>
        <v>1</v>
      </c>
      <c r="O207" t="str">
        <f t="shared" si="19"/>
        <v>05-2026</v>
      </c>
      <c r="P207" t="str">
        <f t="shared" si="20"/>
        <v>06-2026</v>
      </c>
      <c r="Q207">
        <f t="shared" si="21"/>
        <v>0</v>
      </c>
      <c r="R207">
        <f t="shared" si="22"/>
        <v>1</v>
      </c>
      <c r="S207" t="str">
        <f t="shared" si="23"/>
        <v>0-90</v>
      </c>
    </row>
    <row r="208" spans="1:19" x14ac:dyDescent="0.25">
      <c r="A208" s="6" t="s">
        <v>243</v>
      </c>
      <c r="B208" s="6" t="s">
        <v>14</v>
      </c>
      <c r="C208" s="6" t="s">
        <v>15</v>
      </c>
      <c r="D208" s="6" t="s">
        <v>208</v>
      </c>
      <c r="E208" s="6" t="s">
        <v>209</v>
      </c>
      <c r="F208" s="6" t="s">
        <v>210</v>
      </c>
      <c r="G208" s="6" t="s">
        <v>19</v>
      </c>
      <c r="H208" s="11">
        <v>46115</v>
      </c>
      <c r="I208" s="11"/>
      <c r="J208" s="6" t="s">
        <v>27</v>
      </c>
      <c r="K208" s="6"/>
      <c r="L208" s="6"/>
      <c r="M208" s="6">
        <v>88</v>
      </c>
      <c r="N208">
        <f t="shared" si="18"/>
        <v>0</v>
      </c>
      <c r="O208" t="str">
        <f t="shared" si="19"/>
        <v>04-2026</v>
      </c>
      <c r="P208" t="str">
        <f t="shared" si="20"/>
        <v/>
      </c>
      <c r="Q208">
        <f t="shared" si="21"/>
        <v>0</v>
      </c>
      <c r="R208">
        <f t="shared" si="22"/>
        <v>0</v>
      </c>
      <c r="S208" t="str">
        <f t="shared" si="23"/>
        <v>0-90</v>
      </c>
    </row>
    <row r="209" spans="1:19" x14ac:dyDescent="0.25">
      <c r="A209" s="6" t="s">
        <v>244</v>
      </c>
      <c r="B209" s="6" t="s">
        <v>14</v>
      </c>
      <c r="C209" s="6" t="s">
        <v>15</v>
      </c>
      <c r="D209" s="6" t="s">
        <v>208</v>
      </c>
      <c r="E209" s="6" t="s">
        <v>209</v>
      </c>
      <c r="F209" s="6" t="s">
        <v>210</v>
      </c>
      <c r="G209" s="6" t="s">
        <v>19</v>
      </c>
      <c r="H209" s="11">
        <v>46115</v>
      </c>
      <c r="I209" s="11">
        <v>46115</v>
      </c>
      <c r="J209" s="6" t="s">
        <v>20</v>
      </c>
      <c r="K209" s="6" t="s">
        <v>21</v>
      </c>
      <c r="L209" s="6" t="s">
        <v>50</v>
      </c>
      <c r="M209" s="6">
        <v>0</v>
      </c>
      <c r="N209">
        <f t="shared" si="18"/>
        <v>1</v>
      </c>
      <c r="O209" t="str">
        <f t="shared" si="19"/>
        <v>04-2026</v>
      </c>
      <c r="P209" t="str">
        <f t="shared" si="20"/>
        <v>04-2026</v>
      </c>
      <c r="Q209">
        <f t="shared" si="21"/>
        <v>1</v>
      </c>
      <c r="R209">
        <f t="shared" si="22"/>
        <v>0</v>
      </c>
      <c r="S209" t="str">
        <f t="shared" si="23"/>
        <v>0-90</v>
      </c>
    </row>
    <row r="210" spans="1:19" x14ac:dyDescent="0.25">
      <c r="A210" s="6" t="s">
        <v>245</v>
      </c>
      <c r="B210" s="6" t="s">
        <v>14</v>
      </c>
      <c r="C210" s="6" t="s">
        <v>15</v>
      </c>
      <c r="D210" s="6" t="s">
        <v>208</v>
      </c>
      <c r="E210" s="6" t="s">
        <v>209</v>
      </c>
      <c r="F210" s="6" t="s">
        <v>210</v>
      </c>
      <c r="G210" s="6" t="s">
        <v>19</v>
      </c>
      <c r="H210" s="11">
        <v>46115</v>
      </c>
      <c r="I210" s="11">
        <v>46120</v>
      </c>
      <c r="J210" s="6" t="s">
        <v>20</v>
      </c>
      <c r="K210" s="6" t="s">
        <v>21</v>
      </c>
      <c r="L210" s="6" t="s">
        <v>22</v>
      </c>
      <c r="M210" s="6">
        <v>5</v>
      </c>
      <c r="N210">
        <f t="shared" si="18"/>
        <v>1</v>
      </c>
      <c r="O210" t="str">
        <f t="shared" si="19"/>
        <v>04-2026</v>
      </c>
      <c r="P210" t="str">
        <f t="shared" si="20"/>
        <v>04-2026</v>
      </c>
      <c r="Q210">
        <f t="shared" si="21"/>
        <v>1</v>
      </c>
      <c r="R210">
        <f t="shared" si="22"/>
        <v>0</v>
      </c>
      <c r="S210" t="str">
        <f t="shared" si="23"/>
        <v>0-90</v>
      </c>
    </row>
    <row r="211" spans="1:19" x14ac:dyDescent="0.25">
      <c r="A211" s="6" t="s">
        <v>246</v>
      </c>
      <c r="B211" s="6" t="s">
        <v>14</v>
      </c>
      <c r="C211" s="6" t="s">
        <v>15</v>
      </c>
      <c r="D211" s="6" t="s">
        <v>208</v>
      </c>
      <c r="E211" s="6" t="s">
        <v>209</v>
      </c>
      <c r="F211" s="6" t="s">
        <v>210</v>
      </c>
      <c r="G211" s="6" t="s">
        <v>19</v>
      </c>
      <c r="H211" s="11">
        <v>46056</v>
      </c>
      <c r="I211" s="11"/>
      <c r="J211" s="6" t="s">
        <v>27</v>
      </c>
      <c r="K211" s="6"/>
      <c r="L211" s="6"/>
      <c r="M211" s="6">
        <v>147</v>
      </c>
      <c r="N211">
        <f t="shared" si="18"/>
        <v>0</v>
      </c>
      <c r="O211" t="str">
        <f t="shared" si="19"/>
        <v>02-2026</v>
      </c>
      <c r="P211" t="str">
        <f t="shared" si="20"/>
        <v/>
      </c>
      <c r="Q211">
        <f t="shared" si="21"/>
        <v>0</v>
      </c>
      <c r="R211">
        <f t="shared" si="22"/>
        <v>0</v>
      </c>
      <c r="S211" t="str">
        <f t="shared" si="23"/>
        <v>90-180</v>
      </c>
    </row>
    <row r="212" spans="1:19" x14ac:dyDescent="0.25">
      <c r="A212" s="6" t="s">
        <v>247</v>
      </c>
      <c r="B212" s="6" t="s">
        <v>14</v>
      </c>
      <c r="C212" s="6" t="s">
        <v>15</v>
      </c>
      <c r="D212" s="6" t="s">
        <v>208</v>
      </c>
      <c r="E212" s="6" t="s">
        <v>209</v>
      </c>
      <c r="F212" s="6" t="s">
        <v>210</v>
      </c>
      <c r="G212" s="6" t="s">
        <v>19</v>
      </c>
      <c r="H212" s="11">
        <v>46056</v>
      </c>
      <c r="I212" s="11"/>
      <c r="J212" s="6" t="s">
        <v>27</v>
      </c>
      <c r="K212" s="6"/>
      <c r="L212" s="6"/>
      <c r="M212" s="6">
        <v>147</v>
      </c>
      <c r="N212">
        <f t="shared" si="18"/>
        <v>0</v>
      </c>
      <c r="O212" t="str">
        <f t="shared" si="19"/>
        <v>02-2026</v>
      </c>
      <c r="P212" t="str">
        <f t="shared" si="20"/>
        <v/>
      </c>
      <c r="Q212">
        <f t="shared" si="21"/>
        <v>0</v>
      </c>
      <c r="R212">
        <f t="shared" si="22"/>
        <v>0</v>
      </c>
      <c r="S212" t="str">
        <f t="shared" si="23"/>
        <v>90-180</v>
      </c>
    </row>
    <row r="213" spans="1:19" x14ac:dyDescent="0.25">
      <c r="A213" s="6" t="s">
        <v>248</v>
      </c>
      <c r="B213" s="6" t="s">
        <v>14</v>
      </c>
      <c r="C213" s="6" t="s">
        <v>15</v>
      </c>
      <c r="D213" s="6" t="s">
        <v>208</v>
      </c>
      <c r="E213" s="6" t="s">
        <v>209</v>
      </c>
      <c r="F213" s="6" t="s">
        <v>210</v>
      </c>
      <c r="G213" s="6" t="s">
        <v>19</v>
      </c>
      <c r="H213" s="11">
        <v>45660</v>
      </c>
      <c r="I213" s="11">
        <v>46122</v>
      </c>
      <c r="J213" s="6" t="s">
        <v>20</v>
      </c>
      <c r="K213" s="6" t="s">
        <v>21</v>
      </c>
      <c r="L213" s="6" t="s">
        <v>30</v>
      </c>
      <c r="M213" s="6">
        <v>462</v>
      </c>
      <c r="N213">
        <f t="shared" si="18"/>
        <v>1</v>
      </c>
      <c r="O213" t="str">
        <f t="shared" si="19"/>
        <v>01-2025</v>
      </c>
      <c r="P213" t="str">
        <f t="shared" si="20"/>
        <v>04-2026</v>
      </c>
      <c r="Q213">
        <f t="shared" si="21"/>
        <v>1</v>
      </c>
      <c r="R213">
        <f t="shared" si="22"/>
        <v>0</v>
      </c>
      <c r="S213" t="str">
        <f t="shared" si="23"/>
        <v>above 1 year</v>
      </c>
    </row>
    <row r="214" spans="1:19" x14ac:dyDescent="0.25">
      <c r="A214" s="6" t="s">
        <v>249</v>
      </c>
      <c r="B214" s="6" t="s">
        <v>14</v>
      </c>
      <c r="C214" s="6" t="s">
        <v>15</v>
      </c>
      <c r="D214" s="6" t="s">
        <v>208</v>
      </c>
      <c r="E214" s="6" t="s">
        <v>209</v>
      </c>
      <c r="F214" s="6" t="s">
        <v>210</v>
      </c>
      <c r="G214" s="6" t="s">
        <v>19</v>
      </c>
      <c r="H214" s="11">
        <v>46025</v>
      </c>
      <c r="I214" s="11"/>
      <c r="J214" s="6" t="s">
        <v>27</v>
      </c>
      <c r="K214" s="6"/>
      <c r="L214" s="6"/>
      <c r="M214" s="6">
        <v>178</v>
      </c>
      <c r="N214">
        <f t="shared" si="18"/>
        <v>0</v>
      </c>
      <c r="O214" t="str">
        <f t="shared" si="19"/>
        <v>01-2026</v>
      </c>
      <c r="P214" t="str">
        <f t="shared" si="20"/>
        <v/>
      </c>
      <c r="Q214">
        <f t="shared" si="21"/>
        <v>0</v>
      </c>
      <c r="R214">
        <f t="shared" si="22"/>
        <v>0</v>
      </c>
      <c r="S214" t="str">
        <f t="shared" si="23"/>
        <v>90-180</v>
      </c>
    </row>
    <row r="215" spans="1:19" x14ac:dyDescent="0.25">
      <c r="A215" s="6" t="s">
        <v>250</v>
      </c>
      <c r="B215" s="6" t="s">
        <v>14</v>
      </c>
      <c r="C215" s="6" t="s">
        <v>15</v>
      </c>
      <c r="D215" s="6" t="s">
        <v>208</v>
      </c>
      <c r="E215" s="6" t="s">
        <v>209</v>
      </c>
      <c r="F215" s="6" t="s">
        <v>210</v>
      </c>
      <c r="G215" s="6" t="s">
        <v>19</v>
      </c>
      <c r="H215" s="11">
        <v>46176</v>
      </c>
      <c r="I215" s="11">
        <v>46199</v>
      </c>
      <c r="J215" s="6" t="s">
        <v>20</v>
      </c>
      <c r="K215" s="6" t="s">
        <v>21</v>
      </c>
      <c r="L215" s="6" t="s">
        <v>61</v>
      </c>
      <c r="M215" s="6">
        <v>23</v>
      </c>
      <c r="N215">
        <f t="shared" si="18"/>
        <v>1</v>
      </c>
      <c r="O215" t="str">
        <f t="shared" si="19"/>
        <v>06-2026</v>
      </c>
      <c r="P215" t="str">
        <f t="shared" si="20"/>
        <v>06-2026</v>
      </c>
      <c r="Q215">
        <f t="shared" si="21"/>
        <v>1</v>
      </c>
      <c r="R215">
        <f t="shared" si="22"/>
        <v>0</v>
      </c>
      <c r="S215" t="str">
        <f t="shared" si="23"/>
        <v>0-90</v>
      </c>
    </row>
    <row r="216" spans="1:19" x14ac:dyDescent="0.25">
      <c r="A216" s="6" t="s">
        <v>251</v>
      </c>
      <c r="B216" s="6" t="s">
        <v>14</v>
      </c>
      <c r="C216" s="6" t="s">
        <v>15</v>
      </c>
      <c r="D216" s="6" t="s">
        <v>208</v>
      </c>
      <c r="E216" s="6" t="s">
        <v>209</v>
      </c>
      <c r="F216" s="6" t="s">
        <v>210</v>
      </c>
      <c r="G216" s="6" t="s">
        <v>19</v>
      </c>
      <c r="H216" s="11">
        <v>46176</v>
      </c>
      <c r="I216" s="11">
        <v>46198</v>
      </c>
      <c r="J216" s="6" t="s">
        <v>20</v>
      </c>
      <c r="K216" s="6" t="s">
        <v>21</v>
      </c>
      <c r="L216" s="6" t="s">
        <v>61</v>
      </c>
      <c r="M216" s="6">
        <v>22</v>
      </c>
      <c r="N216">
        <f t="shared" si="18"/>
        <v>1</v>
      </c>
      <c r="O216" t="str">
        <f t="shared" si="19"/>
        <v>06-2026</v>
      </c>
      <c r="P216" t="str">
        <f t="shared" si="20"/>
        <v>06-2026</v>
      </c>
      <c r="Q216">
        <f t="shared" si="21"/>
        <v>1</v>
      </c>
      <c r="R216">
        <f t="shared" si="22"/>
        <v>0</v>
      </c>
      <c r="S216" t="str">
        <f t="shared" si="23"/>
        <v>0-90</v>
      </c>
    </row>
    <row r="217" spans="1:19" x14ac:dyDescent="0.25">
      <c r="A217" s="6" t="s">
        <v>252</v>
      </c>
      <c r="B217" s="6" t="s">
        <v>14</v>
      </c>
      <c r="C217" s="6" t="s">
        <v>15</v>
      </c>
      <c r="D217" s="6" t="s">
        <v>208</v>
      </c>
      <c r="E217" s="6" t="s">
        <v>209</v>
      </c>
      <c r="F217" s="6" t="s">
        <v>210</v>
      </c>
      <c r="G217" s="6" t="s">
        <v>19</v>
      </c>
      <c r="H217" s="11">
        <v>45780</v>
      </c>
      <c r="I217" s="11"/>
      <c r="J217" s="6" t="s">
        <v>27</v>
      </c>
      <c r="K217" s="6"/>
      <c r="L217" s="6"/>
      <c r="M217" s="6">
        <v>423</v>
      </c>
      <c r="N217">
        <f t="shared" si="18"/>
        <v>0</v>
      </c>
      <c r="O217" t="str">
        <f t="shared" si="19"/>
        <v>05-2025</v>
      </c>
      <c r="P217" t="str">
        <f t="shared" si="20"/>
        <v/>
      </c>
      <c r="Q217">
        <f t="shared" si="21"/>
        <v>0</v>
      </c>
      <c r="R217">
        <f t="shared" si="22"/>
        <v>0</v>
      </c>
      <c r="S217" t="str">
        <f t="shared" si="23"/>
        <v>above 1 year</v>
      </c>
    </row>
    <row r="218" spans="1:19" x14ac:dyDescent="0.25">
      <c r="A218" s="6" t="s">
        <v>253</v>
      </c>
      <c r="B218" s="6" t="s">
        <v>14</v>
      </c>
      <c r="C218" s="6" t="s">
        <v>15</v>
      </c>
      <c r="D218" s="6" t="s">
        <v>208</v>
      </c>
      <c r="E218" s="6" t="s">
        <v>209</v>
      </c>
      <c r="F218" s="6" t="s">
        <v>210</v>
      </c>
      <c r="G218" s="6" t="s">
        <v>19</v>
      </c>
      <c r="H218" s="11">
        <v>46145</v>
      </c>
      <c r="I218" s="11">
        <v>46169</v>
      </c>
      <c r="J218" s="6" t="s">
        <v>20</v>
      </c>
      <c r="K218" s="6" t="s">
        <v>21</v>
      </c>
      <c r="L218" s="6" t="s">
        <v>33</v>
      </c>
      <c r="M218" s="6">
        <v>24</v>
      </c>
      <c r="N218">
        <f t="shared" si="18"/>
        <v>1</v>
      </c>
      <c r="O218" t="str">
        <f t="shared" si="19"/>
        <v>05-2026</v>
      </c>
      <c r="P218" t="str">
        <f t="shared" si="20"/>
        <v>05-2026</v>
      </c>
      <c r="Q218">
        <f t="shared" si="21"/>
        <v>1</v>
      </c>
      <c r="R218">
        <f t="shared" si="22"/>
        <v>0</v>
      </c>
      <c r="S218" t="str">
        <f t="shared" si="23"/>
        <v>0-90</v>
      </c>
    </row>
    <row r="219" spans="1:19" x14ac:dyDescent="0.25">
      <c r="A219" s="6" t="s">
        <v>254</v>
      </c>
      <c r="B219" s="6" t="s">
        <v>14</v>
      </c>
      <c r="C219" s="6" t="s">
        <v>15</v>
      </c>
      <c r="D219" s="6" t="s">
        <v>208</v>
      </c>
      <c r="E219" s="6" t="s">
        <v>209</v>
      </c>
      <c r="F219" s="6" t="s">
        <v>210</v>
      </c>
      <c r="G219" s="6" t="s">
        <v>19</v>
      </c>
      <c r="H219" s="11">
        <v>46145</v>
      </c>
      <c r="I219" s="11">
        <v>46196</v>
      </c>
      <c r="J219" s="6" t="s">
        <v>20</v>
      </c>
      <c r="K219" s="6" t="s">
        <v>24</v>
      </c>
      <c r="L219" s="6" t="s">
        <v>41</v>
      </c>
      <c r="M219" s="6">
        <v>51</v>
      </c>
      <c r="N219">
        <f t="shared" si="18"/>
        <v>1</v>
      </c>
      <c r="O219" t="str">
        <f t="shared" si="19"/>
        <v>05-2026</v>
      </c>
      <c r="P219" t="str">
        <f t="shared" si="20"/>
        <v>06-2026</v>
      </c>
      <c r="Q219">
        <f t="shared" si="21"/>
        <v>0</v>
      </c>
      <c r="R219">
        <f t="shared" si="22"/>
        <v>1</v>
      </c>
      <c r="S219" t="str">
        <f t="shared" si="23"/>
        <v>0-90</v>
      </c>
    </row>
    <row r="220" spans="1:19" x14ac:dyDescent="0.25">
      <c r="A220" s="6" t="s">
        <v>255</v>
      </c>
      <c r="B220" s="6" t="s">
        <v>14</v>
      </c>
      <c r="C220" s="6" t="s">
        <v>15</v>
      </c>
      <c r="D220" s="6" t="s">
        <v>208</v>
      </c>
      <c r="E220" s="6" t="s">
        <v>209</v>
      </c>
      <c r="F220" s="6" t="s">
        <v>210</v>
      </c>
      <c r="G220" s="6" t="s">
        <v>19</v>
      </c>
      <c r="H220" s="11">
        <v>46026</v>
      </c>
      <c r="I220" s="11">
        <v>46145</v>
      </c>
      <c r="J220" s="6" t="s">
        <v>20</v>
      </c>
      <c r="K220" s="6" t="s">
        <v>24</v>
      </c>
      <c r="L220" s="6" t="s">
        <v>55</v>
      </c>
      <c r="M220" s="6">
        <v>119</v>
      </c>
      <c r="N220">
        <f t="shared" si="18"/>
        <v>1</v>
      </c>
      <c r="O220" t="str">
        <f t="shared" si="19"/>
        <v>01-2026</v>
      </c>
      <c r="P220" t="str">
        <f t="shared" si="20"/>
        <v>05-2026</v>
      </c>
      <c r="Q220">
        <f t="shared" si="21"/>
        <v>0</v>
      </c>
      <c r="R220">
        <f t="shared" si="22"/>
        <v>1</v>
      </c>
      <c r="S220" t="str">
        <f t="shared" si="23"/>
        <v>90-180</v>
      </c>
    </row>
    <row r="221" spans="1:19" x14ac:dyDescent="0.25">
      <c r="A221" s="6" t="s">
        <v>256</v>
      </c>
      <c r="B221" s="6" t="s">
        <v>14</v>
      </c>
      <c r="C221" s="6" t="s">
        <v>15</v>
      </c>
      <c r="D221" s="6" t="s">
        <v>208</v>
      </c>
      <c r="E221" s="6" t="s">
        <v>209</v>
      </c>
      <c r="F221" s="6" t="s">
        <v>210</v>
      </c>
      <c r="G221" s="6" t="s">
        <v>19</v>
      </c>
      <c r="H221" s="11">
        <v>46177</v>
      </c>
      <c r="I221" s="11">
        <v>46185</v>
      </c>
      <c r="J221" s="6" t="s">
        <v>20</v>
      </c>
      <c r="K221" s="6" t="s">
        <v>21</v>
      </c>
      <c r="L221" s="6" t="s">
        <v>30</v>
      </c>
      <c r="M221" s="6">
        <v>8</v>
      </c>
      <c r="N221">
        <f t="shared" si="18"/>
        <v>1</v>
      </c>
      <c r="O221" t="str">
        <f t="shared" si="19"/>
        <v>06-2026</v>
      </c>
      <c r="P221" t="str">
        <f t="shared" si="20"/>
        <v>06-2026</v>
      </c>
      <c r="Q221">
        <f t="shared" si="21"/>
        <v>1</v>
      </c>
      <c r="R221">
        <f t="shared" si="22"/>
        <v>0</v>
      </c>
      <c r="S221" t="str">
        <f t="shared" si="23"/>
        <v>0-90</v>
      </c>
    </row>
    <row r="222" spans="1:19" x14ac:dyDescent="0.25">
      <c r="A222" s="6" t="s">
        <v>257</v>
      </c>
      <c r="B222" s="6" t="s">
        <v>14</v>
      </c>
      <c r="C222" s="6" t="s">
        <v>15</v>
      </c>
      <c r="D222" s="6" t="s">
        <v>208</v>
      </c>
      <c r="E222" s="6" t="s">
        <v>209</v>
      </c>
      <c r="F222" s="6" t="s">
        <v>210</v>
      </c>
      <c r="G222" s="6" t="s">
        <v>19</v>
      </c>
      <c r="H222" s="11">
        <v>46177</v>
      </c>
      <c r="I222" s="11">
        <v>46202</v>
      </c>
      <c r="J222" s="6" t="s">
        <v>20</v>
      </c>
      <c r="K222" s="6" t="s">
        <v>21</v>
      </c>
      <c r="L222" s="6" t="s">
        <v>33</v>
      </c>
      <c r="M222" s="6">
        <v>25</v>
      </c>
      <c r="N222">
        <f t="shared" si="18"/>
        <v>1</v>
      </c>
      <c r="O222" t="str">
        <f t="shared" si="19"/>
        <v>06-2026</v>
      </c>
      <c r="P222" t="str">
        <f t="shared" si="20"/>
        <v>06-2026</v>
      </c>
      <c r="Q222">
        <f t="shared" si="21"/>
        <v>1</v>
      </c>
      <c r="R222">
        <f t="shared" si="22"/>
        <v>0</v>
      </c>
      <c r="S222" t="str">
        <f t="shared" si="23"/>
        <v>0-90</v>
      </c>
    </row>
    <row r="223" spans="1:19" x14ac:dyDescent="0.25">
      <c r="A223" s="6" t="s">
        <v>258</v>
      </c>
      <c r="B223" s="6" t="s">
        <v>14</v>
      </c>
      <c r="C223" s="6" t="s">
        <v>15</v>
      </c>
      <c r="D223" s="6" t="s">
        <v>208</v>
      </c>
      <c r="E223" s="6" t="s">
        <v>209</v>
      </c>
      <c r="F223" s="6" t="s">
        <v>210</v>
      </c>
      <c r="G223" s="6" t="s">
        <v>19</v>
      </c>
      <c r="H223" s="11">
        <v>46177</v>
      </c>
      <c r="I223" s="11">
        <v>46180</v>
      </c>
      <c r="J223" s="6" t="s">
        <v>20</v>
      </c>
      <c r="K223" s="6" t="s">
        <v>21</v>
      </c>
      <c r="L223" s="6" t="s">
        <v>22</v>
      </c>
      <c r="M223" s="6">
        <v>3</v>
      </c>
      <c r="N223">
        <f t="shared" si="18"/>
        <v>1</v>
      </c>
      <c r="O223" t="str">
        <f t="shared" si="19"/>
        <v>06-2026</v>
      </c>
      <c r="P223" t="str">
        <f t="shared" si="20"/>
        <v>06-2026</v>
      </c>
      <c r="Q223">
        <f t="shared" si="21"/>
        <v>1</v>
      </c>
      <c r="R223">
        <f t="shared" si="22"/>
        <v>0</v>
      </c>
      <c r="S223" t="str">
        <f t="shared" si="23"/>
        <v>0-90</v>
      </c>
    </row>
    <row r="224" spans="1:19" x14ac:dyDescent="0.25">
      <c r="A224" s="6" t="s">
        <v>259</v>
      </c>
      <c r="B224" s="6" t="s">
        <v>14</v>
      </c>
      <c r="C224" s="6" t="s">
        <v>15</v>
      </c>
      <c r="D224" s="6" t="s">
        <v>208</v>
      </c>
      <c r="E224" s="6" t="s">
        <v>209</v>
      </c>
      <c r="F224" s="6" t="s">
        <v>210</v>
      </c>
      <c r="G224" s="6" t="s">
        <v>19</v>
      </c>
      <c r="H224" s="11">
        <v>46177</v>
      </c>
      <c r="I224" s="11"/>
      <c r="J224" s="6" t="s">
        <v>27</v>
      </c>
      <c r="K224" s="6"/>
      <c r="L224" s="6"/>
      <c r="M224" s="6">
        <v>26</v>
      </c>
      <c r="N224">
        <f t="shared" si="18"/>
        <v>0</v>
      </c>
      <c r="O224" t="str">
        <f t="shared" si="19"/>
        <v>06-2026</v>
      </c>
      <c r="P224" t="str">
        <f t="shared" si="20"/>
        <v/>
      </c>
      <c r="Q224">
        <f t="shared" si="21"/>
        <v>0</v>
      </c>
      <c r="R224">
        <f t="shared" si="22"/>
        <v>0</v>
      </c>
      <c r="S224" t="str">
        <f t="shared" si="23"/>
        <v>0-90</v>
      </c>
    </row>
    <row r="225" spans="1:19" x14ac:dyDescent="0.25">
      <c r="A225" s="6" t="s">
        <v>260</v>
      </c>
      <c r="B225" s="6" t="s">
        <v>14</v>
      </c>
      <c r="C225" s="6" t="s">
        <v>15</v>
      </c>
      <c r="D225" s="6" t="s">
        <v>208</v>
      </c>
      <c r="E225" s="6" t="s">
        <v>209</v>
      </c>
      <c r="F225" s="6" t="s">
        <v>210</v>
      </c>
      <c r="G225" s="6" t="s">
        <v>19</v>
      </c>
      <c r="H225" s="11">
        <v>45720</v>
      </c>
      <c r="I225" s="11">
        <v>46123</v>
      </c>
      <c r="J225" s="6" t="s">
        <v>20</v>
      </c>
      <c r="K225" s="6" t="s">
        <v>24</v>
      </c>
      <c r="L225" s="6" t="s">
        <v>44</v>
      </c>
      <c r="M225" s="6">
        <v>403</v>
      </c>
      <c r="N225">
        <f t="shared" si="18"/>
        <v>1</v>
      </c>
      <c r="O225" t="str">
        <f t="shared" si="19"/>
        <v>03-2025</v>
      </c>
      <c r="P225" t="str">
        <f t="shared" si="20"/>
        <v>04-2026</v>
      </c>
      <c r="Q225">
        <f t="shared" si="21"/>
        <v>0</v>
      </c>
      <c r="R225">
        <f t="shared" si="22"/>
        <v>1</v>
      </c>
      <c r="S225" t="str">
        <f t="shared" si="23"/>
        <v>above 1 year</v>
      </c>
    </row>
    <row r="226" spans="1:19" x14ac:dyDescent="0.25">
      <c r="A226" s="6" t="s">
        <v>261</v>
      </c>
      <c r="B226" s="6" t="s">
        <v>14</v>
      </c>
      <c r="C226" s="6" t="s">
        <v>15</v>
      </c>
      <c r="D226" s="6" t="s">
        <v>208</v>
      </c>
      <c r="E226" s="6" t="s">
        <v>209</v>
      </c>
      <c r="F226" s="6" t="s">
        <v>210</v>
      </c>
      <c r="G226" s="6" t="s">
        <v>19</v>
      </c>
      <c r="H226" s="11">
        <v>46146</v>
      </c>
      <c r="I226" s="11">
        <v>46170</v>
      </c>
      <c r="J226" s="6" t="s">
        <v>20</v>
      </c>
      <c r="K226" s="6" t="s">
        <v>21</v>
      </c>
      <c r="L226" s="6" t="s">
        <v>37</v>
      </c>
      <c r="M226" s="6">
        <v>24</v>
      </c>
      <c r="N226">
        <f t="shared" si="18"/>
        <v>1</v>
      </c>
      <c r="O226" t="str">
        <f t="shared" si="19"/>
        <v>05-2026</v>
      </c>
      <c r="P226" t="str">
        <f t="shared" si="20"/>
        <v>05-2026</v>
      </c>
      <c r="Q226">
        <f t="shared" si="21"/>
        <v>1</v>
      </c>
      <c r="R226">
        <f t="shared" si="22"/>
        <v>0</v>
      </c>
      <c r="S226" t="str">
        <f t="shared" si="23"/>
        <v>0-90</v>
      </c>
    </row>
    <row r="227" spans="1:19" x14ac:dyDescent="0.25">
      <c r="A227" s="6" t="s">
        <v>262</v>
      </c>
      <c r="B227" s="6" t="s">
        <v>14</v>
      </c>
      <c r="C227" s="6" t="s">
        <v>15</v>
      </c>
      <c r="D227" s="6" t="s">
        <v>208</v>
      </c>
      <c r="E227" s="6" t="s">
        <v>209</v>
      </c>
      <c r="F227" s="6" t="s">
        <v>210</v>
      </c>
      <c r="G227" s="6" t="s">
        <v>19</v>
      </c>
      <c r="H227" s="11">
        <v>46146</v>
      </c>
      <c r="I227" s="11"/>
      <c r="J227" s="6" t="s">
        <v>27</v>
      </c>
      <c r="K227" s="6"/>
      <c r="L227" s="6"/>
      <c r="M227" s="6">
        <v>57</v>
      </c>
      <c r="N227">
        <f t="shared" si="18"/>
        <v>0</v>
      </c>
      <c r="O227" t="str">
        <f t="shared" si="19"/>
        <v>05-2026</v>
      </c>
      <c r="P227" t="str">
        <f t="shared" si="20"/>
        <v/>
      </c>
      <c r="Q227">
        <f t="shared" si="21"/>
        <v>0</v>
      </c>
      <c r="R227">
        <f t="shared" si="22"/>
        <v>0</v>
      </c>
      <c r="S227" t="str">
        <f t="shared" si="23"/>
        <v>0-90</v>
      </c>
    </row>
    <row r="228" spans="1:19" x14ac:dyDescent="0.25">
      <c r="A228" s="6" t="s">
        <v>263</v>
      </c>
      <c r="B228" s="6" t="s">
        <v>14</v>
      </c>
      <c r="C228" s="6" t="s">
        <v>15</v>
      </c>
      <c r="D228" s="6" t="s">
        <v>208</v>
      </c>
      <c r="E228" s="6" t="s">
        <v>209</v>
      </c>
      <c r="F228" s="6" t="s">
        <v>210</v>
      </c>
      <c r="G228" s="6" t="s">
        <v>19</v>
      </c>
      <c r="H228" s="11">
        <v>46146</v>
      </c>
      <c r="I228" s="11">
        <v>46197</v>
      </c>
      <c r="J228" s="6" t="s">
        <v>20</v>
      </c>
      <c r="K228" s="6" t="s">
        <v>24</v>
      </c>
      <c r="L228" s="6" t="s">
        <v>55</v>
      </c>
      <c r="M228" s="6">
        <v>51</v>
      </c>
      <c r="N228">
        <f t="shared" si="18"/>
        <v>1</v>
      </c>
      <c r="O228" t="str">
        <f t="shared" si="19"/>
        <v>05-2026</v>
      </c>
      <c r="P228" t="str">
        <f t="shared" si="20"/>
        <v>06-2026</v>
      </c>
      <c r="Q228">
        <f t="shared" si="21"/>
        <v>0</v>
      </c>
      <c r="R228">
        <f t="shared" si="22"/>
        <v>1</v>
      </c>
      <c r="S228" t="str">
        <f t="shared" si="23"/>
        <v>0-90</v>
      </c>
    </row>
    <row r="229" spans="1:19" x14ac:dyDescent="0.25">
      <c r="A229" s="6" t="s">
        <v>264</v>
      </c>
      <c r="B229" s="6" t="s">
        <v>14</v>
      </c>
      <c r="C229" s="6" t="s">
        <v>15</v>
      </c>
      <c r="D229" s="6" t="s">
        <v>208</v>
      </c>
      <c r="E229" s="6" t="s">
        <v>209</v>
      </c>
      <c r="F229" s="6" t="s">
        <v>210</v>
      </c>
      <c r="G229" s="6" t="s">
        <v>19</v>
      </c>
      <c r="H229" s="11">
        <v>45934</v>
      </c>
      <c r="I229" s="11">
        <v>46143</v>
      </c>
      <c r="J229" s="6" t="s">
        <v>20</v>
      </c>
      <c r="K229" s="6" t="s">
        <v>24</v>
      </c>
      <c r="L229" s="6" t="s">
        <v>25</v>
      </c>
      <c r="M229" s="6">
        <v>209</v>
      </c>
      <c r="N229">
        <f t="shared" si="18"/>
        <v>1</v>
      </c>
      <c r="O229" t="str">
        <f t="shared" si="19"/>
        <v>10-2025</v>
      </c>
      <c r="P229" t="str">
        <f t="shared" si="20"/>
        <v>05-2026</v>
      </c>
      <c r="Q229">
        <f t="shared" si="21"/>
        <v>0</v>
      </c>
      <c r="R229">
        <f t="shared" si="22"/>
        <v>1</v>
      </c>
      <c r="S229" t="str">
        <f t="shared" si="23"/>
        <v>180-365</v>
      </c>
    </row>
    <row r="230" spans="1:19" x14ac:dyDescent="0.25">
      <c r="A230" s="6" t="s">
        <v>265</v>
      </c>
      <c r="B230" s="6" t="s">
        <v>14</v>
      </c>
      <c r="C230" s="6" t="s">
        <v>15</v>
      </c>
      <c r="D230" s="6" t="s">
        <v>208</v>
      </c>
      <c r="E230" s="6" t="s">
        <v>209</v>
      </c>
      <c r="F230" s="6" t="s">
        <v>210</v>
      </c>
      <c r="G230" s="6" t="s">
        <v>19</v>
      </c>
      <c r="H230" s="11">
        <v>46117</v>
      </c>
      <c r="I230" s="11"/>
      <c r="J230" s="6" t="s">
        <v>27</v>
      </c>
      <c r="K230" s="6"/>
      <c r="L230" s="6"/>
      <c r="M230" s="6">
        <v>86</v>
      </c>
      <c r="N230">
        <f t="shared" si="18"/>
        <v>0</v>
      </c>
      <c r="O230" t="str">
        <f t="shared" si="19"/>
        <v>04-2026</v>
      </c>
      <c r="P230" t="str">
        <f t="shared" si="20"/>
        <v/>
      </c>
      <c r="Q230">
        <f t="shared" si="21"/>
        <v>0</v>
      </c>
      <c r="R230">
        <f t="shared" si="22"/>
        <v>0</v>
      </c>
      <c r="S230" t="str">
        <f t="shared" si="23"/>
        <v>0-90</v>
      </c>
    </row>
    <row r="231" spans="1:19" x14ac:dyDescent="0.25">
      <c r="A231" s="6" t="s">
        <v>266</v>
      </c>
      <c r="B231" s="6" t="s">
        <v>14</v>
      </c>
      <c r="C231" s="6" t="s">
        <v>15</v>
      </c>
      <c r="D231" s="6" t="s">
        <v>208</v>
      </c>
      <c r="E231" s="6" t="s">
        <v>209</v>
      </c>
      <c r="F231" s="6" t="s">
        <v>210</v>
      </c>
      <c r="G231" s="6" t="s">
        <v>19</v>
      </c>
      <c r="H231" s="11">
        <v>46117</v>
      </c>
      <c r="I231" s="11">
        <v>46121</v>
      </c>
      <c r="J231" s="6" t="s">
        <v>20</v>
      </c>
      <c r="K231" s="6" t="s">
        <v>21</v>
      </c>
      <c r="L231" s="6" t="s">
        <v>30</v>
      </c>
      <c r="M231" s="6">
        <v>4</v>
      </c>
      <c r="N231">
        <f t="shared" si="18"/>
        <v>1</v>
      </c>
      <c r="O231" t="str">
        <f t="shared" si="19"/>
        <v>04-2026</v>
      </c>
      <c r="P231" t="str">
        <f t="shared" si="20"/>
        <v>04-2026</v>
      </c>
      <c r="Q231">
        <f t="shared" si="21"/>
        <v>1</v>
      </c>
      <c r="R231">
        <f t="shared" si="22"/>
        <v>0</v>
      </c>
      <c r="S231" t="str">
        <f t="shared" si="23"/>
        <v>0-90</v>
      </c>
    </row>
    <row r="232" spans="1:19" x14ac:dyDescent="0.25">
      <c r="A232" s="6" t="s">
        <v>267</v>
      </c>
      <c r="B232" s="6" t="s">
        <v>14</v>
      </c>
      <c r="C232" s="6" t="s">
        <v>15</v>
      </c>
      <c r="D232" s="6" t="s">
        <v>208</v>
      </c>
      <c r="E232" s="6" t="s">
        <v>209</v>
      </c>
      <c r="F232" s="6" t="s">
        <v>210</v>
      </c>
      <c r="G232" s="6" t="s">
        <v>19</v>
      </c>
      <c r="H232" s="11">
        <v>46178</v>
      </c>
      <c r="I232" s="11"/>
      <c r="J232" s="6" t="s">
        <v>27</v>
      </c>
      <c r="K232" s="6"/>
      <c r="L232" s="6"/>
      <c r="M232" s="6">
        <v>25</v>
      </c>
      <c r="N232">
        <f t="shared" si="18"/>
        <v>0</v>
      </c>
      <c r="O232" t="str">
        <f t="shared" si="19"/>
        <v>06-2026</v>
      </c>
      <c r="P232" t="str">
        <f t="shared" si="20"/>
        <v/>
      </c>
      <c r="Q232">
        <f t="shared" si="21"/>
        <v>0</v>
      </c>
      <c r="R232">
        <f t="shared" si="22"/>
        <v>0</v>
      </c>
      <c r="S232" t="str">
        <f t="shared" si="23"/>
        <v>0-90</v>
      </c>
    </row>
    <row r="233" spans="1:19" x14ac:dyDescent="0.25">
      <c r="A233" s="6" t="s">
        <v>268</v>
      </c>
      <c r="B233" s="6" t="s">
        <v>14</v>
      </c>
      <c r="C233" s="6" t="s">
        <v>15</v>
      </c>
      <c r="D233" s="6" t="s">
        <v>208</v>
      </c>
      <c r="E233" s="6" t="s">
        <v>209</v>
      </c>
      <c r="F233" s="6" t="s">
        <v>210</v>
      </c>
      <c r="G233" s="6" t="s">
        <v>19</v>
      </c>
      <c r="H233" s="11">
        <v>46178</v>
      </c>
      <c r="I233" s="11">
        <v>46189</v>
      </c>
      <c r="J233" s="6" t="s">
        <v>20</v>
      </c>
      <c r="K233" s="6" t="s">
        <v>21</v>
      </c>
      <c r="L233" s="6" t="s">
        <v>22</v>
      </c>
      <c r="M233" s="6">
        <v>11</v>
      </c>
      <c r="N233">
        <f t="shared" si="18"/>
        <v>1</v>
      </c>
      <c r="O233" t="str">
        <f t="shared" si="19"/>
        <v>06-2026</v>
      </c>
      <c r="P233" t="str">
        <f t="shared" si="20"/>
        <v>06-2026</v>
      </c>
      <c r="Q233">
        <f t="shared" si="21"/>
        <v>1</v>
      </c>
      <c r="R233">
        <f t="shared" si="22"/>
        <v>0</v>
      </c>
      <c r="S233" t="str">
        <f t="shared" si="23"/>
        <v>0-90</v>
      </c>
    </row>
    <row r="234" spans="1:19" x14ac:dyDescent="0.25">
      <c r="A234" s="6" t="s">
        <v>269</v>
      </c>
      <c r="B234" s="6" t="s">
        <v>14</v>
      </c>
      <c r="C234" s="6" t="s">
        <v>15</v>
      </c>
      <c r="D234" s="6" t="s">
        <v>208</v>
      </c>
      <c r="E234" s="6" t="s">
        <v>209</v>
      </c>
      <c r="F234" s="6" t="s">
        <v>210</v>
      </c>
      <c r="G234" s="6" t="s">
        <v>19</v>
      </c>
      <c r="H234" s="11">
        <v>46178</v>
      </c>
      <c r="I234" s="11">
        <v>46178</v>
      </c>
      <c r="J234" s="6" t="s">
        <v>20</v>
      </c>
      <c r="K234" s="6" t="s">
        <v>21</v>
      </c>
      <c r="L234" s="6" t="s">
        <v>37</v>
      </c>
      <c r="M234" s="6">
        <v>0</v>
      </c>
      <c r="N234">
        <f t="shared" si="18"/>
        <v>1</v>
      </c>
      <c r="O234" t="str">
        <f t="shared" si="19"/>
        <v>06-2026</v>
      </c>
      <c r="P234" t="str">
        <f t="shared" si="20"/>
        <v>06-2026</v>
      </c>
      <c r="Q234">
        <f t="shared" si="21"/>
        <v>1</v>
      </c>
      <c r="R234">
        <f t="shared" si="22"/>
        <v>0</v>
      </c>
      <c r="S234" t="str">
        <f t="shared" si="23"/>
        <v>0-90</v>
      </c>
    </row>
    <row r="235" spans="1:19" x14ac:dyDescent="0.25">
      <c r="A235" s="6" t="s">
        <v>270</v>
      </c>
      <c r="B235" s="6" t="s">
        <v>14</v>
      </c>
      <c r="C235" s="6" t="s">
        <v>15</v>
      </c>
      <c r="D235" s="6" t="s">
        <v>208</v>
      </c>
      <c r="E235" s="6" t="s">
        <v>209</v>
      </c>
      <c r="F235" s="6" t="s">
        <v>210</v>
      </c>
      <c r="G235" s="6" t="s">
        <v>19</v>
      </c>
      <c r="H235" s="11">
        <v>45782</v>
      </c>
      <c r="I235" s="11">
        <v>46127</v>
      </c>
      <c r="J235" s="6" t="s">
        <v>20</v>
      </c>
      <c r="K235" s="6" t="s">
        <v>21</v>
      </c>
      <c r="L235" s="6" t="s">
        <v>30</v>
      </c>
      <c r="M235" s="6">
        <v>345</v>
      </c>
      <c r="N235">
        <f t="shared" si="18"/>
        <v>1</v>
      </c>
      <c r="O235" t="str">
        <f t="shared" si="19"/>
        <v>05-2025</v>
      </c>
      <c r="P235" t="str">
        <f t="shared" si="20"/>
        <v>04-2026</v>
      </c>
      <c r="Q235">
        <f t="shared" si="21"/>
        <v>1</v>
      </c>
      <c r="R235">
        <f t="shared" si="22"/>
        <v>0</v>
      </c>
      <c r="S235" t="str">
        <f t="shared" si="23"/>
        <v>180-365</v>
      </c>
    </row>
    <row r="236" spans="1:19" x14ac:dyDescent="0.25">
      <c r="A236" s="6" t="s">
        <v>271</v>
      </c>
      <c r="B236" s="6" t="s">
        <v>14</v>
      </c>
      <c r="C236" s="6" t="s">
        <v>15</v>
      </c>
      <c r="D236" s="6" t="s">
        <v>208</v>
      </c>
      <c r="E236" s="6" t="s">
        <v>209</v>
      </c>
      <c r="F236" s="6" t="s">
        <v>210</v>
      </c>
      <c r="G236" s="6" t="s">
        <v>19</v>
      </c>
      <c r="H236" s="11">
        <v>46147</v>
      </c>
      <c r="I236" s="11"/>
      <c r="J236" s="6" t="s">
        <v>27</v>
      </c>
      <c r="K236" s="6"/>
      <c r="L236" s="6"/>
      <c r="M236" s="6">
        <v>56</v>
      </c>
      <c r="N236">
        <f t="shared" si="18"/>
        <v>0</v>
      </c>
      <c r="O236" t="str">
        <f t="shared" si="19"/>
        <v>05-2026</v>
      </c>
      <c r="P236" t="str">
        <f t="shared" si="20"/>
        <v/>
      </c>
      <c r="Q236">
        <f t="shared" si="21"/>
        <v>0</v>
      </c>
      <c r="R236">
        <f t="shared" si="22"/>
        <v>0</v>
      </c>
      <c r="S236" t="str">
        <f t="shared" si="23"/>
        <v>0-90</v>
      </c>
    </row>
    <row r="237" spans="1:19" x14ac:dyDescent="0.25">
      <c r="A237" s="6" t="s">
        <v>272</v>
      </c>
      <c r="B237" s="6" t="s">
        <v>14</v>
      </c>
      <c r="C237" s="6" t="s">
        <v>15</v>
      </c>
      <c r="D237" s="6" t="s">
        <v>208</v>
      </c>
      <c r="E237" s="6" t="s">
        <v>209</v>
      </c>
      <c r="F237" s="6" t="s">
        <v>210</v>
      </c>
      <c r="G237" s="6" t="s">
        <v>19</v>
      </c>
      <c r="H237" s="11">
        <v>46147</v>
      </c>
      <c r="I237" s="11">
        <v>46155</v>
      </c>
      <c r="J237" s="6" t="s">
        <v>20</v>
      </c>
      <c r="K237" s="6" t="s">
        <v>21</v>
      </c>
      <c r="L237" s="6" t="s">
        <v>22</v>
      </c>
      <c r="M237" s="6">
        <v>8</v>
      </c>
      <c r="N237">
        <f t="shared" si="18"/>
        <v>1</v>
      </c>
      <c r="O237" t="str">
        <f t="shared" si="19"/>
        <v>05-2026</v>
      </c>
      <c r="P237" t="str">
        <f t="shared" si="20"/>
        <v>05-2026</v>
      </c>
      <c r="Q237">
        <f t="shared" si="21"/>
        <v>1</v>
      </c>
      <c r="R237">
        <f t="shared" si="22"/>
        <v>0</v>
      </c>
      <c r="S237" t="str">
        <f t="shared" si="23"/>
        <v>0-90</v>
      </c>
    </row>
    <row r="238" spans="1:19" x14ac:dyDescent="0.25">
      <c r="A238" s="6" t="s">
        <v>273</v>
      </c>
      <c r="B238" s="6" t="s">
        <v>14</v>
      </c>
      <c r="C238" s="6" t="s">
        <v>15</v>
      </c>
      <c r="D238" s="6" t="s">
        <v>208</v>
      </c>
      <c r="E238" s="6" t="s">
        <v>209</v>
      </c>
      <c r="F238" s="6" t="s">
        <v>210</v>
      </c>
      <c r="G238" s="6" t="s">
        <v>19</v>
      </c>
      <c r="H238" s="11">
        <v>46147</v>
      </c>
      <c r="I238" s="11">
        <v>46194</v>
      </c>
      <c r="J238" s="6" t="s">
        <v>20</v>
      </c>
      <c r="K238" s="6" t="s">
        <v>24</v>
      </c>
      <c r="L238" s="6" t="s">
        <v>25</v>
      </c>
      <c r="M238" s="6">
        <v>47</v>
      </c>
      <c r="N238">
        <f t="shared" si="18"/>
        <v>1</v>
      </c>
      <c r="O238" t="str">
        <f t="shared" si="19"/>
        <v>05-2026</v>
      </c>
      <c r="P238" t="str">
        <f t="shared" si="20"/>
        <v>06-2026</v>
      </c>
      <c r="Q238">
        <f t="shared" si="21"/>
        <v>0</v>
      </c>
      <c r="R238">
        <f t="shared" si="22"/>
        <v>1</v>
      </c>
      <c r="S238" t="str">
        <f t="shared" si="23"/>
        <v>0-90</v>
      </c>
    </row>
    <row r="239" spans="1:19" x14ac:dyDescent="0.25">
      <c r="A239" s="6" t="s">
        <v>274</v>
      </c>
      <c r="B239" s="6" t="s">
        <v>14</v>
      </c>
      <c r="C239" s="6" t="s">
        <v>15</v>
      </c>
      <c r="D239" s="6" t="s">
        <v>208</v>
      </c>
      <c r="E239" s="6" t="s">
        <v>209</v>
      </c>
      <c r="F239" s="6" t="s">
        <v>210</v>
      </c>
      <c r="G239" s="6" t="s">
        <v>19</v>
      </c>
      <c r="H239" s="11">
        <v>46147</v>
      </c>
      <c r="I239" s="11">
        <v>46147</v>
      </c>
      <c r="J239" s="6" t="s">
        <v>20</v>
      </c>
      <c r="K239" s="6" t="s">
        <v>21</v>
      </c>
      <c r="L239" s="6" t="s">
        <v>33</v>
      </c>
      <c r="M239" s="6">
        <v>0</v>
      </c>
      <c r="N239">
        <f t="shared" si="18"/>
        <v>1</v>
      </c>
      <c r="O239" t="str">
        <f t="shared" si="19"/>
        <v>05-2026</v>
      </c>
      <c r="P239" t="str">
        <f t="shared" si="20"/>
        <v>05-2026</v>
      </c>
      <c r="Q239">
        <f t="shared" si="21"/>
        <v>1</v>
      </c>
      <c r="R239">
        <f t="shared" si="22"/>
        <v>0</v>
      </c>
      <c r="S239" t="str">
        <f t="shared" si="23"/>
        <v>0-90</v>
      </c>
    </row>
    <row r="240" spans="1:19" x14ac:dyDescent="0.25">
      <c r="A240" s="6" t="s">
        <v>275</v>
      </c>
      <c r="B240" s="6" t="s">
        <v>14</v>
      </c>
      <c r="C240" s="6" t="s">
        <v>15</v>
      </c>
      <c r="D240" s="6" t="s">
        <v>208</v>
      </c>
      <c r="E240" s="6" t="s">
        <v>209</v>
      </c>
      <c r="F240" s="6" t="s">
        <v>210</v>
      </c>
      <c r="G240" s="6" t="s">
        <v>19</v>
      </c>
      <c r="H240" s="11">
        <v>46147</v>
      </c>
      <c r="I240" s="11"/>
      <c r="J240" s="6" t="s">
        <v>27</v>
      </c>
      <c r="K240" s="6"/>
      <c r="L240" s="6"/>
      <c r="M240" s="6">
        <v>56</v>
      </c>
      <c r="N240">
        <f t="shared" si="18"/>
        <v>0</v>
      </c>
      <c r="O240" t="str">
        <f t="shared" si="19"/>
        <v>05-2026</v>
      </c>
      <c r="P240" t="str">
        <f t="shared" si="20"/>
        <v/>
      </c>
      <c r="Q240">
        <f t="shared" si="21"/>
        <v>0</v>
      </c>
      <c r="R240">
        <f t="shared" si="22"/>
        <v>0</v>
      </c>
      <c r="S240" t="str">
        <f t="shared" si="23"/>
        <v>0-90</v>
      </c>
    </row>
    <row r="241" spans="1:19" x14ac:dyDescent="0.25">
      <c r="A241" s="6" t="s">
        <v>276</v>
      </c>
      <c r="B241" s="6" t="s">
        <v>14</v>
      </c>
      <c r="C241" s="6" t="s">
        <v>15</v>
      </c>
      <c r="D241" s="6" t="s">
        <v>208</v>
      </c>
      <c r="E241" s="6" t="s">
        <v>209</v>
      </c>
      <c r="F241" s="6" t="s">
        <v>210</v>
      </c>
      <c r="G241" s="6" t="s">
        <v>19</v>
      </c>
      <c r="H241" s="11">
        <v>45935</v>
      </c>
      <c r="I241" s="11">
        <v>46115</v>
      </c>
      <c r="J241" s="6" t="s">
        <v>20</v>
      </c>
      <c r="K241" s="6" t="s">
        <v>24</v>
      </c>
      <c r="L241" s="6" t="s">
        <v>41</v>
      </c>
      <c r="M241" s="6">
        <v>180</v>
      </c>
      <c r="N241">
        <f t="shared" si="18"/>
        <v>1</v>
      </c>
      <c r="O241" t="str">
        <f t="shared" si="19"/>
        <v>10-2025</v>
      </c>
      <c r="P241" t="str">
        <f t="shared" si="20"/>
        <v>04-2026</v>
      </c>
      <c r="Q241">
        <f t="shared" si="21"/>
        <v>0</v>
      </c>
      <c r="R241">
        <f t="shared" si="22"/>
        <v>1</v>
      </c>
      <c r="S241" t="str">
        <f t="shared" si="23"/>
        <v>180-365</v>
      </c>
    </row>
    <row r="242" spans="1:19" x14ac:dyDescent="0.25">
      <c r="A242" s="6" t="s">
        <v>277</v>
      </c>
      <c r="B242" s="6" t="s">
        <v>14</v>
      </c>
      <c r="C242" s="6" t="s">
        <v>15</v>
      </c>
      <c r="D242" s="6" t="s">
        <v>208</v>
      </c>
      <c r="E242" s="6" t="s">
        <v>209</v>
      </c>
      <c r="F242" s="6" t="s">
        <v>210</v>
      </c>
      <c r="G242" s="6" t="s">
        <v>19</v>
      </c>
      <c r="H242" s="11">
        <v>46118</v>
      </c>
      <c r="I242" s="11"/>
      <c r="J242" s="6" t="s">
        <v>27</v>
      </c>
      <c r="K242" s="6"/>
      <c r="L242" s="6"/>
      <c r="M242" s="6">
        <v>85</v>
      </c>
      <c r="N242">
        <f t="shared" si="18"/>
        <v>0</v>
      </c>
      <c r="O242" t="str">
        <f t="shared" si="19"/>
        <v>04-2026</v>
      </c>
      <c r="P242" t="str">
        <f t="shared" si="20"/>
        <v/>
      </c>
      <c r="Q242">
        <f t="shared" si="21"/>
        <v>0</v>
      </c>
      <c r="R242">
        <f t="shared" si="22"/>
        <v>0</v>
      </c>
      <c r="S242" t="str">
        <f t="shared" si="23"/>
        <v>0-90</v>
      </c>
    </row>
    <row r="243" spans="1:19" x14ac:dyDescent="0.25">
      <c r="A243" s="6" t="s">
        <v>278</v>
      </c>
      <c r="B243" s="6" t="s">
        <v>14</v>
      </c>
      <c r="C243" s="6" t="s">
        <v>15</v>
      </c>
      <c r="D243" s="6" t="s">
        <v>208</v>
      </c>
      <c r="E243" s="6" t="s">
        <v>209</v>
      </c>
      <c r="F243" s="6" t="s">
        <v>210</v>
      </c>
      <c r="G243" s="6" t="s">
        <v>19</v>
      </c>
      <c r="H243" s="11">
        <v>46118</v>
      </c>
      <c r="I243" s="11">
        <v>46144</v>
      </c>
      <c r="J243" s="6" t="s">
        <v>20</v>
      </c>
      <c r="K243" s="6" t="s">
        <v>24</v>
      </c>
      <c r="L243" s="6" t="s">
        <v>41</v>
      </c>
      <c r="M243" s="6">
        <v>26</v>
      </c>
      <c r="N243">
        <f t="shared" si="18"/>
        <v>1</v>
      </c>
      <c r="O243" t="str">
        <f t="shared" si="19"/>
        <v>04-2026</v>
      </c>
      <c r="P243" t="str">
        <f t="shared" si="20"/>
        <v>05-2026</v>
      </c>
      <c r="Q243">
        <f t="shared" si="21"/>
        <v>0</v>
      </c>
      <c r="R243">
        <f t="shared" si="22"/>
        <v>1</v>
      </c>
      <c r="S243" t="str">
        <f t="shared" si="23"/>
        <v>0-90</v>
      </c>
    </row>
    <row r="244" spans="1:19" x14ac:dyDescent="0.25">
      <c r="A244" s="6" t="s">
        <v>279</v>
      </c>
      <c r="B244" s="6" t="s">
        <v>14</v>
      </c>
      <c r="C244" s="6" t="s">
        <v>15</v>
      </c>
      <c r="D244" s="6" t="s">
        <v>208</v>
      </c>
      <c r="E244" s="6" t="s">
        <v>209</v>
      </c>
      <c r="F244" s="6" t="s">
        <v>210</v>
      </c>
      <c r="G244" s="6" t="s">
        <v>19</v>
      </c>
      <c r="H244" s="11">
        <v>45875</v>
      </c>
      <c r="I244" s="11"/>
      <c r="J244" s="6" t="s">
        <v>27</v>
      </c>
      <c r="K244" s="6"/>
      <c r="L244" s="6"/>
      <c r="M244" s="6">
        <v>328</v>
      </c>
      <c r="N244">
        <f t="shared" si="18"/>
        <v>0</v>
      </c>
      <c r="O244" t="str">
        <f t="shared" si="19"/>
        <v>08-2025</v>
      </c>
      <c r="P244" t="str">
        <f t="shared" si="20"/>
        <v/>
      </c>
      <c r="Q244">
        <f t="shared" si="21"/>
        <v>0</v>
      </c>
      <c r="R244">
        <f t="shared" si="22"/>
        <v>0</v>
      </c>
      <c r="S244" t="str">
        <f t="shared" si="23"/>
        <v>180-365</v>
      </c>
    </row>
    <row r="245" spans="1:19" x14ac:dyDescent="0.25">
      <c r="A245" s="6" t="s">
        <v>280</v>
      </c>
      <c r="B245" s="6" t="s">
        <v>14</v>
      </c>
      <c r="C245" s="6" t="s">
        <v>15</v>
      </c>
      <c r="D245" s="6" t="s">
        <v>208</v>
      </c>
      <c r="E245" s="6" t="s">
        <v>209</v>
      </c>
      <c r="F245" s="6" t="s">
        <v>210</v>
      </c>
      <c r="G245" s="6" t="s">
        <v>19</v>
      </c>
      <c r="H245" s="11">
        <v>46179</v>
      </c>
      <c r="I245" s="11">
        <v>46203</v>
      </c>
      <c r="J245" s="6" t="s">
        <v>20</v>
      </c>
      <c r="K245" s="6" t="s">
        <v>21</v>
      </c>
      <c r="L245" s="6" t="s">
        <v>50</v>
      </c>
      <c r="M245" s="6">
        <v>24</v>
      </c>
      <c r="N245">
        <f t="shared" si="18"/>
        <v>1</v>
      </c>
      <c r="O245" t="str">
        <f t="shared" si="19"/>
        <v>06-2026</v>
      </c>
      <c r="P245" t="str">
        <f t="shared" si="20"/>
        <v>06-2026</v>
      </c>
      <c r="Q245">
        <f t="shared" si="21"/>
        <v>1</v>
      </c>
      <c r="R245">
        <f t="shared" si="22"/>
        <v>0</v>
      </c>
      <c r="S245" t="str">
        <f t="shared" si="23"/>
        <v>0-90</v>
      </c>
    </row>
    <row r="246" spans="1:19" x14ac:dyDescent="0.25">
      <c r="A246" s="6" t="s">
        <v>281</v>
      </c>
      <c r="B246" s="6" t="s">
        <v>14</v>
      </c>
      <c r="C246" s="6" t="s">
        <v>15</v>
      </c>
      <c r="D246" s="6" t="s">
        <v>208</v>
      </c>
      <c r="E246" s="6" t="s">
        <v>209</v>
      </c>
      <c r="F246" s="6" t="s">
        <v>210</v>
      </c>
      <c r="G246" s="6" t="s">
        <v>19</v>
      </c>
      <c r="H246" s="11">
        <v>46179</v>
      </c>
      <c r="I246" s="11">
        <v>46202</v>
      </c>
      <c r="J246" s="6" t="s">
        <v>20</v>
      </c>
      <c r="K246" s="6" t="s">
        <v>21</v>
      </c>
      <c r="L246" s="6" t="s">
        <v>33</v>
      </c>
      <c r="M246" s="6">
        <v>23</v>
      </c>
      <c r="N246">
        <f t="shared" si="18"/>
        <v>1</v>
      </c>
      <c r="O246" t="str">
        <f t="shared" si="19"/>
        <v>06-2026</v>
      </c>
      <c r="P246" t="str">
        <f t="shared" si="20"/>
        <v>06-2026</v>
      </c>
      <c r="Q246">
        <f t="shared" si="21"/>
        <v>1</v>
      </c>
      <c r="R246">
        <f t="shared" si="22"/>
        <v>0</v>
      </c>
      <c r="S246" t="str">
        <f t="shared" si="23"/>
        <v>0-90</v>
      </c>
    </row>
    <row r="247" spans="1:19" x14ac:dyDescent="0.25">
      <c r="A247" s="6" t="s">
        <v>282</v>
      </c>
      <c r="B247" s="6" t="s">
        <v>14</v>
      </c>
      <c r="C247" s="6" t="s">
        <v>15</v>
      </c>
      <c r="D247" s="6" t="s">
        <v>208</v>
      </c>
      <c r="E247" s="6" t="s">
        <v>209</v>
      </c>
      <c r="F247" s="6" t="s">
        <v>210</v>
      </c>
      <c r="G247" s="6" t="s">
        <v>19</v>
      </c>
      <c r="H247" s="11">
        <v>46148</v>
      </c>
      <c r="I247" s="11"/>
      <c r="J247" s="6" t="s">
        <v>27</v>
      </c>
      <c r="K247" s="6"/>
      <c r="L247" s="6"/>
      <c r="M247" s="6">
        <v>55</v>
      </c>
      <c r="N247">
        <f t="shared" si="18"/>
        <v>0</v>
      </c>
      <c r="O247" t="str">
        <f t="shared" si="19"/>
        <v>05-2026</v>
      </c>
      <c r="P247" t="str">
        <f t="shared" si="20"/>
        <v/>
      </c>
      <c r="Q247">
        <f t="shared" si="21"/>
        <v>0</v>
      </c>
      <c r="R247">
        <f t="shared" si="22"/>
        <v>0</v>
      </c>
      <c r="S247" t="str">
        <f t="shared" si="23"/>
        <v>0-90</v>
      </c>
    </row>
    <row r="248" spans="1:19" x14ac:dyDescent="0.25">
      <c r="A248" s="6" t="s">
        <v>283</v>
      </c>
      <c r="B248" s="6" t="s">
        <v>14</v>
      </c>
      <c r="C248" s="6" t="s">
        <v>15</v>
      </c>
      <c r="D248" s="6" t="s">
        <v>208</v>
      </c>
      <c r="E248" s="6" t="s">
        <v>209</v>
      </c>
      <c r="F248" s="6" t="s">
        <v>210</v>
      </c>
      <c r="G248" s="6" t="s">
        <v>19</v>
      </c>
      <c r="H248" s="11">
        <v>45906</v>
      </c>
      <c r="I248" s="11">
        <v>46141</v>
      </c>
      <c r="J248" s="6" t="s">
        <v>20</v>
      </c>
      <c r="K248" s="6" t="s">
        <v>24</v>
      </c>
      <c r="L248" s="6" t="s">
        <v>41</v>
      </c>
      <c r="M248" s="6">
        <v>235</v>
      </c>
      <c r="N248">
        <f t="shared" si="18"/>
        <v>1</v>
      </c>
      <c r="O248" t="str">
        <f t="shared" si="19"/>
        <v>09-2025</v>
      </c>
      <c r="P248" t="str">
        <f t="shared" si="20"/>
        <v>04-2026</v>
      </c>
      <c r="Q248">
        <f t="shared" si="21"/>
        <v>0</v>
      </c>
      <c r="R248">
        <f t="shared" si="22"/>
        <v>1</v>
      </c>
      <c r="S248" t="str">
        <f t="shared" si="23"/>
        <v>180-365</v>
      </c>
    </row>
    <row r="249" spans="1:19" x14ac:dyDescent="0.25">
      <c r="A249" s="6" t="s">
        <v>284</v>
      </c>
      <c r="B249" s="6" t="s">
        <v>14</v>
      </c>
      <c r="C249" s="6" t="s">
        <v>15</v>
      </c>
      <c r="D249" s="6" t="s">
        <v>208</v>
      </c>
      <c r="E249" s="6" t="s">
        <v>209</v>
      </c>
      <c r="F249" s="6" t="s">
        <v>210</v>
      </c>
      <c r="G249" s="6" t="s">
        <v>19</v>
      </c>
      <c r="H249" s="11">
        <v>46119</v>
      </c>
      <c r="I249" s="11">
        <v>46171</v>
      </c>
      <c r="J249" s="6" t="s">
        <v>20</v>
      </c>
      <c r="K249" s="6" t="s">
        <v>24</v>
      </c>
      <c r="L249" s="6" t="s">
        <v>25</v>
      </c>
      <c r="M249" s="6">
        <v>52</v>
      </c>
      <c r="N249">
        <f t="shared" si="18"/>
        <v>1</v>
      </c>
      <c r="O249" t="str">
        <f t="shared" si="19"/>
        <v>04-2026</v>
      </c>
      <c r="P249" t="str">
        <f t="shared" si="20"/>
        <v>05-2026</v>
      </c>
      <c r="Q249">
        <f t="shared" si="21"/>
        <v>0</v>
      </c>
      <c r="R249">
        <f t="shared" si="22"/>
        <v>1</v>
      </c>
      <c r="S249" t="str">
        <f t="shared" si="23"/>
        <v>0-90</v>
      </c>
    </row>
    <row r="250" spans="1:19" x14ac:dyDescent="0.25">
      <c r="A250" s="6" t="s">
        <v>285</v>
      </c>
      <c r="B250" s="6" t="s">
        <v>14</v>
      </c>
      <c r="C250" s="6" t="s">
        <v>15</v>
      </c>
      <c r="D250" s="6" t="s">
        <v>208</v>
      </c>
      <c r="E250" s="6" t="s">
        <v>209</v>
      </c>
      <c r="F250" s="6" t="s">
        <v>210</v>
      </c>
      <c r="G250" s="6" t="s">
        <v>19</v>
      </c>
      <c r="H250" s="11">
        <v>46119</v>
      </c>
      <c r="I250" s="11">
        <v>46142</v>
      </c>
      <c r="J250" s="6" t="s">
        <v>20</v>
      </c>
      <c r="K250" s="6" t="s">
        <v>21</v>
      </c>
      <c r="L250" s="6" t="s">
        <v>22</v>
      </c>
      <c r="M250" s="6">
        <v>23</v>
      </c>
      <c r="N250">
        <f t="shared" si="18"/>
        <v>1</v>
      </c>
      <c r="O250" t="str">
        <f t="shared" si="19"/>
        <v>04-2026</v>
      </c>
      <c r="P250" t="str">
        <f t="shared" si="20"/>
        <v>04-2026</v>
      </c>
      <c r="Q250">
        <f t="shared" si="21"/>
        <v>1</v>
      </c>
      <c r="R250">
        <f t="shared" si="22"/>
        <v>0</v>
      </c>
      <c r="S250" t="str">
        <f t="shared" si="23"/>
        <v>0-90</v>
      </c>
    </row>
    <row r="251" spans="1:19" x14ac:dyDescent="0.25">
      <c r="A251" s="6" t="s">
        <v>286</v>
      </c>
      <c r="B251" s="6" t="s">
        <v>14</v>
      </c>
      <c r="C251" s="6" t="s">
        <v>15</v>
      </c>
      <c r="D251" s="6" t="s">
        <v>208</v>
      </c>
      <c r="E251" s="6" t="s">
        <v>209</v>
      </c>
      <c r="F251" s="6" t="s">
        <v>210</v>
      </c>
      <c r="G251" s="6" t="s">
        <v>19</v>
      </c>
      <c r="H251" s="11">
        <v>45876</v>
      </c>
      <c r="I251" s="11">
        <v>46178</v>
      </c>
      <c r="J251" s="6" t="s">
        <v>20</v>
      </c>
      <c r="K251" s="6" t="s">
        <v>24</v>
      </c>
      <c r="L251" s="6" t="s">
        <v>55</v>
      </c>
      <c r="M251" s="6">
        <v>302</v>
      </c>
      <c r="N251">
        <f t="shared" si="18"/>
        <v>1</v>
      </c>
      <c r="O251" t="str">
        <f t="shared" si="19"/>
        <v>08-2025</v>
      </c>
      <c r="P251" t="str">
        <f t="shared" si="20"/>
        <v>06-2026</v>
      </c>
      <c r="Q251">
        <f t="shared" si="21"/>
        <v>0</v>
      </c>
      <c r="R251">
        <f t="shared" si="22"/>
        <v>1</v>
      </c>
      <c r="S251" t="str">
        <f t="shared" si="23"/>
        <v>180-365</v>
      </c>
    </row>
    <row r="252" spans="1:19" x14ac:dyDescent="0.25">
      <c r="A252" s="6" t="s">
        <v>287</v>
      </c>
      <c r="B252" s="6" t="s">
        <v>14</v>
      </c>
      <c r="C252" s="6" t="s">
        <v>15</v>
      </c>
      <c r="D252" s="6" t="s">
        <v>208</v>
      </c>
      <c r="E252" s="6" t="s">
        <v>209</v>
      </c>
      <c r="F252" s="6" t="s">
        <v>210</v>
      </c>
      <c r="G252" s="6" t="s">
        <v>19</v>
      </c>
      <c r="H252" s="11">
        <v>45695</v>
      </c>
      <c r="I252" s="11">
        <v>46120</v>
      </c>
      <c r="J252" s="6" t="s">
        <v>20</v>
      </c>
      <c r="K252" s="6" t="s">
        <v>24</v>
      </c>
      <c r="L252" s="6" t="s">
        <v>55</v>
      </c>
      <c r="M252" s="6">
        <v>425</v>
      </c>
      <c r="N252">
        <f t="shared" si="18"/>
        <v>1</v>
      </c>
      <c r="O252" t="str">
        <f t="shared" si="19"/>
        <v>02-2025</v>
      </c>
      <c r="P252" t="str">
        <f t="shared" si="20"/>
        <v>04-2026</v>
      </c>
      <c r="Q252">
        <f t="shared" si="21"/>
        <v>0</v>
      </c>
      <c r="R252">
        <f t="shared" si="22"/>
        <v>1</v>
      </c>
      <c r="S252" t="str">
        <f t="shared" si="23"/>
        <v>above 1 year</v>
      </c>
    </row>
    <row r="253" spans="1:19" x14ac:dyDescent="0.25">
      <c r="A253" s="6" t="s">
        <v>288</v>
      </c>
      <c r="B253" s="6" t="s">
        <v>14</v>
      </c>
      <c r="C253" s="6" t="s">
        <v>15</v>
      </c>
      <c r="D253" s="6" t="s">
        <v>208</v>
      </c>
      <c r="E253" s="6" t="s">
        <v>209</v>
      </c>
      <c r="F253" s="6" t="s">
        <v>210</v>
      </c>
      <c r="G253" s="6" t="s">
        <v>19</v>
      </c>
      <c r="H253" s="11">
        <v>46180</v>
      </c>
      <c r="I253" s="11">
        <v>46180</v>
      </c>
      <c r="J253" s="6" t="s">
        <v>20</v>
      </c>
      <c r="K253" s="6" t="s">
        <v>21</v>
      </c>
      <c r="L253" s="6" t="s">
        <v>33</v>
      </c>
      <c r="M253" s="6">
        <v>0</v>
      </c>
      <c r="N253">
        <f t="shared" si="18"/>
        <v>1</v>
      </c>
      <c r="O253" t="str">
        <f t="shared" si="19"/>
        <v>06-2026</v>
      </c>
      <c r="P253" t="str">
        <f t="shared" si="20"/>
        <v>06-2026</v>
      </c>
      <c r="Q253">
        <f t="shared" si="21"/>
        <v>1</v>
      </c>
      <c r="R253">
        <f t="shared" si="22"/>
        <v>0</v>
      </c>
      <c r="S253" t="str">
        <f t="shared" si="23"/>
        <v>0-90</v>
      </c>
    </row>
    <row r="254" spans="1:19" x14ac:dyDescent="0.25">
      <c r="A254" s="6" t="s">
        <v>289</v>
      </c>
      <c r="B254" s="6" t="s">
        <v>14</v>
      </c>
      <c r="C254" s="6" t="s">
        <v>15</v>
      </c>
      <c r="D254" s="6" t="s">
        <v>208</v>
      </c>
      <c r="E254" s="6" t="s">
        <v>209</v>
      </c>
      <c r="F254" s="6" t="s">
        <v>210</v>
      </c>
      <c r="G254" s="6" t="s">
        <v>19</v>
      </c>
      <c r="H254" s="11">
        <v>46180</v>
      </c>
      <c r="I254" s="11"/>
      <c r="J254" s="6" t="s">
        <v>27</v>
      </c>
      <c r="K254" s="6"/>
      <c r="L254" s="6"/>
      <c r="M254" s="6">
        <v>23</v>
      </c>
      <c r="N254">
        <f t="shared" si="18"/>
        <v>0</v>
      </c>
      <c r="O254" t="str">
        <f t="shared" si="19"/>
        <v>06-2026</v>
      </c>
      <c r="P254" t="str">
        <f t="shared" si="20"/>
        <v/>
      </c>
      <c r="Q254">
        <f t="shared" si="21"/>
        <v>0</v>
      </c>
      <c r="R254">
        <f t="shared" si="22"/>
        <v>0</v>
      </c>
      <c r="S254" t="str">
        <f t="shared" si="23"/>
        <v>0-90</v>
      </c>
    </row>
    <row r="255" spans="1:19" x14ac:dyDescent="0.25">
      <c r="A255" s="6" t="s">
        <v>290</v>
      </c>
      <c r="B255" s="6" t="s">
        <v>14</v>
      </c>
      <c r="C255" s="6" t="s">
        <v>15</v>
      </c>
      <c r="D255" s="6" t="s">
        <v>208</v>
      </c>
      <c r="E255" s="6" t="s">
        <v>209</v>
      </c>
      <c r="F255" s="6" t="s">
        <v>210</v>
      </c>
      <c r="G255" s="6" t="s">
        <v>19</v>
      </c>
      <c r="H255" s="11">
        <v>46088</v>
      </c>
      <c r="I255" s="11"/>
      <c r="J255" s="6" t="s">
        <v>27</v>
      </c>
      <c r="K255" s="6"/>
      <c r="L255" s="6"/>
      <c r="M255" s="6">
        <v>115</v>
      </c>
      <c r="N255">
        <f t="shared" si="18"/>
        <v>0</v>
      </c>
      <c r="O255" t="str">
        <f t="shared" si="19"/>
        <v>03-2026</v>
      </c>
      <c r="P255" t="str">
        <f t="shared" si="20"/>
        <v/>
      </c>
      <c r="Q255">
        <f t="shared" si="21"/>
        <v>0</v>
      </c>
      <c r="R255">
        <f t="shared" si="22"/>
        <v>0</v>
      </c>
      <c r="S255" t="str">
        <f t="shared" si="23"/>
        <v>90-180</v>
      </c>
    </row>
    <row r="256" spans="1:19" x14ac:dyDescent="0.25">
      <c r="A256" s="6" t="s">
        <v>291</v>
      </c>
      <c r="B256" s="6" t="s">
        <v>14</v>
      </c>
      <c r="C256" s="6" t="s">
        <v>15</v>
      </c>
      <c r="D256" s="6" t="s">
        <v>208</v>
      </c>
      <c r="E256" s="6" t="s">
        <v>209</v>
      </c>
      <c r="F256" s="6" t="s">
        <v>210</v>
      </c>
      <c r="G256" s="6" t="s">
        <v>19</v>
      </c>
      <c r="H256" s="11">
        <v>45784</v>
      </c>
      <c r="I256" s="11">
        <v>46188</v>
      </c>
      <c r="J256" s="6" t="s">
        <v>20</v>
      </c>
      <c r="K256" s="6" t="s">
        <v>24</v>
      </c>
      <c r="L256" s="6" t="s">
        <v>55</v>
      </c>
      <c r="M256" s="6">
        <v>404</v>
      </c>
      <c r="N256">
        <f t="shared" si="18"/>
        <v>1</v>
      </c>
      <c r="O256" t="str">
        <f t="shared" si="19"/>
        <v>05-2025</v>
      </c>
      <c r="P256" t="str">
        <f t="shared" si="20"/>
        <v>06-2026</v>
      </c>
      <c r="Q256">
        <f t="shared" si="21"/>
        <v>0</v>
      </c>
      <c r="R256">
        <f t="shared" si="22"/>
        <v>1</v>
      </c>
      <c r="S256" t="str">
        <f t="shared" si="23"/>
        <v>above 1 year</v>
      </c>
    </row>
    <row r="257" spans="1:19" x14ac:dyDescent="0.25">
      <c r="A257" s="6" t="s">
        <v>292</v>
      </c>
      <c r="B257" s="6" t="s">
        <v>14</v>
      </c>
      <c r="C257" s="6" t="s">
        <v>15</v>
      </c>
      <c r="D257" s="6" t="s">
        <v>208</v>
      </c>
      <c r="E257" s="6" t="s">
        <v>209</v>
      </c>
      <c r="F257" s="6" t="s">
        <v>210</v>
      </c>
      <c r="G257" s="6" t="s">
        <v>19</v>
      </c>
      <c r="H257" s="11">
        <v>46149</v>
      </c>
      <c r="I257" s="11">
        <v>46169</v>
      </c>
      <c r="J257" s="6" t="s">
        <v>20</v>
      </c>
      <c r="K257" s="6" t="s">
        <v>21</v>
      </c>
      <c r="L257" s="6" t="s">
        <v>61</v>
      </c>
      <c r="M257" s="6">
        <v>20</v>
      </c>
      <c r="N257">
        <f t="shared" si="18"/>
        <v>1</v>
      </c>
      <c r="O257" t="str">
        <f t="shared" si="19"/>
        <v>05-2026</v>
      </c>
      <c r="P257" t="str">
        <f t="shared" si="20"/>
        <v>05-2026</v>
      </c>
      <c r="Q257">
        <f t="shared" si="21"/>
        <v>1</v>
      </c>
      <c r="R257">
        <f t="shared" si="22"/>
        <v>0</v>
      </c>
      <c r="S257" t="str">
        <f t="shared" si="23"/>
        <v>0-90</v>
      </c>
    </row>
    <row r="258" spans="1:19" x14ac:dyDescent="0.25">
      <c r="A258" s="6" t="s">
        <v>293</v>
      </c>
      <c r="B258" s="6" t="s">
        <v>14</v>
      </c>
      <c r="C258" s="6" t="s">
        <v>15</v>
      </c>
      <c r="D258" s="6" t="s">
        <v>208</v>
      </c>
      <c r="E258" s="6" t="s">
        <v>209</v>
      </c>
      <c r="F258" s="6" t="s">
        <v>210</v>
      </c>
      <c r="G258" s="6" t="s">
        <v>19</v>
      </c>
      <c r="H258" s="11">
        <v>46149</v>
      </c>
      <c r="I258" s="11">
        <v>46157</v>
      </c>
      <c r="J258" s="6" t="s">
        <v>20</v>
      </c>
      <c r="K258" s="6" t="s">
        <v>21</v>
      </c>
      <c r="L258" s="6" t="s">
        <v>61</v>
      </c>
      <c r="M258" s="6">
        <v>8</v>
      </c>
      <c r="N258">
        <f t="shared" si="18"/>
        <v>1</v>
      </c>
      <c r="O258" t="str">
        <f t="shared" si="19"/>
        <v>05-2026</v>
      </c>
      <c r="P258" t="str">
        <f t="shared" si="20"/>
        <v>05-2026</v>
      </c>
      <c r="Q258">
        <f t="shared" si="21"/>
        <v>1</v>
      </c>
      <c r="R258">
        <f t="shared" si="22"/>
        <v>0</v>
      </c>
      <c r="S258" t="str">
        <f t="shared" si="23"/>
        <v>0-90</v>
      </c>
    </row>
    <row r="259" spans="1:19" x14ac:dyDescent="0.25">
      <c r="A259" s="6" t="s">
        <v>294</v>
      </c>
      <c r="B259" s="6" t="s">
        <v>14</v>
      </c>
      <c r="C259" s="6" t="s">
        <v>15</v>
      </c>
      <c r="D259" s="6" t="s">
        <v>208</v>
      </c>
      <c r="E259" s="6" t="s">
        <v>209</v>
      </c>
      <c r="F259" s="6" t="s">
        <v>210</v>
      </c>
      <c r="G259" s="6" t="s">
        <v>19</v>
      </c>
      <c r="H259" s="11">
        <v>46149</v>
      </c>
      <c r="I259" s="11"/>
      <c r="J259" s="6" t="s">
        <v>27</v>
      </c>
      <c r="K259" s="6"/>
      <c r="L259" s="6"/>
      <c r="M259" s="6">
        <v>54</v>
      </c>
      <c r="N259">
        <f t="shared" ref="N259:N322" si="24">IF(J259="Relieved",1,0)</f>
        <v>0</v>
      </c>
      <c r="O259" t="str">
        <f t="shared" ref="O259:O322" si="25">TEXT(H259,"mm-yyyy")</f>
        <v>05-2026</v>
      </c>
      <c r="P259" t="str">
        <f t="shared" ref="P259:P322" si="26">IF(I259="","",TEXT(I259,"mm-yyyy"))</f>
        <v/>
      </c>
      <c r="Q259">
        <f t="shared" ref="Q259:Q322" si="27">IF(K259="Voluntary",1,0)</f>
        <v>0</v>
      </c>
      <c r="R259">
        <f t="shared" ref="R259:R322" si="28">IF(K259="Involuntary",1,0)</f>
        <v>0</v>
      </c>
      <c r="S259" t="str">
        <f t="shared" ref="S259:S322" si="29">IF(M259&lt;90,"0-90",IF(M259&lt;180,"90-180",IF(M259&lt;365,"180-365","above 1 year")))</f>
        <v>0-90</v>
      </c>
    </row>
    <row r="260" spans="1:19" x14ac:dyDescent="0.25">
      <c r="A260" s="6" t="s">
        <v>295</v>
      </c>
      <c r="B260" s="6" t="s">
        <v>14</v>
      </c>
      <c r="C260" s="6" t="s">
        <v>15</v>
      </c>
      <c r="D260" s="6" t="s">
        <v>208</v>
      </c>
      <c r="E260" s="6" t="s">
        <v>209</v>
      </c>
      <c r="F260" s="6" t="s">
        <v>210</v>
      </c>
      <c r="G260" s="6" t="s">
        <v>19</v>
      </c>
      <c r="H260" s="11">
        <v>46120</v>
      </c>
      <c r="I260" s="11">
        <v>46169</v>
      </c>
      <c r="J260" s="6" t="s">
        <v>20</v>
      </c>
      <c r="K260" s="6" t="s">
        <v>24</v>
      </c>
      <c r="L260" s="6" t="s">
        <v>41</v>
      </c>
      <c r="M260" s="6">
        <v>49</v>
      </c>
      <c r="N260">
        <f t="shared" si="24"/>
        <v>1</v>
      </c>
      <c r="O260" t="str">
        <f t="shared" si="25"/>
        <v>04-2026</v>
      </c>
      <c r="P260" t="str">
        <f t="shared" si="26"/>
        <v>05-2026</v>
      </c>
      <c r="Q260">
        <f t="shared" si="27"/>
        <v>0</v>
      </c>
      <c r="R260">
        <f t="shared" si="28"/>
        <v>1</v>
      </c>
      <c r="S260" t="str">
        <f t="shared" si="29"/>
        <v>0-90</v>
      </c>
    </row>
    <row r="261" spans="1:19" x14ac:dyDescent="0.25">
      <c r="A261" s="6" t="s">
        <v>296</v>
      </c>
      <c r="B261" s="6" t="s">
        <v>14</v>
      </c>
      <c r="C261" s="6" t="s">
        <v>15</v>
      </c>
      <c r="D261" s="6" t="s">
        <v>208</v>
      </c>
      <c r="E261" s="6" t="s">
        <v>209</v>
      </c>
      <c r="F261" s="6" t="s">
        <v>210</v>
      </c>
      <c r="G261" s="6" t="s">
        <v>19</v>
      </c>
      <c r="H261" s="11">
        <v>46120</v>
      </c>
      <c r="I261" s="11">
        <v>46145</v>
      </c>
      <c r="J261" s="6" t="s">
        <v>20</v>
      </c>
      <c r="K261" s="6" t="s">
        <v>24</v>
      </c>
      <c r="L261" s="6" t="s">
        <v>55</v>
      </c>
      <c r="M261" s="6">
        <v>25</v>
      </c>
      <c r="N261">
        <f t="shared" si="24"/>
        <v>1</v>
      </c>
      <c r="O261" t="str">
        <f t="shared" si="25"/>
        <v>04-2026</v>
      </c>
      <c r="P261" t="str">
        <f t="shared" si="26"/>
        <v>05-2026</v>
      </c>
      <c r="Q261">
        <f t="shared" si="27"/>
        <v>0</v>
      </c>
      <c r="R261">
        <f t="shared" si="28"/>
        <v>1</v>
      </c>
      <c r="S261" t="str">
        <f t="shared" si="29"/>
        <v>0-90</v>
      </c>
    </row>
    <row r="262" spans="1:19" x14ac:dyDescent="0.25">
      <c r="A262" s="6" t="s">
        <v>297</v>
      </c>
      <c r="B262" s="6" t="s">
        <v>14</v>
      </c>
      <c r="C262" s="6" t="s">
        <v>15</v>
      </c>
      <c r="D262" s="6" t="s">
        <v>208</v>
      </c>
      <c r="E262" s="6" t="s">
        <v>209</v>
      </c>
      <c r="F262" s="6" t="s">
        <v>210</v>
      </c>
      <c r="G262" s="6" t="s">
        <v>19</v>
      </c>
      <c r="H262" s="11">
        <v>46120</v>
      </c>
      <c r="I262" s="11">
        <v>46145</v>
      </c>
      <c r="J262" s="6" t="s">
        <v>20</v>
      </c>
      <c r="K262" s="6" t="s">
        <v>24</v>
      </c>
      <c r="L262" s="6" t="s">
        <v>41</v>
      </c>
      <c r="M262" s="6">
        <v>25</v>
      </c>
      <c r="N262">
        <f t="shared" si="24"/>
        <v>1</v>
      </c>
      <c r="O262" t="str">
        <f t="shared" si="25"/>
        <v>04-2026</v>
      </c>
      <c r="P262" t="str">
        <f t="shared" si="26"/>
        <v>05-2026</v>
      </c>
      <c r="Q262">
        <f t="shared" si="27"/>
        <v>0</v>
      </c>
      <c r="R262">
        <f t="shared" si="28"/>
        <v>1</v>
      </c>
      <c r="S262" t="str">
        <f t="shared" si="29"/>
        <v>0-90</v>
      </c>
    </row>
    <row r="263" spans="1:19" x14ac:dyDescent="0.25">
      <c r="A263" s="6" t="s">
        <v>298</v>
      </c>
      <c r="B263" s="6" t="s">
        <v>14</v>
      </c>
      <c r="C263" s="6" t="s">
        <v>15</v>
      </c>
      <c r="D263" s="6" t="s">
        <v>208</v>
      </c>
      <c r="E263" s="6" t="s">
        <v>209</v>
      </c>
      <c r="F263" s="6" t="s">
        <v>210</v>
      </c>
      <c r="G263" s="6" t="s">
        <v>19</v>
      </c>
      <c r="H263" s="11">
        <v>45999</v>
      </c>
      <c r="I263" s="11"/>
      <c r="J263" s="6" t="s">
        <v>27</v>
      </c>
      <c r="K263" s="6"/>
      <c r="L263" s="6"/>
      <c r="M263" s="6">
        <v>204</v>
      </c>
      <c r="N263">
        <f t="shared" si="24"/>
        <v>0</v>
      </c>
      <c r="O263" t="str">
        <f t="shared" si="25"/>
        <v>12-2025</v>
      </c>
      <c r="P263" t="str">
        <f t="shared" si="26"/>
        <v/>
      </c>
      <c r="Q263">
        <f t="shared" si="27"/>
        <v>0</v>
      </c>
      <c r="R263">
        <f t="shared" si="28"/>
        <v>0</v>
      </c>
      <c r="S263" t="str">
        <f t="shared" si="29"/>
        <v>180-365</v>
      </c>
    </row>
    <row r="264" spans="1:19" x14ac:dyDescent="0.25">
      <c r="A264" s="6" t="s">
        <v>299</v>
      </c>
      <c r="B264" s="6" t="s">
        <v>14</v>
      </c>
      <c r="C264" s="6" t="s">
        <v>15</v>
      </c>
      <c r="D264" s="6" t="s">
        <v>208</v>
      </c>
      <c r="E264" s="6" t="s">
        <v>209</v>
      </c>
      <c r="F264" s="6" t="s">
        <v>210</v>
      </c>
      <c r="G264" s="6" t="s">
        <v>19</v>
      </c>
      <c r="H264" s="11">
        <v>46181</v>
      </c>
      <c r="I264" s="11"/>
      <c r="J264" s="6" t="s">
        <v>27</v>
      </c>
      <c r="K264" s="6"/>
      <c r="L264" s="6"/>
      <c r="M264" s="6">
        <v>22</v>
      </c>
      <c r="N264">
        <f t="shared" si="24"/>
        <v>0</v>
      </c>
      <c r="O264" t="str">
        <f t="shared" si="25"/>
        <v>06-2026</v>
      </c>
      <c r="P264" t="str">
        <f t="shared" si="26"/>
        <v/>
      </c>
      <c r="Q264">
        <f t="shared" si="27"/>
        <v>0</v>
      </c>
      <c r="R264">
        <f t="shared" si="28"/>
        <v>0</v>
      </c>
      <c r="S264" t="str">
        <f t="shared" si="29"/>
        <v>0-90</v>
      </c>
    </row>
    <row r="265" spans="1:19" x14ac:dyDescent="0.25">
      <c r="A265" s="6" t="s">
        <v>300</v>
      </c>
      <c r="B265" s="6" t="s">
        <v>14</v>
      </c>
      <c r="C265" s="6" t="s">
        <v>15</v>
      </c>
      <c r="D265" s="6" t="s">
        <v>208</v>
      </c>
      <c r="E265" s="6" t="s">
        <v>209</v>
      </c>
      <c r="F265" s="6" t="s">
        <v>210</v>
      </c>
      <c r="G265" s="6" t="s">
        <v>19</v>
      </c>
      <c r="H265" s="11">
        <v>46181</v>
      </c>
      <c r="I265" s="11"/>
      <c r="J265" s="6" t="s">
        <v>27</v>
      </c>
      <c r="K265" s="6"/>
      <c r="L265" s="6"/>
      <c r="M265" s="6">
        <v>22</v>
      </c>
      <c r="N265">
        <f t="shared" si="24"/>
        <v>0</v>
      </c>
      <c r="O265" t="str">
        <f t="shared" si="25"/>
        <v>06-2026</v>
      </c>
      <c r="P265" t="str">
        <f t="shared" si="26"/>
        <v/>
      </c>
      <c r="Q265">
        <f t="shared" si="27"/>
        <v>0</v>
      </c>
      <c r="R265">
        <f t="shared" si="28"/>
        <v>0</v>
      </c>
      <c r="S265" t="str">
        <f t="shared" si="29"/>
        <v>0-90</v>
      </c>
    </row>
    <row r="266" spans="1:19" x14ac:dyDescent="0.25">
      <c r="A266" s="6" t="s">
        <v>301</v>
      </c>
      <c r="B266" s="6" t="s">
        <v>14</v>
      </c>
      <c r="C266" s="6" t="s">
        <v>15</v>
      </c>
      <c r="D266" s="6" t="s">
        <v>208</v>
      </c>
      <c r="E266" s="6" t="s">
        <v>209</v>
      </c>
      <c r="F266" s="6" t="s">
        <v>210</v>
      </c>
      <c r="G266" s="6" t="s">
        <v>19</v>
      </c>
      <c r="H266" s="11">
        <v>45785</v>
      </c>
      <c r="I266" s="11">
        <v>46136</v>
      </c>
      <c r="J266" s="6" t="s">
        <v>20</v>
      </c>
      <c r="K266" s="6" t="s">
        <v>24</v>
      </c>
      <c r="L266" s="6" t="s">
        <v>44</v>
      </c>
      <c r="M266" s="6">
        <v>351</v>
      </c>
      <c r="N266">
        <f t="shared" si="24"/>
        <v>1</v>
      </c>
      <c r="O266" t="str">
        <f t="shared" si="25"/>
        <v>05-2025</v>
      </c>
      <c r="P266" t="str">
        <f t="shared" si="26"/>
        <v>04-2026</v>
      </c>
      <c r="Q266">
        <f t="shared" si="27"/>
        <v>0</v>
      </c>
      <c r="R266">
        <f t="shared" si="28"/>
        <v>1</v>
      </c>
      <c r="S266" t="str">
        <f t="shared" si="29"/>
        <v>180-365</v>
      </c>
    </row>
    <row r="267" spans="1:19" x14ac:dyDescent="0.25">
      <c r="A267" s="6" t="s">
        <v>302</v>
      </c>
      <c r="B267" s="6" t="s">
        <v>14</v>
      </c>
      <c r="C267" s="6" t="s">
        <v>15</v>
      </c>
      <c r="D267" s="6" t="s">
        <v>208</v>
      </c>
      <c r="E267" s="6" t="s">
        <v>209</v>
      </c>
      <c r="F267" s="6" t="s">
        <v>210</v>
      </c>
      <c r="G267" s="6" t="s">
        <v>19</v>
      </c>
      <c r="H267" s="11">
        <v>46150</v>
      </c>
      <c r="I267" s="11"/>
      <c r="J267" s="6" t="s">
        <v>27</v>
      </c>
      <c r="K267" s="6"/>
      <c r="L267" s="6"/>
      <c r="M267" s="6">
        <v>53</v>
      </c>
      <c r="N267">
        <f t="shared" si="24"/>
        <v>0</v>
      </c>
      <c r="O267" t="str">
        <f t="shared" si="25"/>
        <v>05-2026</v>
      </c>
      <c r="P267" t="str">
        <f t="shared" si="26"/>
        <v/>
      </c>
      <c r="Q267">
        <f t="shared" si="27"/>
        <v>0</v>
      </c>
      <c r="R267">
        <f t="shared" si="28"/>
        <v>0</v>
      </c>
      <c r="S267" t="str">
        <f t="shared" si="29"/>
        <v>0-90</v>
      </c>
    </row>
    <row r="268" spans="1:19" x14ac:dyDescent="0.25">
      <c r="A268" s="6" t="s">
        <v>303</v>
      </c>
      <c r="B268" s="6" t="s">
        <v>14</v>
      </c>
      <c r="C268" s="6" t="s">
        <v>15</v>
      </c>
      <c r="D268" s="6" t="s">
        <v>208</v>
      </c>
      <c r="E268" s="6" t="s">
        <v>209</v>
      </c>
      <c r="F268" s="6" t="s">
        <v>210</v>
      </c>
      <c r="G268" s="6" t="s">
        <v>19</v>
      </c>
      <c r="H268" s="11">
        <v>46150</v>
      </c>
      <c r="I268" s="11"/>
      <c r="J268" s="6" t="s">
        <v>27</v>
      </c>
      <c r="K268" s="6"/>
      <c r="L268" s="6"/>
      <c r="M268" s="6">
        <v>53</v>
      </c>
      <c r="N268">
        <f t="shared" si="24"/>
        <v>0</v>
      </c>
      <c r="O268" t="str">
        <f t="shared" si="25"/>
        <v>05-2026</v>
      </c>
      <c r="P268" t="str">
        <f t="shared" si="26"/>
        <v/>
      </c>
      <c r="Q268">
        <f t="shared" si="27"/>
        <v>0</v>
      </c>
      <c r="R268">
        <f t="shared" si="28"/>
        <v>0</v>
      </c>
      <c r="S268" t="str">
        <f t="shared" si="29"/>
        <v>0-90</v>
      </c>
    </row>
    <row r="269" spans="1:19" x14ac:dyDescent="0.25">
      <c r="A269" s="6" t="s">
        <v>304</v>
      </c>
      <c r="B269" s="6" t="s">
        <v>14</v>
      </c>
      <c r="C269" s="6" t="s">
        <v>15</v>
      </c>
      <c r="D269" s="6" t="s">
        <v>208</v>
      </c>
      <c r="E269" s="6" t="s">
        <v>209</v>
      </c>
      <c r="F269" s="6" t="s">
        <v>210</v>
      </c>
      <c r="G269" s="6" t="s">
        <v>19</v>
      </c>
      <c r="H269" s="11">
        <v>46150</v>
      </c>
      <c r="I269" s="11"/>
      <c r="J269" s="6" t="s">
        <v>27</v>
      </c>
      <c r="K269" s="6"/>
      <c r="L269" s="6"/>
      <c r="M269" s="6">
        <v>53</v>
      </c>
      <c r="N269">
        <f t="shared" si="24"/>
        <v>0</v>
      </c>
      <c r="O269" t="str">
        <f t="shared" si="25"/>
        <v>05-2026</v>
      </c>
      <c r="P269" t="str">
        <f t="shared" si="26"/>
        <v/>
      </c>
      <c r="Q269">
        <f t="shared" si="27"/>
        <v>0</v>
      </c>
      <c r="R269">
        <f t="shared" si="28"/>
        <v>0</v>
      </c>
      <c r="S269" t="str">
        <f t="shared" si="29"/>
        <v>0-90</v>
      </c>
    </row>
    <row r="270" spans="1:19" x14ac:dyDescent="0.25">
      <c r="A270" s="6" t="s">
        <v>305</v>
      </c>
      <c r="B270" s="6" t="s">
        <v>14</v>
      </c>
      <c r="C270" s="6" t="s">
        <v>15</v>
      </c>
      <c r="D270" s="6" t="s">
        <v>208</v>
      </c>
      <c r="E270" s="6" t="s">
        <v>209</v>
      </c>
      <c r="F270" s="6" t="s">
        <v>210</v>
      </c>
      <c r="G270" s="6" t="s">
        <v>19</v>
      </c>
      <c r="H270" s="11">
        <v>45938</v>
      </c>
      <c r="I270" s="11">
        <v>46137</v>
      </c>
      <c r="J270" s="6" t="s">
        <v>20</v>
      </c>
      <c r="K270" s="6" t="s">
        <v>24</v>
      </c>
      <c r="L270" s="6" t="s">
        <v>44</v>
      </c>
      <c r="M270" s="6">
        <v>199</v>
      </c>
      <c r="N270">
        <f t="shared" si="24"/>
        <v>1</v>
      </c>
      <c r="O270" t="str">
        <f t="shared" si="25"/>
        <v>10-2025</v>
      </c>
      <c r="P270" t="str">
        <f t="shared" si="26"/>
        <v>04-2026</v>
      </c>
      <c r="Q270">
        <f t="shared" si="27"/>
        <v>0</v>
      </c>
      <c r="R270">
        <f t="shared" si="28"/>
        <v>1</v>
      </c>
      <c r="S270" t="str">
        <f t="shared" si="29"/>
        <v>180-365</v>
      </c>
    </row>
    <row r="271" spans="1:19" x14ac:dyDescent="0.25">
      <c r="A271" s="6" t="s">
        <v>306</v>
      </c>
      <c r="B271" s="6" t="s">
        <v>14</v>
      </c>
      <c r="C271" s="6" t="s">
        <v>15</v>
      </c>
      <c r="D271" s="6" t="s">
        <v>208</v>
      </c>
      <c r="E271" s="6" t="s">
        <v>209</v>
      </c>
      <c r="F271" s="6" t="s">
        <v>210</v>
      </c>
      <c r="G271" s="6" t="s">
        <v>19</v>
      </c>
      <c r="H271" s="11">
        <v>46121</v>
      </c>
      <c r="I271" s="11">
        <v>46180</v>
      </c>
      <c r="J271" s="6" t="s">
        <v>20</v>
      </c>
      <c r="K271" s="6" t="s">
        <v>24</v>
      </c>
      <c r="L271" s="6" t="s">
        <v>25</v>
      </c>
      <c r="M271" s="6">
        <v>59</v>
      </c>
      <c r="N271">
        <f t="shared" si="24"/>
        <v>1</v>
      </c>
      <c r="O271" t="str">
        <f t="shared" si="25"/>
        <v>04-2026</v>
      </c>
      <c r="P271" t="str">
        <f t="shared" si="26"/>
        <v>06-2026</v>
      </c>
      <c r="Q271">
        <f t="shared" si="27"/>
        <v>0</v>
      </c>
      <c r="R271">
        <f t="shared" si="28"/>
        <v>1</v>
      </c>
      <c r="S271" t="str">
        <f t="shared" si="29"/>
        <v>0-90</v>
      </c>
    </row>
    <row r="272" spans="1:19" x14ac:dyDescent="0.25">
      <c r="A272" s="6" t="s">
        <v>307</v>
      </c>
      <c r="B272" s="6" t="s">
        <v>14</v>
      </c>
      <c r="C272" s="6" t="s">
        <v>15</v>
      </c>
      <c r="D272" s="6" t="s">
        <v>208</v>
      </c>
      <c r="E272" s="6" t="s">
        <v>209</v>
      </c>
      <c r="F272" s="6" t="s">
        <v>210</v>
      </c>
      <c r="G272" s="6" t="s">
        <v>19</v>
      </c>
      <c r="H272" s="11">
        <v>46121</v>
      </c>
      <c r="I272" s="11">
        <v>46139</v>
      </c>
      <c r="J272" s="6" t="s">
        <v>20</v>
      </c>
      <c r="K272" s="6" t="s">
        <v>21</v>
      </c>
      <c r="L272" s="6" t="s">
        <v>37</v>
      </c>
      <c r="M272" s="6">
        <v>18</v>
      </c>
      <c r="N272">
        <f t="shared" si="24"/>
        <v>1</v>
      </c>
      <c r="O272" t="str">
        <f t="shared" si="25"/>
        <v>04-2026</v>
      </c>
      <c r="P272" t="str">
        <f t="shared" si="26"/>
        <v>04-2026</v>
      </c>
      <c r="Q272">
        <f t="shared" si="27"/>
        <v>1</v>
      </c>
      <c r="R272">
        <f t="shared" si="28"/>
        <v>0</v>
      </c>
      <c r="S272" t="str">
        <f t="shared" si="29"/>
        <v>0-90</v>
      </c>
    </row>
    <row r="273" spans="1:19" x14ac:dyDescent="0.25">
      <c r="A273" s="6" t="s">
        <v>308</v>
      </c>
      <c r="B273" s="6" t="s">
        <v>14</v>
      </c>
      <c r="C273" s="6" t="s">
        <v>15</v>
      </c>
      <c r="D273" s="6" t="s">
        <v>208</v>
      </c>
      <c r="E273" s="6" t="s">
        <v>209</v>
      </c>
      <c r="F273" s="6" t="s">
        <v>210</v>
      </c>
      <c r="G273" s="6" t="s">
        <v>19</v>
      </c>
      <c r="H273" s="11">
        <v>46121</v>
      </c>
      <c r="I273" s="11">
        <v>46166</v>
      </c>
      <c r="J273" s="6" t="s">
        <v>20</v>
      </c>
      <c r="K273" s="6" t="s">
        <v>24</v>
      </c>
      <c r="L273" s="6" t="s">
        <v>44</v>
      </c>
      <c r="M273" s="6">
        <v>45</v>
      </c>
      <c r="N273">
        <f t="shared" si="24"/>
        <v>1</v>
      </c>
      <c r="O273" t="str">
        <f t="shared" si="25"/>
        <v>04-2026</v>
      </c>
      <c r="P273" t="str">
        <f t="shared" si="26"/>
        <v>05-2026</v>
      </c>
      <c r="Q273">
        <f t="shared" si="27"/>
        <v>0</v>
      </c>
      <c r="R273">
        <f t="shared" si="28"/>
        <v>1</v>
      </c>
      <c r="S273" t="str">
        <f t="shared" si="29"/>
        <v>0-90</v>
      </c>
    </row>
    <row r="274" spans="1:19" x14ac:dyDescent="0.25">
      <c r="A274" s="6" t="s">
        <v>309</v>
      </c>
      <c r="B274" s="6" t="s">
        <v>14</v>
      </c>
      <c r="C274" s="6" t="s">
        <v>15</v>
      </c>
      <c r="D274" s="6" t="s">
        <v>208</v>
      </c>
      <c r="E274" s="6" t="s">
        <v>209</v>
      </c>
      <c r="F274" s="6" t="s">
        <v>210</v>
      </c>
      <c r="G274" s="6" t="s">
        <v>19</v>
      </c>
      <c r="H274" s="11">
        <v>46121</v>
      </c>
      <c r="I274" s="11">
        <v>46157</v>
      </c>
      <c r="J274" s="6" t="s">
        <v>20</v>
      </c>
      <c r="K274" s="6" t="s">
        <v>24</v>
      </c>
      <c r="L274" s="6" t="s">
        <v>55</v>
      </c>
      <c r="M274" s="6">
        <v>36</v>
      </c>
      <c r="N274">
        <f t="shared" si="24"/>
        <v>1</v>
      </c>
      <c r="O274" t="str">
        <f t="shared" si="25"/>
        <v>04-2026</v>
      </c>
      <c r="P274" t="str">
        <f t="shared" si="26"/>
        <v>05-2026</v>
      </c>
      <c r="Q274">
        <f t="shared" si="27"/>
        <v>0</v>
      </c>
      <c r="R274">
        <f t="shared" si="28"/>
        <v>1</v>
      </c>
      <c r="S274" t="str">
        <f t="shared" si="29"/>
        <v>0-90</v>
      </c>
    </row>
    <row r="275" spans="1:19" x14ac:dyDescent="0.25">
      <c r="A275" s="6" t="s">
        <v>310</v>
      </c>
      <c r="B275" s="6" t="s">
        <v>14</v>
      </c>
      <c r="C275" s="6" t="s">
        <v>15</v>
      </c>
      <c r="D275" s="6" t="s">
        <v>208</v>
      </c>
      <c r="E275" s="6" t="s">
        <v>209</v>
      </c>
      <c r="F275" s="6" t="s">
        <v>210</v>
      </c>
      <c r="G275" s="6" t="s">
        <v>19</v>
      </c>
      <c r="H275" s="11">
        <v>45697</v>
      </c>
      <c r="I275" s="11">
        <v>46154</v>
      </c>
      <c r="J275" s="6" t="s">
        <v>20</v>
      </c>
      <c r="K275" s="6" t="s">
        <v>24</v>
      </c>
      <c r="L275" s="6" t="s">
        <v>25</v>
      </c>
      <c r="M275" s="6">
        <v>457</v>
      </c>
      <c r="N275">
        <f t="shared" si="24"/>
        <v>1</v>
      </c>
      <c r="O275" t="str">
        <f t="shared" si="25"/>
        <v>02-2025</v>
      </c>
      <c r="P275" t="str">
        <f t="shared" si="26"/>
        <v>05-2026</v>
      </c>
      <c r="Q275">
        <f t="shared" si="27"/>
        <v>0</v>
      </c>
      <c r="R275">
        <f t="shared" si="28"/>
        <v>1</v>
      </c>
      <c r="S275" t="str">
        <f t="shared" si="29"/>
        <v>above 1 year</v>
      </c>
    </row>
    <row r="276" spans="1:19" x14ac:dyDescent="0.25">
      <c r="A276" s="6" t="s">
        <v>311</v>
      </c>
      <c r="B276" s="6" t="s">
        <v>14</v>
      </c>
      <c r="C276" s="6" t="s">
        <v>15</v>
      </c>
      <c r="D276" s="6" t="s">
        <v>208</v>
      </c>
      <c r="E276" s="6" t="s">
        <v>209</v>
      </c>
      <c r="F276" s="6" t="s">
        <v>210</v>
      </c>
      <c r="G276" s="6" t="s">
        <v>19</v>
      </c>
      <c r="H276" s="11">
        <v>46182</v>
      </c>
      <c r="I276" s="11">
        <v>46184</v>
      </c>
      <c r="J276" s="6" t="s">
        <v>20</v>
      </c>
      <c r="K276" s="6" t="s">
        <v>21</v>
      </c>
      <c r="L276" s="6" t="s">
        <v>33</v>
      </c>
      <c r="M276" s="6">
        <v>2</v>
      </c>
      <c r="N276">
        <f t="shared" si="24"/>
        <v>1</v>
      </c>
      <c r="O276" t="str">
        <f t="shared" si="25"/>
        <v>06-2026</v>
      </c>
      <c r="P276" t="str">
        <f t="shared" si="26"/>
        <v>06-2026</v>
      </c>
      <c r="Q276">
        <f t="shared" si="27"/>
        <v>1</v>
      </c>
      <c r="R276">
        <f t="shared" si="28"/>
        <v>0</v>
      </c>
      <c r="S276" t="str">
        <f t="shared" si="29"/>
        <v>0-90</v>
      </c>
    </row>
    <row r="277" spans="1:19" x14ac:dyDescent="0.25">
      <c r="A277" s="6" t="s">
        <v>312</v>
      </c>
      <c r="B277" s="6" t="s">
        <v>14</v>
      </c>
      <c r="C277" s="6" t="s">
        <v>15</v>
      </c>
      <c r="D277" s="6" t="s">
        <v>208</v>
      </c>
      <c r="E277" s="6" t="s">
        <v>209</v>
      </c>
      <c r="F277" s="6" t="s">
        <v>210</v>
      </c>
      <c r="G277" s="6" t="s">
        <v>19</v>
      </c>
      <c r="H277" s="11">
        <v>46182</v>
      </c>
      <c r="I277" s="11"/>
      <c r="J277" s="6" t="s">
        <v>27</v>
      </c>
      <c r="K277" s="6"/>
      <c r="L277" s="6"/>
      <c r="M277" s="6">
        <v>21</v>
      </c>
      <c r="N277">
        <f t="shared" si="24"/>
        <v>0</v>
      </c>
      <c r="O277" t="str">
        <f t="shared" si="25"/>
        <v>06-2026</v>
      </c>
      <c r="P277" t="str">
        <f t="shared" si="26"/>
        <v/>
      </c>
      <c r="Q277">
        <f t="shared" si="27"/>
        <v>0</v>
      </c>
      <c r="R277">
        <f t="shared" si="28"/>
        <v>0</v>
      </c>
      <c r="S277" t="str">
        <f t="shared" si="29"/>
        <v>0-90</v>
      </c>
    </row>
    <row r="278" spans="1:19" x14ac:dyDescent="0.25">
      <c r="A278" s="6" t="s">
        <v>313</v>
      </c>
      <c r="B278" s="6" t="s">
        <v>14</v>
      </c>
      <c r="C278" s="6" t="s">
        <v>15</v>
      </c>
      <c r="D278" s="6" t="s">
        <v>208</v>
      </c>
      <c r="E278" s="6" t="s">
        <v>209</v>
      </c>
      <c r="F278" s="6" t="s">
        <v>210</v>
      </c>
      <c r="G278" s="6" t="s">
        <v>19</v>
      </c>
      <c r="H278" s="11">
        <v>46182</v>
      </c>
      <c r="I278" s="11"/>
      <c r="J278" s="6" t="s">
        <v>27</v>
      </c>
      <c r="K278" s="6"/>
      <c r="L278" s="6"/>
      <c r="M278" s="6">
        <v>21</v>
      </c>
      <c r="N278">
        <f t="shared" si="24"/>
        <v>0</v>
      </c>
      <c r="O278" t="str">
        <f t="shared" si="25"/>
        <v>06-2026</v>
      </c>
      <c r="P278" t="str">
        <f t="shared" si="26"/>
        <v/>
      </c>
      <c r="Q278">
        <f t="shared" si="27"/>
        <v>0</v>
      </c>
      <c r="R278">
        <f t="shared" si="28"/>
        <v>0</v>
      </c>
      <c r="S278" t="str">
        <f t="shared" si="29"/>
        <v>0-90</v>
      </c>
    </row>
    <row r="279" spans="1:19" x14ac:dyDescent="0.25">
      <c r="A279" s="6" t="s">
        <v>314</v>
      </c>
      <c r="B279" s="6" t="s">
        <v>14</v>
      </c>
      <c r="C279" s="6" t="s">
        <v>15</v>
      </c>
      <c r="D279" s="6" t="s">
        <v>208</v>
      </c>
      <c r="E279" s="6" t="s">
        <v>209</v>
      </c>
      <c r="F279" s="6" t="s">
        <v>210</v>
      </c>
      <c r="G279" s="6" t="s">
        <v>19</v>
      </c>
      <c r="H279" s="11">
        <v>46151</v>
      </c>
      <c r="I279" s="11">
        <v>46151</v>
      </c>
      <c r="J279" s="6" t="s">
        <v>20</v>
      </c>
      <c r="K279" s="6" t="s">
        <v>21</v>
      </c>
      <c r="L279" s="6" t="s">
        <v>30</v>
      </c>
      <c r="M279" s="6">
        <v>0</v>
      </c>
      <c r="N279">
        <f t="shared" si="24"/>
        <v>1</v>
      </c>
      <c r="O279" t="str">
        <f t="shared" si="25"/>
        <v>05-2026</v>
      </c>
      <c r="P279" t="str">
        <f t="shared" si="26"/>
        <v>05-2026</v>
      </c>
      <c r="Q279">
        <f t="shared" si="27"/>
        <v>1</v>
      </c>
      <c r="R279">
        <f t="shared" si="28"/>
        <v>0</v>
      </c>
      <c r="S279" t="str">
        <f t="shared" si="29"/>
        <v>0-90</v>
      </c>
    </row>
    <row r="280" spans="1:19" x14ac:dyDescent="0.25">
      <c r="A280" s="6" t="s">
        <v>315</v>
      </c>
      <c r="B280" s="6" t="s">
        <v>14</v>
      </c>
      <c r="C280" s="6" t="s">
        <v>15</v>
      </c>
      <c r="D280" s="6" t="s">
        <v>208</v>
      </c>
      <c r="E280" s="6" t="s">
        <v>209</v>
      </c>
      <c r="F280" s="6" t="s">
        <v>210</v>
      </c>
      <c r="G280" s="6" t="s">
        <v>19</v>
      </c>
      <c r="H280" s="11">
        <v>46151</v>
      </c>
      <c r="I280" s="11"/>
      <c r="J280" s="6" t="s">
        <v>27</v>
      </c>
      <c r="K280" s="6"/>
      <c r="L280" s="6"/>
      <c r="M280" s="6">
        <v>52</v>
      </c>
      <c r="N280">
        <f t="shared" si="24"/>
        <v>0</v>
      </c>
      <c r="O280" t="str">
        <f t="shared" si="25"/>
        <v>05-2026</v>
      </c>
      <c r="P280" t="str">
        <f t="shared" si="26"/>
        <v/>
      </c>
      <c r="Q280">
        <f t="shared" si="27"/>
        <v>0</v>
      </c>
      <c r="R280">
        <f t="shared" si="28"/>
        <v>0</v>
      </c>
      <c r="S280" t="str">
        <f t="shared" si="29"/>
        <v>0-90</v>
      </c>
    </row>
    <row r="281" spans="1:19" x14ac:dyDescent="0.25">
      <c r="A281" s="6" t="s">
        <v>316</v>
      </c>
      <c r="B281" s="6" t="s">
        <v>14</v>
      </c>
      <c r="C281" s="6" t="s">
        <v>15</v>
      </c>
      <c r="D281" s="6" t="s">
        <v>208</v>
      </c>
      <c r="E281" s="6" t="s">
        <v>209</v>
      </c>
      <c r="F281" s="6" t="s">
        <v>210</v>
      </c>
      <c r="G281" s="6" t="s">
        <v>19</v>
      </c>
      <c r="H281" s="11">
        <v>46151</v>
      </c>
      <c r="I281" s="11"/>
      <c r="J281" s="6" t="s">
        <v>27</v>
      </c>
      <c r="K281" s="6"/>
      <c r="L281" s="6"/>
      <c r="M281" s="6">
        <v>52</v>
      </c>
      <c r="N281">
        <f t="shared" si="24"/>
        <v>0</v>
      </c>
      <c r="O281" t="str">
        <f t="shared" si="25"/>
        <v>05-2026</v>
      </c>
      <c r="P281" t="str">
        <f t="shared" si="26"/>
        <v/>
      </c>
      <c r="Q281">
        <f t="shared" si="27"/>
        <v>0</v>
      </c>
      <c r="R281">
        <f t="shared" si="28"/>
        <v>0</v>
      </c>
      <c r="S281" t="str">
        <f t="shared" si="29"/>
        <v>0-90</v>
      </c>
    </row>
    <row r="282" spans="1:19" x14ac:dyDescent="0.25">
      <c r="A282" s="6" t="s">
        <v>317</v>
      </c>
      <c r="B282" s="6" t="s">
        <v>14</v>
      </c>
      <c r="C282" s="6" t="s">
        <v>15</v>
      </c>
      <c r="D282" s="6" t="s">
        <v>208</v>
      </c>
      <c r="E282" s="6" t="s">
        <v>209</v>
      </c>
      <c r="F282" s="6" t="s">
        <v>210</v>
      </c>
      <c r="G282" s="6" t="s">
        <v>19</v>
      </c>
      <c r="H282" s="11">
        <v>46151</v>
      </c>
      <c r="I282" s="11"/>
      <c r="J282" s="6" t="s">
        <v>27</v>
      </c>
      <c r="K282" s="6"/>
      <c r="L282" s="6"/>
      <c r="M282" s="6">
        <v>52</v>
      </c>
      <c r="N282">
        <f t="shared" si="24"/>
        <v>0</v>
      </c>
      <c r="O282" t="str">
        <f t="shared" si="25"/>
        <v>05-2026</v>
      </c>
      <c r="P282" t="str">
        <f t="shared" si="26"/>
        <v/>
      </c>
      <c r="Q282">
        <f t="shared" si="27"/>
        <v>0</v>
      </c>
      <c r="R282">
        <f t="shared" si="28"/>
        <v>0</v>
      </c>
      <c r="S282" t="str">
        <f t="shared" si="29"/>
        <v>0-90</v>
      </c>
    </row>
    <row r="283" spans="1:19" x14ac:dyDescent="0.25">
      <c r="A283" s="6" t="s">
        <v>318</v>
      </c>
      <c r="B283" s="6" t="s">
        <v>14</v>
      </c>
      <c r="C283" s="6" t="s">
        <v>15</v>
      </c>
      <c r="D283" s="6" t="s">
        <v>208</v>
      </c>
      <c r="E283" s="6" t="s">
        <v>209</v>
      </c>
      <c r="F283" s="6" t="s">
        <v>210</v>
      </c>
      <c r="G283" s="6" t="s">
        <v>19</v>
      </c>
      <c r="H283" s="11">
        <v>45970</v>
      </c>
      <c r="I283" s="11">
        <v>46156</v>
      </c>
      <c r="J283" s="6" t="s">
        <v>20</v>
      </c>
      <c r="K283" s="6" t="s">
        <v>24</v>
      </c>
      <c r="L283" s="6" t="s">
        <v>41</v>
      </c>
      <c r="M283" s="6">
        <v>186</v>
      </c>
      <c r="N283">
        <f t="shared" si="24"/>
        <v>1</v>
      </c>
      <c r="O283" t="str">
        <f t="shared" si="25"/>
        <v>11-2025</v>
      </c>
      <c r="P283" t="str">
        <f t="shared" si="26"/>
        <v>05-2026</v>
      </c>
      <c r="Q283">
        <f t="shared" si="27"/>
        <v>0</v>
      </c>
      <c r="R283">
        <f t="shared" si="28"/>
        <v>1</v>
      </c>
      <c r="S283" t="str">
        <f t="shared" si="29"/>
        <v>180-365</v>
      </c>
    </row>
    <row r="284" spans="1:19" x14ac:dyDescent="0.25">
      <c r="A284" s="6" t="s">
        <v>319</v>
      </c>
      <c r="B284" s="6" t="s">
        <v>14</v>
      </c>
      <c r="C284" s="6" t="s">
        <v>15</v>
      </c>
      <c r="D284" s="6" t="s">
        <v>208</v>
      </c>
      <c r="E284" s="6" t="s">
        <v>209</v>
      </c>
      <c r="F284" s="6" t="s">
        <v>210</v>
      </c>
      <c r="G284" s="6" t="s">
        <v>19</v>
      </c>
      <c r="H284" s="11">
        <v>45757</v>
      </c>
      <c r="I284" s="11"/>
      <c r="J284" s="6" t="s">
        <v>27</v>
      </c>
      <c r="K284" s="6"/>
      <c r="L284" s="6"/>
      <c r="M284" s="6">
        <v>446</v>
      </c>
      <c r="N284">
        <f t="shared" si="24"/>
        <v>0</v>
      </c>
      <c r="O284" t="str">
        <f t="shared" si="25"/>
        <v>04-2025</v>
      </c>
      <c r="P284" t="str">
        <f t="shared" si="26"/>
        <v/>
      </c>
      <c r="Q284">
        <f t="shared" si="27"/>
        <v>0</v>
      </c>
      <c r="R284">
        <f t="shared" si="28"/>
        <v>0</v>
      </c>
      <c r="S284" t="str">
        <f t="shared" si="29"/>
        <v>above 1 year</v>
      </c>
    </row>
    <row r="285" spans="1:19" x14ac:dyDescent="0.25">
      <c r="A285" s="6" t="s">
        <v>320</v>
      </c>
      <c r="B285" s="6" t="s">
        <v>14</v>
      </c>
      <c r="C285" s="6" t="s">
        <v>15</v>
      </c>
      <c r="D285" s="6" t="s">
        <v>208</v>
      </c>
      <c r="E285" s="6" t="s">
        <v>209</v>
      </c>
      <c r="F285" s="6" t="s">
        <v>210</v>
      </c>
      <c r="G285" s="6" t="s">
        <v>19</v>
      </c>
      <c r="H285" s="11">
        <v>46122</v>
      </c>
      <c r="I285" s="11"/>
      <c r="J285" s="6" t="s">
        <v>27</v>
      </c>
      <c r="K285" s="6"/>
      <c r="L285" s="6"/>
      <c r="M285" s="6">
        <v>81</v>
      </c>
      <c r="N285">
        <f t="shared" si="24"/>
        <v>0</v>
      </c>
      <c r="O285" t="str">
        <f t="shared" si="25"/>
        <v>04-2026</v>
      </c>
      <c r="P285" t="str">
        <f t="shared" si="26"/>
        <v/>
      </c>
      <c r="Q285">
        <f t="shared" si="27"/>
        <v>0</v>
      </c>
      <c r="R285">
        <f t="shared" si="28"/>
        <v>0</v>
      </c>
      <c r="S285" t="str">
        <f t="shared" si="29"/>
        <v>0-90</v>
      </c>
    </row>
    <row r="286" spans="1:19" x14ac:dyDescent="0.25">
      <c r="A286" s="6" t="s">
        <v>321</v>
      </c>
      <c r="B286" s="6" t="s">
        <v>14</v>
      </c>
      <c r="C286" s="6" t="s">
        <v>15</v>
      </c>
      <c r="D286" s="6" t="s">
        <v>208</v>
      </c>
      <c r="E286" s="6" t="s">
        <v>209</v>
      </c>
      <c r="F286" s="6" t="s">
        <v>210</v>
      </c>
      <c r="G286" s="6" t="s">
        <v>19</v>
      </c>
      <c r="H286" s="11">
        <v>46183</v>
      </c>
      <c r="I286" s="11">
        <v>46191</v>
      </c>
      <c r="J286" s="6" t="s">
        <v>20</v>
      </c>
      <c r="K286" s="6" t="s">
        <v>21</v>
      </c>
      <c r="L286" s="6" t="s">
        <v>50</v>
      </c>
      <c r="M286" s="6">
        <v>8</v>
      </c>
      <c r="N286">
        <f t="shared" si="24"/>
        <v>1</v>
      </c>
      <c r="O286" t="str">
        <f t="shared" si="25"/>
        <v>06-2026</v>
      </c>
      <c r="P286" t="str">
        <f t="shared" si="26"/>
        <v>06-2026</v>
      </c>
      <c r="Q286">
        <f t="shared" si="27"/>
        <v>1</v>
      </c>
      <c r="R286">
        <f t="shared" si="28"/>
        <v>0</v>
      </c>
      <c r="S286" t="str">
        <f t="shared" si="29"/>
        <v>0-90</v>
      </c>
    </row>
    <row r="287" spans="1:19" x14ac:dyDescent="0.25">
      <c r="A287" s="6" t="s">
        <v>322</v>
      </c>
      <c r="B287" s="6" t="s">
        <v>14</v>
      </c>
      <c r="C287" s="6" t="s">
        <v>15</v>
      </c>
      <c r="D287" s="6" t="s">
        <v>208</v>
      </c>
      <c r="E287" s="6" t="s">
        <v>209</v>
      </c>
      <c r="F287" s="6" t="s">
        <v>210</v>
      </c>
      <c r="G287" s="6" t="s">
        <v>19</v>
      </c>
      <c r="H287" s="11">
        <v>46183</v>
      </c>
      <c r="I287" s="11">
        <v>46188</v>
      </c>
      <c r="J287" s="6" t="s">
        <v>20</v>
      </c>
      <c r="K287" s="6" t="s">
        <v>21</v>
      </c>
      <c r="L287" s="6" t="s">
        <v>33</v>
      </c>
      <c r="M287" s="6">
        <v>5</v>
      </c>
      <c r="N287">
        <f t="shared" si="24"/>
        <v>1</v>
      </c>
      <c r="O287" t="str">
        <f t="shared" si="25"/>
        <v>06-2026</v>
      </c>
      <c r="P287" t="str">
        <f t="shared" si="26"/>
        <v>06-2026</v>
      </c>
      <c r="Q287">
        <f t="shared" si="27"/>
        <v>1</v>
      </c>
      <c r="R287">
        <f t="shared" si="28"/>
        <v>0</v>
      </c>
      <c r="S287" t="str">
        <f t="shared" si="29"/>
        <v>0-90</v>
      </c>
    </row>
    <row r="288" spans="1:19" x14ac:dyDescent="0.25">
      <c r="A288" s="6" t="s">
        <v>323</v>
      </c>
      <c r="B288" s="6" t="s">
        <v>14</v>
      </c>
      <c r="C288" s="6" t="s">
        <v>15</v>
      </c>
      <c r="D288" s="6" t="s">
        <v>208</v>
      </c>
      <c r="E288" s="6" t="s">
        <v>209</v>
      </c>
      <c r="F288" s="6" t="s">
        <v>210</v>
      </c>
      <c r="G288" s="6" t="s">
        <v>19</v>
      </c>
      <c r="H288" s="11">
        <v>46183</v>
      </c>
      <c r="I288" s="11"/>
      <c r="J288" s="6" t="s">
        <v>27</v>
      </c>
      <c r="K288" s="6"/>
      <c r="L288" s="6"/>
      <c r="M288" s="6">
        <v>20</v>
      </c>
      <c r="N288">
        <f t="shared" si="24"/>
        <v>0</v>
      </c>
      <c r="O288" t="str">
        <f t="shared" si="25"/>
        <v>06-2026</v>
      </c>
      <c r="P288" t="str">
        <f t="shared" si="26"/>
        <v/>
      </c>
      <c r="Q288">
        <f t="shared" si="27"/>
        <v>0</v>
      </c>
      <c r="R288">
        <f t="shared" si="28"/>
        <v>0</v>
      </c>
      <c r="S288" t="str">
        <f t="shared" si="29"/>
        <v>0-90</v>
      </c>
    </row>
    <row r="289" spans="1:19" x14ac:dyDescent="0.25">
      <c r="A289" s="6" t="s">
        <v>324</v>
      </c>
      <c r="B289" s="6" t="s">
        <v>14</v>
      </c>
      <c r="C289" s="6" t="s">
        <v>15</v>
      </c>
      <c r="D289" s="6" t="s">
        <v>208</v>
      </c>
      <c r="E289" s="6" t="s">
        <v>209</v>
      </c>
      <c r="F289" s="6" t="s">
        <v>210</v>
      </c>
      <c r="G289" s="6" t="s">
        <v>19</v>
      </c>
      <c r="H289" s="11">
        <v>45726</v>
      </c>
      <c r="I289" s="11"/>
      <c r="J289" s="6" t="s">
        <v>27</v>
      </c>
      <c r="K289" s="6"/>
      <c r="L289" s="6"/>
      <c r="M289" s="6">
        <v>477</v>
      </c>
      <c r="N289">
        <f t="shared" si="24"/>
        <v>0</v>
      </c>
      <c r="O289" t="str">
        <f t="shared" si="25"/>
        <v>03-2025</v>
      </c>
      <c r="P289" t="str">
        <f t="shared" si="26"/>
        <v/>
      </c>
      <c r="Q289">
        <f t="shared" si="27"/>
        <v>0</v>
      </c>
      <c r="R289">
        <f t="shared" si="28"/>
        <v>0</v>
      </c>
      <c r="S289" t="str">
        <f t="shared" si="29"/>
        <v>above 1 year</v>
      </c>
    </row>
    <row r="290" spans="1:19" x14ac:dyDescent="0.25">
      <c r="A290" s="6" t="s">
        <v>325</v>
      </c>
      <c r="B290" s="6" t="s">
        <v>14</v>
      </c>
      <c r="C290" s="6" t="s">
        <v>15</v>
      </c>
      <c r="D290" s="6" t="s">
        <v>208</v>
      </c>
      <c r="E290" s="6" t="s">
        <v>209</v>
      </c>
      <c r="F290" s="6" t="s">
        <v>210</v>
      </c>
      <c r="G290" s="6" t="s">
        <v>19</v>
      </c>
      <c r="H290" s="11">
        <v>46152</v>
      </c>
      <c r="I290" s="11">
        <v>46176</v>
      </c>
      <c r="J290" s="6" t="s">
        <v>20</v>
      </c>
      <c r="K290" s="6" t="s">
        <v>24</v>
      </c>
      <c r="L290" s="6" t="s">
        <v>41</v>
      </c>
      <c r="M290" s="6">
        <v>24</v>
      </c>
      <c r="N290">
        <f t="shared" si="24"/>
        <v>1</v>
      </c>
      <c r="O290" t="str">
        <f t="shared" si="25"/>
        <v>05-2026</v>
      </c>
      <c r="P290" t="str">
        <f t="shared" si="26"/>
        <v>06-2026</v>
      </c>
      <c r="Q290">
        <f t="shared" si="27"/>
        <v>0</v>
      </c>
      <c r="R290">
        <f t="shared" si="28"/>
        <v>1</v>
      </c>
      <c r="S290" t="str">
        <f t="shared" si="29"/>
        <v>0-90</v>
      </c>
    </row>
    <row r="291" spans="1:19" x14ac:dyDescent="0.25">
      <c r="A291" s="6" t="s">
        <v>326</v>
      </c>
      <c r="B291" s="6" t="s">
        <v>14</v>
      </c>
      <c r="C291" s="6" t="s">
        <v>15</v>
      </c>
      <c r="D291" s="6" t="s">
        <v>208</v>
      </c>
      <c r="E291" s="6" t="s">
        <v>209</v>
      </c>
      <c r="F291" s="6" t="s">
        <v>210</v>
      </c>
      <c r="G291" s="6" t="s">
        <v>19</v>
      </c>
      <c r="H291" s="11">
        <v>46152</v>
      </c>
      <c r="I291" s="11">
        <v>46154</v>
      </c>
      <c r="J291" s="6" t="s">
        <v>20</v>
      </c>
      <c r="K291" s="6" t="s">
        <v>21</v>
      </c>
      <c r="L291" s="6" t="s">
        <v>37</v>
      </c>
      <c r="M291" s="6">
        <v>2</v>
      </c>
      <c r="N291">
        <f t="shared" si="24"/>
        <v>1</v>
      </c>
      <c r="O291" t="str">
        <f t="shared" si="25"/>
        <v>05-2026</v>
      </c>
      <c r="P291" t="str">
        <f t="shared" si="26"/>
        <v>05-2026</v>
      </c>
      <c r="Q291">
        <f t="shared" si="27"/>
        <v>1</v>
      </c>
      <c r="R291">
        <f t="shared" si="28"/>
        <v>0</v>
      </c>
      <c r="S291" t="str">
        <f t="shared" si="29"/>
        <v>0-90</v>
      </c>
    </row>
    <row r="292" spans="1:19" x14ac:dyDescent="0.25">
      <c r="A292" s="6" t="s">
        <v>327</v>
      </c>
      <c r="B292" s="6" t="s">
        <v>14</v>
      </c>
      <c r="C292" s="6" t="s">
        <v>15</v>
      </c>
      <c r="D292" s="6" t="s">
        <v>208</v>
      </c>
      <c r="E292" s="6" t="s">
        <v>209</v>
      </c>
      <c r="F292" s="6" t="s">
        <v>210</v>
      </c>
      <c r="G292" s="6" t="s">
        <v>19</v>
      </c>
      <c r="H292" s="11">
        <v>46152</v>
      </c>
      <c r="I292" s="11"/>
      <c r="J292" s="6" t="s">
        <v>27</v>
      </c>
      <c r="K292" s="6"/>
      <c r="L292" s="6"/>
      <c r="M292" s="6">
        <v>51</v>
      </c>
      <c r="N292">
        <f t="shared" si="24"/>
        <v>0</v>
      </c>
      <c r="O292" t="str">
        <f t="shared" si="25"/>
        <v>05-2026</v>
      </c>
      <c r="P292" t="str">
        <f t="shared" si="26"/>
        <v/>
      </c>
      <c r="Q292">
        <f t="shared" si="27"/>
        <v>0</v>
      </c>
      <c r="R292">
        <f t="shared" si="28"/>
        <v>0</v>
      </c>
      <c r="S292" t="str">
        <f t="shared" si="29"/>
        <v>0-90</v>
      </c>
    </row>
    <row r="293" spans="1:19" x14ac:dyDescent="0.25">
      <c r="A293" s="6" t="s">
        <v>328</v>
      </c>
      <c r="B293" s="6" t="s">
        <v>14</v>
      </c>
      <c r="C293" s="6" t="s">
        <v>15</v>
      </c>
      <c r="D293" s="6" t="s">
        <v>208</v>
      </c>
      <c r="E293" s="6" t="s">
        <v>209</v>
      </c>
      <c r="F293" s="6" t="s">
        <v>210</v>
      </c>
      <c r="G293" s="6" t="s">
        <v>19</v>
      </c>
      <c r="H293" s="11">
        <v>46152</v>
      </c>
      <c r="I293" s="11">
        <v>46173</v>
      </c>
      <c r="J293" s="6" t="s">
        <v>20</v>
      </c>
      <c r="K293" s="6" t="s">
        <v>21</v>
      </c>
      <c r="L293" s="6" t="s">
        <v>22</v>
      </c>
      <c r="M293" s="6">
        <v>21</v>
      </c>
      <c r="N293">
        <f t="shared" si="24"/>
        <v>1</v>
      </c>
      <c r="O293" t="str">
        <f t="shared" si="25"/>
        <v>05-2026</v>
      </c>
      <c r="P293" t="str">
        <f t="shared" si="26"/>
        <v>05-2026</v>
      </c>
      <c r="Q293">
        <f t="shared" si="27"/>
        <v>1</v>
      </c>
      <c r="R293">
        <f t="shared" si="28"/>
        <v>0</v>
      </c>
      <c r="S293" t="str">
        <f t="shared" si="29"/>
        <v>0-90</v>
      </c>
    </row>
    <row r="294" spans="1:19" x14ac:dyDescent="0.25">
      <c r="A294" s="6" t="s">
        <v>329</v>
      </c>
      <c r="B294" s="6" t="s">
        <v>14</v>
      </c>
      <c r="C294" s="6" t="s">
        <v>15</v>
      </c>
      <c r="D294" s="6" t="s">
        <v>208</v>
      </c>
      <c r="E294" s="6" t="s">
        <v>209</v>
      </c>
      <c r="F294" s="6" t="s">
        <v>210</v>
      </c>
      <c r="G294" s="6" t="s">
        <v>19</v>
      </c>
      <c r="H294" s="11">
        <v>46152</v>
      </c>
      <c r="I294" s="11">
        <v>46174</v>
      </c>
      <c r="J294" s="6" t="s">
        <v>20</v>
      </c>
      <c r="K294" s="6" t="s">
        <v>24</v>
      </c>
      <c r="L294" s="6" t="s">
        <v>44</v>
      </c>
      <c r="M294" s="6">
        <v>22</v>
      </c>
      <c r="N294">
        <f t="shared" si="24"/>
        <v>1</v>
      </c>
      <c r="O294" t="str">
        <f t="shared" si="25"/>
        <v>05-2026</v>
      </c>
      <c r="P294" t="str">
        <f t="shared" si="26"/>
        <v>06-2026</v>
      </c>
      <c r="Q294">
        <f t="shared" si="27"/>
        <v>0</v>
      </c>
      <c r="R294">
        <f t="shared" si="28"/>
        <v>1</v>
      </c>
      <c r="S294" t="str">
        <f t="shared" si="29"/>
        <v>0-90</v>
      </c>
    </row>
    <row r="295" spans="1:19" x14ac:dyDescent="0.25">
      <c r="A295" s="6" t="s">
        <v>330</v>
      </c>
      <c r="B295" s="6" t="s">
        <v>14</v>
      </c>
      <c r="C295" s="6" t="s">
        <v>15</v>
      </c>
      <c r="D295" s="6" t="s">
        <v>208</v>
      </c>
      <c r="E295" s="6" t="s">
        <v>209</v>
      </c>
      <c r="F295" s="6" t="s">
        <v>210</v>
      </c>
      <c r="G295" s="6" t="s">
        <v>19</v>
      </c>
      <c r="H295" s="11">
        <v>45971</v>
      </c>
      <c r="I295" s="11">
        <v>46196</v>
      </c>
      <c r="J295" s="6" t="s">
        <v>20</v>
      </c>
      <c r="K295" s="6" t="s">
        <v>24</v>
      </c>
      <c r="L295" s="6" t="s">
        <v>25</v>
      </c>
      <c r="M295" s="6">
        <v>225</v>
      </c>
      <c r="N295">
        <f t="shared" si="24"/>
        <v>1</v>
      </c>
      <c r="O295" t="str">
        <f t="shared" si="25"/>
        <v>11-2025</v>
      </c>
      <c r="P295" t="str">
        <f t="shared" si="26"/>
        <v>06-2026</v>
      </c>
      <c r="Q295">
        <f t="shared" si="27"/>
        <v>0</v>
      </c>
      <c r="R295">
        <f t="shared" si="28"/>
        <v>1</v>
      </c>
      <c r="S295" t="str">
        <f t="shared" si="29"/>
        <v>180-365</v>
      </c>
    </row>
    <row r="296" spans="1:19" x14ac:dyDescent="0.25">
      <c r="A296" s="6" t="s">
        <v>331</v>
      </c>
      <c r="B296" s="6" t="s">
        <v>14</v>
      </c>
      <c r="C296" s="6" t="s">
        <v>15</v>
      </c>
      <c r="D296" s="6" t="s">
        <v>208</v>
      </c>
      <c r="E296" s="6" t="s">
        <v>209</v>
      </c>
      <c r="F296" s="6" t="s">
        <v>210</v>
      </c>
      <c r="G296" s="6" t="s">
        <v>19</v>
      </c>
      <c r="H296" s="11">
        <v>46123</v>
      </c>
      <c r="I296" s="11"/>
      <c r="J296" s="6" t="s">
        <v>27</v>
      </c>
      <c r="K296" s="6"/>
      <c r="L296" s="6"/>
      <c r="M296" s="6">
        <v>80</v>
      </c>
      <c r="N296">
        <f t="shared" si="24"/>
        <v>0</v>
      </c>
      <c r="O296" t="str">
        <f t="shared" si="25"/>
        <v>04-2026</v>
      </c>
      <c r="P296" t="str">
        <f t="shared" si="26"/>
        <v/>
      </c>
      <c r="Q296">
        <f t="shared" si="27"/>
        <v>0</v>
      </c>
      <c r="R296">
        <f t="shared" si="28"/>
        <v>0</v>
      </c>
      <c r="S296" t="str">
        <f t="shared" si="29"/>
        <v>0-90</v>
      </c>
    </row>
    <row r="297" spans="1:19" x14ac:dyDescent="0.25">
      <c r="A297" s="6" t="s">
        <v>332</v>
      </c>
      <c r="B297" s="6" t="s">
        <v>14</v>
      </c>
      <c r="C297" s="6" t="s">
        <v>15</v>
      </c>
      <c r="D297" s="6" t="s">
        <v>208</v>
      </c>
      <c r="E297" s="6" t="s">
        <v>209</v>
      </c>
      <c r="F297" s="6" t="s">
        <v>210</v>
      </c>
      <c r="G297" s="6" t="s">
        <v>19</v>
      </c>
      <c r="H297" s="11">
        <v>46123</v>
      </c>
      <c r="I297" s="11">
        <v>46185</v>
      </c>
      <c r="J297" s="6" t="s">
        <v>20</v>
      </c>
      <c r="K297" s="6" t="s">
        <v>24</v>
      </c>
      <c r="L297" s="6" t="s">
        <v>44</v>
      </c>
      <c r="M297" s="6">
        <v>62</v>
      </c>
      <c r="N297">
        <f t="shared" si="24"/>
        <v>1</v>
      </c>
      <c r="O297" t="str">
        <f t="shared" si="25"/>
        <v>04-2026</v>
      </c>
      <c r="P297" t="str">
        <f t="shared" si="26"/>
        <v>06-2026</v>
      </c>
      <c r="Q297">
        <f t="shared" si="27"/>
        <v>0</v>
      </c>
      <c r="R297">
        <f t="shared" si="28"/>
        <v>1</v>
      </c>
      <c r="S297" t="str">
        <f t="shared" si="29"/>
        <v>0-90</v>
      </c>
    </row>
    <row r="298" spans="1:19" x14ac:dyDescent="0.25">
      <c r="A298" s="6" t="s">
        <v>333</v>
      </c>
      <c r="B298" s="6" t="s">
        <v>14</v>
      </c>
      <c r="C298" s="6" t="s">
        <v>15</v>
      </c>
      <c r="D298" s="6" t="s">
        <v>208</v>
      </c>
      <c r="E298" s="6" t="s">
        <v>209</v>
      </c>
      <c r="F298" s="6" t="s">
        <v>210</v>
      </c>
      <c r="G298" s="6" t="s">
        <v>19</v>
      </c>
      <c r="H298" s="11">
        <v>46123</v>
      </c>
      <c r="I298" s="11">
        <v>46132</v>
      </c>
      <c r="J298" s="6" t="s">
        <v>20</v>
      </c>
      <c r="K298" s="6" t="s">
        <v>21</v>
      </c>
      <c r="L298" s="6" t="s">
        <v>30</v>
      </c>
      <c r="M298" s="6">
        <v>9</v>
      </c>
      <c r="N298">
        <f t="shared" si="24"/>
        <v>1</v>
      </c>
      <c r="O298" t="str">
        <f t="shared" si="25"/>
        <v>04-2026</v>
      </c>
      <c r="P298" t="str">
        <f t="shared" si="26"/>
        <v>04-2026</v>
      </c>
      <c r="Q298">
        <f t="shared" si="27"/>
        <v>1</v>
      </c>
      <c r="R298">
        <f t="shared" si="28"/>
        <v>0</v>
      </c>
      <c r="S298" t="str">
        <f t="shared" si="29"/>
        <v>0-90</v>
      </c>
    </row>
    <row r="299" spans="1:19" x14ac:dyDescent="0.25">
      <c r="A299" s="6" t="s">
        <v>334</v>
      </c>
      <c r="B299" s="6" t="s">
        <v>14</v>
      </c>
      <c r="C299" s="6" t="s">
        <v>15</v>
      </c>
      <c r="D299" s="6" t="s">
        <v>208</v>
      </c>
      <c r="E299" s="6" t="s">
        <v>209</v>
      </c>
      <c r="F299" s="6" t="s">
        <v>210</v>
      </c>
      <c r="G299" s="6" t="s">
        <v>19</v>
      </c>
      <c r="H299" s="11">
        <v>46123</v>
      </c>
      <c r="I299" s="11">
        <v>46123</v>
      </c>
      <c r="J299" s="6" t="s">
        <v>20</v>
      </c>
      <c r="K299" s="6" t="s">
        <v>21</v>
      </c>
      <c r="L299" s="6" t="s">
        <v>22</v>
      </c>
      <c r="M299" s="6">
        <v>0</v>
      </c>
      <c r="N299">
        <f t="shared" si="24"/>
        <v>1</v>
      </c>
      <c r="O299" t="str">
        <f t="shared" si="25"/>
        <v>04-2026</v>
      </c>
      <c r="P299" t="str">
        <f t="shared" si="26"/>
        <v>04-2026</v>
      </c>
      <c r="Q299">
        <f t="shared" si="27"/>
        <v>1</v>
      </c>
      <c r="R299">
        <f t="shared" si="28"/>
        <v>0</v>
      </c>
      <c r="S299" t="str">
        <f t="shared" si="29"/>
        <v>0-90</v>
      </c>
    </row>
    <row r="300" spans="1:19" x14ac:dyDescent="0.25">
      <c r="A300" s="6" t="s">
        <v>335</v>
      </c>
      <c r="B300" s="6" t="s">
        <v>14</v>
      </c>
      <c r="C300" s="6" t="s">
        <v>15</v>
      </c>
      <c r="D300" s="6" t="s">
        <v>208</v>
      </c>
      <c r="E300" s="6" t="s">
        <v>209</v>
      </c>
      <c r="F300" s="6" t="s">
        <v>210</v>
      </c>
      <c r="G300" s="6" t="s">
        <v>19</v>
      </c>
      <c r="H300" s="11">
        <v>45699</v>
      </c>
      <c r="I300" s="11">
        <v>46142</v>
      </c>
      <c r="J300" s="6" t="s">
        <v>20</v>
      </c>
      <c r="K300" s="6" t="s">
        <v>24</v>
      </c>
      <c r="L300" s="6" t="s">
        <v>44</v>
      </c>
      <c r="M300" s="6">
        <v>443</v>
      </c>
      <c r="N300">
        <f t="shared" si="24"/>
        <v>1</v>
      </c>
      <c r="O300" t="str">
        <f t="shared" si="25"/>
        <v>02-2025</v>
      </c>
      <c r="P300" t="str">
        <f t="shared" si="26"/>
        <v>04-2026</v>
      </c>
      <c r="Q300">
        <f t="shared" si="27"/>
        <v>0</v>
      </c>
      <c r="R300">
        <f t="shared" si="28"/>
        <v>1</v>
      </c>
      <c r="S300" t="str">
        <f t="shared" si="29"/>
        <v>above 1 year</v>
      </c>
    </row>
    <row r="301" spans="1:19" x14ac:dyDescent="0.25">
      <c r="A301" s="6" t="s">
        <v>336</v>
      </c>
      <c r="B301" s="6" t="s">
        <v>14</v>
      </c>
      <c r="C301" s="6" t="s">
        <v>15</v>
      </c>
      <c r="D301" s="6" t="s">
        <v>208</v>
      </c>
      <c r="E301" s="6" t="s">
        <v>209</v>
      </c>
      <c r="F301" s="6" t="s">
        <v>210</v>
      </c>
      <c r="G301" s="6" t="s">
        <v>19</v>
      </c>
      <c r="H301" s="11">
        <v>46184</v>
      </c>
      <c r="I301" s="11">
        <v>46200</v>
      </c>
      <c r="J301" s="6" t="s">
        <v>20</v>
      </c>
      <c r="K301" s="6" t="s">
        <v>21</v>
      </c>
      <c r="L301" s="6" t="s">
        <v>61</v>
      </c>
      <c r="M301" s="6">
        <v>16</v>
      </c>
      <c r="N301">
        <f t="shared" si="24"/>
        <v>1</v>
      </c>
      <c r="O301" t="str">
        <f t="shared" si="25"/>
        <v>06-2026</v>
      </c>
      <c r="P301" t="str">
        <f t="shared" si="26"/>
        <v>06-2026</v>
      </c>
      <c r="Q301">
        <f t="shared" si="27"/>
        <v>1</v>
      </c>
      <c r="R301">
        <f t="shared" si="28"/>
        <v>0</v>
      </c>
      <c r="S301" t="str">
        <f t="shared" si="29"/>
        <v>0-90</v>
      </c>
    </row>
    <row r="302" spans="1:19" x14ac:dyDescent="0.25">
      <c r="A302" s="6" t="s">
        <v>337</v>
      </c>
      <c r="B302" s="6" t="s">
        <v>14</v>
      </c>
      <c r="C302" s="6" t="s">
        <v>15</v>
      </c>
      <c r="D302" s="6" t="s">
        <v>208</v>
      </c>
      <c r="E302" s="6" t="s">
        <v>209</v>
      </c>
      <c r="F302" s="6" t="s">
        <v>210</v>
      </c>
      <c r="G302" s="6" t="s">
        <v>19</v>
      </c>
      <c r="H302" s="11">
        <v>46184</v>
      </c>
      <c r="I302" s="11"/>
      <c r="J302" s="6" t="s">
        <v>27</v>
      </c>
      <c r="K302" s="6"/>
      <c r="L302" s="6"/>
      <c r="M302" s="6">
        <v>19</v>
      </c>
      <c r="N302">
        <f t="shared" si="24"/>
        <v>0</v>
      </c>
      <c r="O302" t="str">
        <f t="shared" si="25"/>
        <v>06-2026</v>
      </c>
      <c r="P302" t="str">
        <f t="shared" si="26"/>
        <v/>
      </c>
      <c r="Q302">
        <f t="shared" si="27"/>
        <v>0</v>
      </c>
      <c r="R302">
        <f t="shared" si="28"/>
        <v>0</v>
      </c>
      <c r="S302" t="str">
        <f t="shared" si="29"/>
        <v>0-90</v>
      </c>
    </row>
    <row r="303" spans="1:19" x14ac:dyDescent="0.25">
      <c r="A303" s="6" t="s">
        <v>338</v>
      </c>
      <c r="B303" s="6" t="s">
        <v>14</v>
      </c>
      <c r="C303" s="6" t="s">
        <v>15</v>
      </c>
      <c r="D303" s="6" t="s">
        <v>208</v>
      </c>
      <c r="E303" s="6" t="s">
        <v>209</v>
      </c>
      <c r="F303" s="6" t="s">
        <v>210</v>
      </c>
      <c r="G303" s="6" t="s">
        <v>19</v>
      </c>
      <c r="H303" s="11">
        <v>46092</v>
      </c>
      <c r="I303" s="11">
        <v>46185</v>
      </c>
      <c r="J303" s="6" t="s">
        <v>20</v>
      </c>
      <c r="K303" s="6" t="s">
        <v>24</v>
      </c>
      <c r="L303" s="6" t="s">
        <v>25</v>
      </c>
      <c r="M303" s="6">
        <v>93</v>
      </c>
      <c r="N303">
        <f t="shared" si="24"/>
        <v>1</v>
      </c>
      <c r="O303" t="str">
        <f t="shared" si="25"/>
        <v>03-2026</v>
      </c>
      <c r="P303" t="str">
        <f t="shared" si="26"/>
        <v>06-2026</v>
      </c>
      <c r="Q303">
        <f t="shared" si="27"/>
        <v>0</v>
      </c>
      <c r="R303">
        <f t="shared" si="28"/>
        <v>1</v>
      </c>
      <c r="S303" t="str">
        <f t="shared" si="29"/>
        <v>90-180</v>
      </c>
    </row>
    <row r="304" spans="1:19" x14ac:dyDescent="0.25">
      <c r="A304" s="6" t="s">
        <v>339</v>
      </c>
      <c r="B304" s="6" t="s">
        <v>14</v>
      </c>
      <c r="C304" s="6" t="s">
        <v>15</v>
      </c>
      <c r="D304" s="6" t="s">
        <v>208</v>
      </c>
      <c r="E304" s="6" t="s">
        <v>209</v>
      </c>
      <c r="F304" s="6" t="s">
        <v>210</v>
      </c>
      <c r="G304" s="6" t="s">
        <v>19</v>
      </c>
      <c r="H304" s="11">
        <v>46153</v>
      </c>
      <c r="I304" s="11">
        <v>46173</v>
      </c>
      <c r="J304" s="6" t="s">
        <v>20</v>
      </c>
      <c r="K304" s="6" t="s">
        <v>21</v>
      </c>
      <c r="L304" s="6" t="s">
        <v>37</v>
      </c>
      <c r="M304" s="6">
        <v>20</v>
      </c>
      <c r="N304">
        <f t="shared" si="24"/>
        <v>1</v>
      </c>
      <c r="O304" t="str">
        <f t="shared" si="25"/>
        <v>05-2026</v>
      </c>
      <c r="P304" t="str">
        <f t="shared" si="26"/>
        <v>05-2026</v>
      </c>
      <c r="Q304">
        <f t="shared" si="27"/>
        <v>1</v>
      </c>
      <c r="R304">
        <f t="shared" si="28"/>
        <v>0</v>
      </c>
      <c r="S304" t="str">
        <f t="shared" si="29"/>
        <v>0-90</v>
      </c>
    </row>
    <row r="305" spans="1:19" x14ac:dyDescent="0.25">
      <c r="A305" s="6" t="s">
        <v>340</v>
      </c>
      <c r="B305" s="6" t="s">
        <v>14</v>
      </c>
      <c r="C305" s="6" t="s">
        <v>15</v>
      </c>
      <c r="D305" s="6" t="s">
        <v>208</v>
      </c>
      <c r="E305" s="6" t="s">
        <v>209</v>
      </c>
      <c r="F305" s="6" t="s">
        <v>210</v>
      </c>
      <c r="G305" s="6" t="s">
        <v>19</v>
      </c>
      <c r="H305" s="11">
        <v>46153</v>
      </c>
      <c r="I305" s="11"/>
      <c r="J305" s="6" t="s">
        <v>27</v>
      </c>
      <c r="K305" s="6"/>
      <c r="L305" s="6"/>
      <c r="M305" s="6">
        <v>50</v>
      </c>
      <c r="N305">
        <f t="shared" si="24"/>
        <v>0</v>
      </c>
      <c r="O305" t="str">
        <f t="shared" si="25"/>
        <v>05-2026</v>
      </c>
      <c r="P305" t="str">
        <f t="shared" si="26"/>
        <v/>
      </c>
      <c r="Q305">
        <f t="shared" si="27"/>
        <v>0</v>
      </c>
      <c r="R305">
        <f t="shared" si="28"/>
        <v>0</v>
      </c>
      <c r="S305" t="str">
        <f t="shared" si="29"/>
        <v>0-90</v>
      </c>
    </row>
    <row r="306" spans="1:19" x14ac:dyDescent="0.25">
      <c r="A306" s="6" t="s">
        <v>341</v>
      </c>
      <c r="B306" s="6" t="s">
        <v>14</v>
      </c>
      <c r="C306" s="6" t="s">
        <v>15</v>
      </c>
      <c r="D306" s="6" t="s">
        <v>208</v>
      </c>
      <c r="E306" s="6" t="s">
        <v>209</v>
      </c>
      <c r="F306" s="6" t="s">
        <v>210</v>
      </c>
      <c r="G306" s="6" t="s">
        <v>19</v>
      </c>
      <c r="H306" s="11">
        <v>45911</v>
      </c>
      <c r="I306" s="11">
        <v>46135</v>
      </c>
      <c r="J306" s="6" t="s">
        <v>20</v>
      </c>
      <c r="K306" s="6" t="s">
        <v>24</v>
      </c>
      <c r="L306" s="6" t="s">
        <v>41</v>
      </c>
      <c r="M306" s="6">
        <v>224</v>
      </c>
      <c r="N306">
        <f t="shared" si="24"/>
        <v>1</v>
      </c>
      <c r="O306" t="str">
        <f t="shared" si="25"/>
        <v>09-2025</v>
      </c>
      <c r="P306" t="str">
        <f t="shared" si="26"/>
        <v>04-2026</v>
      </c>
      <c r="Q306">
        <f t="shared" si="27"/>
        <v>0</v>
      </c>
      <c r="R306">
        <f t="shared" si="28"/>
        <v>1</v>
      </c>
      <c r="S306" t="str">
        <f t="shared" si="29"/>
        <v>180-365</v>
      </c>
    </row>
    <row r="307" spans="1:19" x14ac:dyDescent="0.25">
      <c r="A307" s="6" t="s">
        <v>342</v>
      </c>
      <c r="B307" s="6" t="s">
        <v>14</v>
      </c>
      <c r="C307" s="6" t="s">
        <v>15</v>
      </c>
      <c r="D307" s="6" t="s">
        <v>208</v>
      </c>
      <c r="E307" s="6" t="s">
        <v>209</v>
      </c>
      <c r="F307" s="6" t="s">
        <v>210</v>
      </c>
      <c r="G307" s="6" t="s">
        <v>19</v>
      </c>
      <c r="H307" s="11">
        <v>46124</v>
      </c>
      <c r="I307" s="11"/>
      <c r="J307" s="6" t="s">
        <v>27</v>
      </c>
      <c r="K307" s="6"/>
      <c r="L307" s="6"/>
      <c r="M307" s="6">
        <v>79</v>
      </c>
      <c r="N307">
        <f t="shared" si="24"/>
        <v>0</v>
      </c>
      <c r="O307" t="str">
        <f t="shared" si="25"/>
        <v>04-2026</v>
      </c>
      <c r="P307" t="str">
        <f t="shared" si="26"/>
        <v/>
      </c>
      <c r="Q307">
        <f t="shared" si="27"/>
        <v>0</v>
      </c>
      <c r="R307">
        <f t="shared" si="28"/>
        <v>0</v>
      </c>
      <c r="S307" t="str">
        <f t="shared" si="29"/>
        <v>0-90</v>
      </c>
    </row>
    <row r="308" spans="1:19" x14ac:dyDescent="0.25">
      <c r="A308" s="6" t="s">
        <v>343</v>
      </c>
      <c r="B308" s="6" t="s">
        <v>14</v>
      </c>
      <c r="C308" s="6" t="s">
        <v>15</v>
      </c>
      <c r="D308" s="6" t="s">
        <v>208</v>
      </c>
      <c r="E308" s="6" t="s">
        <v>209</v>
      </c>
      <c r="F308" s="6" t="s">
        <v>210</v>
      </c>
      <c r="G308" s="6" t="s">
        <v>19</v>
      </c>
      <c r="H308" s="11">
        <v>46124</v>
      </c>
      <c r="I308" s="11">
        <v>46124</v>
      </c>
      <c r="J308" s="6" t="s">
        <v>20</v>
      </c>
      <c r="K308" s="6" t="s">
        <v>21</v>
      </c>
      <c r="L308" s="6" t="s">
        <v>30</v>
      </c>
      <c r="M308" s="6">
        <v>0</v>
      </c>
      <c r="N308">
        <f t="shared" si="24"/>
        <v>1</v>
      </c>
      <c r="O308" t="str">
        <f t="shared" si="25"/>
        <v>04-2026</v>
      </c>
      <c r="P308" t="str">
        <f t="shared" si="26"/>
        <v>04-2026</v>
      </c>
      <c r="Q308">
        <f t="shared" si="27"/>
        <v>1</v>
      </c>
      <c r="R308">
        <f t="shared" si="28"/>
        <v>0</v>
      </c>
      <c r="S308" t="str">
        <f t="shared" si="29"/>
        <v>0-90</v>
      </c>
    </row>
    <row r="309" spans="1:19" x14ac:dyDescent="0.25">
      <c r="A309" s="6" t="s">
        <v>344</v>
      </c>
      <c r="B309" s="6" t="s">
        <v>14</v>
      </c>
      <c r="C309" s="6" t="s">
        <v>15</v>
      </c>
      <c r="D309" s="6" t="s">
        <v>208</v>
      </c>
      <c r="E309" s="6" t="s">
        <v>209</v>
      </c>
      <c r="F309" s="6" t="s">
        <v>210</v>
      </c>
      <c r="G309" s="6" t="s">
        <v>19</v>
      </c>
      <c r="H309" s="11">
        <v>45820</v>
      </c>
      <c r="I309" s="11">
        <v>46147</v>
      </c>
      <c r="J309" s="6" t="s">
        <v>20</v>
      </c>
      <c r="K309" s="6" t="s">
        <v>24</v>
      </c>
      <c r="L309" s="6" t="s">
        <v>41</v>
      </c>
      <c r="M309" s="6">
        <v>327</v>
      </c>
      <c r="N309">
        <f t="shared" si="24"/>
        <v>1</v>
      </c>
      <c r="O309" t="str">
        <f t="shared" si="25"/>
        <v>06-2025</v>
      </c>
      <c r="P309" t="str">
        <f t="shared" si="26"/>
        <v>05-2026</v>
      </c>
      <c r="Q309">
        <f t="shared" si="27"/>
        <v>0</v>
      </c>
      <c r="R309">
        <f t="shared" si="28"/>
        <v>1</v>
      </c>
      <c r="S309" t="str">
        <f t="shared" si="29"/>
        <v>180-365</v>
      </c>
    </row>
    <row r="310" spans="1:19" x14ac:dyDescent="0.25">
      <c r="A310" s="6" t="s">
        <v>345</v>
      </c>
      <c r="B310" s="6" t="s">
        <v>14</v>
      </c>
      <c r="C310" s="6" t="s">
        <v>15</v>
      </c>
      <c r="D310" s="6" t="s">
        <v>208</v>
      </c>
      <c r="E310" s="6" t="s">
        <v>209</v>
      </c>
      <c r="F310" s="6" t="s">
        <v>210</v>
      </c>
      <c r="G310" s="6" t="s">
        <v>19</v>
      </c>
      <c r="H310" s="11">
        <v>46185</v>
      </c>
      <c r="I310" s="11">
        <v>46202</v>
      </c>
      <c r="J310" s="6" t="s">
        <v>20</v>
      </c>
      <c r="K310" s="6" t="s">
        <v>21</v>
      </c>
      <c r="L310" s="6" t="s">
        <v>22</v>
      </c>
      <c r="M310" s="6">
        <v>17</v>
      </c>
      <c r="N310">
        <f t="shared" si="24"/>
        <v>1</v>
      </c>
      <c r="O310" t="str">
        <f t="shared" si="25"/>
        <v>06-2026</v>
      </c>
      <c r="P310" t="str">
        <f t="shared" si="26"/>
        <v>06-2026</v>
      </c>
      <c r="Q310">
        <f t="shared" si="27"/>
        <v>1</v>
      </c>
      <c r="R310">
        <f t="shared" si="28"/>
        <v>0</v>
      </c>
      <c r="S310" t="str">
        <f t="shared" si="29"/>
        <v>0-90</v>
      </c>
    </row>
    <row r="311" spans="1:19" x14ac:dyDescent="0.25">
      <c r="A311" s="6" t="s">
        <v>346</v>
      </c>
      <c r="B311" s="6" t="s">
        <v>14</v>
      </c>
      <c r="C311" s="6" t="s">
        <v>15</v>
      </c>
      <c r="D311" s="6" t="s">
        <v>208</v>
      </c>
      <c r="E311" s="6" t="s">
        <v>209</v>
      </c>
      <c r="F311" s="6" t="s">
        <v>210</v>
      </c>
      <c r="G311" s="6" t="s">
        <v>19</v>
      </c>
      <c r="H311" s="11">
        <v>46185</v>
      </c>
      <c r="I311" s="11">
        <v>46201</v>
      </c>
      <c r="J311" s="6" t="s">
        <v>20</v>
      </c>
      <c r="K311" s="6" t="s">
        <v>21</v>
      </c>
      <c r="L311" s="6" t="s">
        <v>50</v>
      </c>
      <c r="M311" s="6">
        <v>16</v>
      </c>
      <c r="N311">
        <f t="shared" si="24"/>
        <v>1</v>
      </c>
      <c r="O311" t="str">
        <f t="shared" si="25"/>
        <v>06-2026</v>
      </c>
      <c r="P311" t="str">
        <f t="shared" si="26"/>
        <v>06-2026</v>
      </c>
      <c r="Q311">
        <f t="shared" si="27"/>
        <v>1</v>
      </c>
      <c r="R311">
        <f t="shared" si="28"/>
        <v>0</v>
      </c>
      <c r="S311" t="str">
        <f t="shared" si="29"/>
        <v>0-90</v>
      </c>
    </row>
    <row r="312" spans="1:19" x14ac:dyDescent="0.25">
      <c r="A312" s="6" t="s">
        <v>347</v>
      </c>
      <c r="B312" s="6" t="s">
        <v>14</v>
      </c>
      <c r="C312" s="6" t="s">
        <v>15</v>
      </c>
      <c r="D312" s="6" t="s">
        <v>208</v>
      </c>
      <c r="E312" s="6" t="s">
        <v>209</v>
      </c>
      <c r="F312" s="6" t="s">
        <v>210</v>
      </c>
      <c r="G312" s="6" t="s">
        <v>19</v>
      </c>
      <c r="H312" s="11">
        <v>46185</v>
      </c>
      <c r="I312" s="11">
        <v>46185</v>
      </c>
      <c r="J312" s="6" t="s">
        <v>20</v>
      </c>
      <c r="K312" s="6" t="s">
        <v>21</v>
      </c>
      <c r="L312" s="6" t="s">
        <v>22</v>
      </c>
      <c r="M312" s="6">
        <v>0</v>
      </c>
      <c r="N312">
        <f t="shared" si="24"/>
        <v>1</v>
      </c>
      <c r="O312" t="str">
        <f t="shared" si="25"/>
        <v>06-2026</v>
      </c>
      <c r="P312" t="str">
        <f t="shared" si="26"/>
        <v>06-2026</v>
      </c>
      <c r="Q312">
        <f t="shared" si="27"/>
        <v>1</v>
      </c>
      <c r="R312">
        <f t="shared" si="28"/>
        <v>0</v>
      </c>
      <c r="S312" t="str">
        <f t="shared" si="29"/>
        <v>0-90</v>
      </c>
    </row>
    <row r="313" spans="1:19" x14ac:dyDescent="0.25">
      <c r="A313" s="6" t="s">
        <v>348</v>
      </c>
      <c r="B313" s="6" t="s">
        <v>14</v>
      </c>
      <c r="C313" s="6" t="s">
        <v>15</v>
      </c>
      <c r="D313" s="6" t="s">
        <v>208</v>
      </c>
      <c r="E313" s="6" t="s">
        <v>209</v>
      </c>
      <c r="F313" s="6" t="s">
        <v>210</v>
      </c>
      <c r="G313" s="6" t="s">
        <v>19</v>
      </c>
      <c r="H313" s="11">
        <v>46185</v>
      </c>
      <c r="I313" s="11"/>
      <c r="J313" s="6" t="s">
        <v>27</v>
      </c>
      <c r="K313" s="6"/>
      <c r="L313" s="6"/>
      <c r="M313" s="6">
        <v>18</v>
      </c>
      <c r="N313">
        <f t="shared" si="24"/>
        <v>0</v>
      </c>
      <c r="O313" t="str">
        <f t="shared" si="25"/>
        <v>06-2026</v>
      </c>
      <c r="P313" t="str">
        <f t="shared" si="26"/>
        <v/>
      </c>
      <c r="Q313">
        <f t="shared" si="27"/>
        <v>0</v>
      </c>
      <c r="R313">
        <f t="shared" si="28"/>
        <v>0</v>
      </c>
      <c r="S313" t="str">
        <f t="shared" si="29"/>
        <v>0-90</v>
      </c>
    </row>
    <row r="314" spans="1:19" x14ac:dyDescent="0.25">
      <c r="A314" s="6" t="s">
        <v>349</v>
      </c>
      <c r="B314" s="6" t="s">
        <v>14</v>
      </c>
      <c r="C314" s="6" t="s">
        <v>15</v>
      </c>
      <c r="D314" s="6" t="s">
        <v>208</v>
      </c>
      <c r="E314" s="6" t="s">
        <v>209</v>
      </c>
      <c r="F314" s="6" t="s">
        <v>210</v>
      </c>
      <c r="G314" s="6" t="s">
        <v>19</v>
      </c>
      <c r="H314" s="11">
        <v>46185</v>
      </c>
      <c r="I314" s="11"/>
      <c r="J314" s="6" t="s">
        <v>27</v>
      </c>
      <c r="K314" s="6"/>
      <c r="L314" s="6"/>
      <c r="M314" s="6">
        <v>18</v>
      </c>
      <c r="N314">
        <f t="shared" si="24"/>
        <v>0</v>
      </c>
      <c r="O314" t="str">
        <f t="shared" si="25"/>
        <v>06-2026</v>
      </c>
      <c r="P314" t="str">
        <f t="shared" si="26"/>
        <v/>
      </c>
      <c r="Q314">
        <f t="shared" si="27"/>
        <v>0</v>
      </c>
      <c r="R314">
        <f t="shared" si="28"/>
        <v>0</v>
      </c>
      <c r="S314" t="str">
        <f t="shared" si="29"/>
        <v>0-90</v>
      </c>
    </row>
    <row r="315" spans="1:19" x14ac:dyDescent="0.25">
      <c r="A315" s="6" t="s">
        <v>350</v>
      </c>
      <c r="B315" s="6" t="s">
        <v>14</v>
      </c>
      <c r="C315" s="6" t="s">
        <v>15</v>
      </c>
      <c r="D315" s="6" t="s">
        <v>208</v>
      </c>
      <c r="E315" s="6" t="s">
        <v>209</v>
      </c>
      <c r="F315" s="6" t="s">
        <v>210</v>
      </c>
      <c r="G315" s="6" t="s">
        <v>19</v>
      </c>
      <c r="H315" s="11">
        <v>45728</v>
      </c>
      <c r="I315" s="11"/>
      <c r="J315" s="6" t="s">
        <v>27</v>
      </c>
      <c r="K315" s="6"/>
      <c r="L315" s="6"/>
      <c r="M315" s="6">
        <v>475</v>
      </c>
      <c r="N315">
        <f t="shared" si="24"/>
        <v>0</v>
      </c>
      <c r="O315" t="str">
        <f t="shared" si="25"/>
        <v>03-2025</v>
      </c>
      <c r="P315" t="str">
        <f t="shared" si="26"/>
        <v/>
      </c>
      <c r="Q315">
        <f t="shared" si="27"/>
        <v>0</v>
      </c>
      <c r="R315">
        <f t="shared" si="28"/>
        <v>0</v>
      </c>
      <c r="S315" t="str">
        <f t="shared" si="29"/>
        <v>above 1 year</v>
      </c>
    </row>
    <row r="316" spans="1:19" x14ac:dyDescent="0.25">
      <c r="A316" s="6" t="s">
        <v>351</v>
      </c>
      <c r="B316" s="6" t="s">
        <v>14</v>
      </c>
      <c r="C316" s="6" t="s">
        <v>15</v>
      </c>
      <c r="D316" s="6" t="s">
        <v>208</v>
      </c>
      <c r="E316" s="6" t="s">
        <v>209</v>
      </c>
      <c r="F316" s="6" t="s">
        <v>210</v>
      </c>
      <c r="G316" s="6" t="s">
        <v>19</v>
      </c>
      <c r="H316" s="11">
        <v>46093</v>
      </c>
      <c r="I316" s="11">
        <v>46185</v>
      </c>
      <c r="J316" s="6" t="s">
        <v>20</v>
      </c>
      <c r="K316" s="6" t="s">
        <v>24</v>
      </c>
      <c r="L316" s="6" t="s">
        <v>25</v>
      </c>
      <c r="M316" s="6">
        <v>92</v>
      </c>
      <c r="N316">
        <f t="shared" si="24"/>
        <v>1</v>
      </c>
      <c r="O316" t="str">
        <f t="shared" si="25"/>
        <v>03-2026</v>
      </c>
      <c r="P316" t="str">
        <f t="shared" si="26"/>
        <v>06-2026</v>
      </c>
      <c r="Q316">
        <f t="shared" si="27"/>
        <v>0</v>
      </c>
      <c r="R316">
        <f t="shared" si="28"/>
        <v>1</v>
      </c>
      <c r="S316" t="str">
        <f t="shared" si="29"/>
        <v>90-180</v>
      </c>
    </row>
    <row r="317" spans="1:19" x14ac:dyDescent="0.25">
      <c r="A317" s="6" t="s">
        <v>352</v>
      </c>
      <c r="B317" s="6" t="s">
        <v>14</v>
      </c>
      <c r="C317" s="6" t="s">
        <v>15</v>
      </c>
      <c r="D317" s="6" t="s">
        <v>208</v>
      </c>
      <c r="E317" s="6" t="s">
        <v>209</v>
      </c>
      <c r="F317" s="6" t="s">
        <v>210</v>
      </c>
      <c r="G317" s="6" t="s">
        <v>19</v>
      </c>
      <c r="H317" s="11">
        <v>46154</v>
      </c>
      <c r="I317" s="11"/>
      <c r="J317" s="6" t="s">
        <v>27</v>
      </c>
      <c r="K317" s="6"/>
      <c r="L317" s="6"/>
      <c r="M317" s="6">
        <v>49</v>
      </c>
      <c r="N317">
        <f t="shared" si="24"/>
        <v>0</v>
      </c>
      <c r="O317" t="str">
        <f t="shared" si="25"/>
        <v>05-2026</v>
      </c>
      <c r="P317" t="str">
        <f t="shared" si="26"/>
        <v/>
      </c>
      <c r="Q317">
        <f t="shared" si="27"/>
        <v>0</v>
      </c>
      <c r="R317">
        <f t="shared" si="28"/>
        <v>0</v>
      </c>
      <c r="S317" t="str">
        <f t="shared" si="29"/>
        <v>0-90</v>
      </c>
    </row>
    <row r="318" spans="1:19" x14ac:dyDescent="0.25">
      <c r="A318" s="6" t="s">
        <v>353</v>
      </c>
      <c r="B318" s="6" t="s">
        <v>14</v>
      </c>
      <c r="C318" s="6" t="s">
        <v>15</v>
      </c>
      <c r="D318" s="6" t="s">
        <v>208</v>
      </c>
      <c r="E318" s="6" t="s">
        <v>209</v>
      </c>
      <c r="F318" s="6" t="s">
        <v>210</v>
      </c>
      <c r="G318" s="6" t="s">
        <v>19</v>
      </c>
      <c r="H318" s="11">
        <v>46154</v>
      </c>
      <c r="I318" s="11">
        <v>46154</v>
      </c>
      <c r="J318" s="6" t="s">
        <v>20</v>
      </c>
      <c r="K318" s="6" t="s">
        <v>21</v>
      </c>
      <c r="L318" s="6" t="s">
        <v>30</v>
      </c>
      <c r="M318" s="6">
        <v>0</v>
      </c>
      <c r="N318">
        <f t="shared" si="24"/>
        <v>1</v>
      </c>
      <c r="O318" t="str">
        <f t="shared" si="25"/>
        <v>05-2026</v>
      </c>
      <c r="P318" t="str">
        <f t="shared" si="26"/>
        <v>05-2026</v>
      </c>
      <c r="Q318">
        <f t="shared" si="27"/>
        <v>1</v>
      </c>
      <c r="R318">
        <f t="shared" si="28"/>
        <v>0</v>
      </c>
      <c r="S318" t="str">
        <f t="shared" si="29"/>
        <v>0-90</v>
      </c>
    </row>
    <row r="319" spans="1:19" x14ac:dyDescent="0.25">
      <c r="A319" s="6" t="s">
        <v>354</v>
      </c>
      <c r="B319" s="6" t="s">
        <v>14</v>
      </c>
      <c r="C319" s="6" t="s">
        <v>15</v>
      </c>
      <c r="D319" s="6" t="s">
        <v>208</v>
      </c>
      <c r="E319" s="6" t="s">
        <v>209</v>
      </c>
      <c r="F319" s="6" t="s">
        <v>210</v>
      </c>
      <c r="G319" s="6" t="s">
        <v>19</v>
      </c>
      <c r="H319" s="11">
        <v>46125</v>
      </c>
      <c r="I319" s="11">
        <v>46173</v>
      </c>
      <c r="J319" s="6" t="s">
        <v>20</v>
      </c>
      <c r="K319" s="6" t="s">
        <v>24</v>
      </c>
      <c r="L319" s="6" t="s">
        <v>55</v>
      </c>
      <c r="M319" s="6">
        <v>48</v>
      </c>
      <c r="N319">
        <f t="shared" si="24"/>
        <v>1</v>
      </c>
      <c r="O319" t="str">
        <f t="shared" si="25"/>
        <v>04-2026</v>
      </c>
      <c r="P319" t="str">
        <f t="shared" si="26"/>
        <v>05-2026</v>
      </c>
      <c r="Q319">
        <f t="shared" si="27"/>
        <v>0</v>
      </c>
      <c r="R319">
        <f t="shared" si="28"/>
        <v>1</v>
      </c>
      <c r="S319" t="str">
        <f t="shared" si="29"/>
        <v>0-90</v>
      </c>
    </row>
    <row r="320" spans="1:19" x14ac:dyDescent="0.25">
      <c r="A320" s="6" t="s">
        <v>355</v>
      </c>
      <c r="B320" s="6" t="s">
        <v>14</v>
      </c>
      <c r="C320" s="6" t="s">
        <v>15</v>
      </c>
      <c r="D320" s="6" t="s">
        <v>208</v>
      </c>
      <c r="E320" s="6" t="s">
        <v>209</v>
      </c>
      <c r="F320" s="6" t="s">
        <v>210</v>
      </c>
      <c r="G320" s="6" t="s">
        <v>19</v>
      </c>
      <c r="H320" s="11">
        <v>46125</v>
      </c>
      <c r="I320" s="11">
        <v>46151</v>
      </c>
      <c r="J320" s="6" t="s">
        <v>20</v>
      </c>
      <c r="K320" s="6" t="s">
        <v>24</v>
      </c>
      <c r="L320" s="6" t="s">
        <v>44</v>
      </c>
      <c r="M320" s="6">
        <v>26</v>
      </c>
      <c r="N320">
        <f t="shared" si="24"/>
        <v>1</v>
      </c>
      <c r="O320" t="str">
        <f t="shared" si="25"/>
        <v>04-2026</v>
      </c>
      <c r="P320" t="str">
        <f t="shared" si="26"/>
        <v>05-2026</v>
      </c>
      <c r="Q320">
        <f t="shared" si="27"/>
        <v>0</v>
      </c>
      <c r="R320">
        <f t="shared" si="28"/>
        <v>1</v>
      </c>
      <c r="S320" t="str">
        <f t="shared" si="29"/>
        <v>0-90</v>
      </c>
    </row>
    <row r="321" spans="1:19" x14ac:dyDescent="0.25">
      <c r="A321" s="6" t="s">
        <v>356</v>
      </c>
      <c r="B321" s="6" t="s">
        <v>14</v>
      </c>
      <c r="C321" s="6" t="s">
        <v>15</v>
      </c>
      <c r="D321" s="6" t="s">
        <v>208</v>
      </c>
      <c r="E321" s="6" t="s">
        <v>209</v>
      </c>
      <c r="F321" s="6" t="s">
        <v>210</v>
      </c>
      <c r="G321" s="6" t="s">
        <v>19</v>
      </c>
      <c r="H321" s="11">
        <v>46125</v>
      </c>
      <c r="I321" s="11"/>
      <c r="J321" s="6" t="s">
        <v>27</v>
      </c>
      <c r="K321" s="6"/>
      <c r="L321" s="6"/>
      <c r="M321" s="6">
        <v>78</v>
      </c>
      <c r="N321">
        <f t="shared" si="24"/>
        <v>0</v>
      </c>
      <c r="O321" t="str">
        <f t="shared" si="25"/>
        <v>04-2026</v>
      </c>
      <c r="P321" t="str">
        <f t="shared" si="26"/>
        <v/>
      </c>
      <c r="Q321">
        <f t="shared" si="27"/>
        <v>0</v>
      </c>
      <c r="R321">
        <f t="shared" si="28"/>
        <v>0</v>
      </c>
      <c r="S321" t="str">
        <f t="shared" si="29"/>
        <v>0-90</v>
      </c>
    </row>
    <row r="322" spans="1:19" x14ac:dyDescent="0.25">
      <c r="A322" s="6" t="s">
        <v>357</v>
      </c>
      <c r="B322" s="6" t="s">
        <v>14</v>
      </c>
      <c r="C322" s="6" t="s">
        <v>15</v>
      </c>
      <c r="D322" s="6" t="s">
        <v>208</v>
      </c>
      <c r="E322" s="6" t="s">
        <v>209</v>
      </c>
      <c r="F322" s="6" t="s">
        <v>210</v>
      </c>
      <c r="G322" s="6" t="s">
        <v>19</v>
      </c>
      <c r="H322" s="11">
        <v>46125</v>
      </c>
      <c r="I322" s="11">
        <v>46126</v>
      </c>
      <c r="J322" s="6" t="s">
        <v>20</v>
      </c>
      <c r="K322" s="6" t="s">
        <v>21</v>
      </c>
      <c r="L322" s="6" t="s">
        <v>50</v>
      </c>
      <c r="M322" s="6">
        <v>1</v>
      </c>
      <c r="N322">
        <f t="shared" si="24"/>
        <v>1</v>
      </c>
      <c r="O322" t="str">
        <f t="shared" si="25"/>
        <v>04-2026</v>
      </c>
      <c r="P322" t="str">
        <f t="shared" si="26"/>
        <v>04-2026</v>
      </c>
      <c r="Q322">
        <f t="shared" si="27"/>
        <v>1</v>
      </c>
      <c r="R322">
        <f t="shared" si="28"/>
        <v>0</v>
      </c>
      <c r="S322" t="str">
        <f t="shared" si="29"/>
        <v>0-90</v>
      </c>
    </row>
    <row r="323" spans="1:19" x14ac:dyDescent="0.25">
      <c r="A323" s="6" t="s">
        <v>358</v>
      </c>
      <c r="B323" s="6" t="s">
        <v>14</v>
      </c>
      <c r="C323" s="6" t="s">
        <v>15</v>
      </c>
      <c r="D323" s="6" t="s">
        <v>208</v>
      </c>
      <c r="E323" s="6" t="s">
        <v>209</v>
      </c>
      <c r="F323" s="6" t="s">
        <v>210</v>
      </c>
      <c r="G323" s="6" t="s">
        <v>19</v>
      </c>
      <c r="H323" s="11">
        <v>46125</v>
      </c>
      <c r="I323" s="11">
        <v>46197</v>
      </c>
      <c r="J323" s="6" t="s">
        <v>20</v>
      </c>
      <c r="K323" s="6" t="s">
        <v>24</v>
      </c>
      <c r="L323" s="6" t="s">
        <v>55</v>
      </c>
      <c r="M323" s="6">
        <v>72</v>
      </c>
      <c r="N323">
        <f t="shared" ref="N323:N386" si="30">IF(J323="Relieved",1,0)</f>
        <v>1</v>
      </c>
      <c r="O323" t="str">
        <f t="shared" ref="O323:O386" si="31">TEXT(H323,"mm-yyyy")</f>
        <v>04-2026</v>
      </c>
      <c r="P323" t="str">
        <f t="shared" ref="P323:P386" si="32">IF(I323="","",TEXT(I323,"mm-yyyy"))</f>
        <v>06-2026</v>
      </c>
      <c r="Q323">
        <f t="shared" ref="Q323:Q386" si="33">IF(K323="Voluntary",1,0)</f>
        <v>0</v>
      </c>
      <c r="R323">
        <f t="shared" ref="R323:R386" si="34">IF(K323="Involuntary",1,0)</f>
        <v>1</v>
      </c>
      <c r="S323" t="str">
        <f t="shared" ref="S323:S386" si="35">IF(M323&lt;90,"0-90",IF(M323&lt;180,"90-180",IF(M323&lt;365,"180-365","above 1 year")))</f>
        <v>0-90</v>
      </c>
    </row>
    <row r="324" spans="1:19" x14ac:dyDescent="0.25">
      <c r="A324" s="6" t="s">
        <v>359</v>
      </c>
      <c r="B324" s="6" t="s">
        <v>14</v>
      </c>
      <c r="C324" s="6" t="s">
        <v>15</v>
      </c>
      <c r="D324" s="6" t="s">
        <v>208</v>
      </c>
      <c r="E324" s="6" t="s">
        <v>209</v>
      </c>
      <c r="F324" s="6" t="s">
        <v>210</v>
      </c>
      <c r="G324" s="6" t="s">
        <v>19</v>
      </c>
      <c r="H324" s="11">
        <v>46125</v>
      </c>
      <c r="I324" s="11">
        <v>46125</v>
      </c>
      <c r="J324" s="6" t="s">
        <v>20</v>
      </c>
      <c r="K324" s="6" t="s">
        <v>21</v>
      </c>
      <c r="L324" s="6" t="s">
        <v>37</v>
      </c>
      <c r="M324" s="6">
        <v>0</v>
      </c>
      <c r="N324">
        <f t="shared" si="30"/>
        <v>1</v>
      </c>
      <c r="O324" t="str">
        <f t="shared" si="31"/>
        <v>04-2026</v>
      </c>
      <c r="P324" t="str">
        <f t="shared" si="32"/>
        <v>04-2026</v>
      </c>
      <c r="Q324">
        <f t="shared" si="33"/>
        <v>1</v>
      </c>
      <c r="R324">
        <f t="shared" si="34"/>
        <v>0</v>
      </c>
      <c r="S324" t="str">
        <f t="shared" si="35"/>
        <v>0-90</v>
      </c>
    </row>
    <row r="325" spans="1:19" x14ac:dyDescent="0.25">
      <c r="A325" s="6" t="s">
        <v>360</v>
      </c>
      <c r="B325" s="6" t="s">
        <v>14</v>
      </c>
      <c r="C325" s="6" t="s">
        <v>15</v>
      </c>
      <c r="D325" s="6" t="s">
        <v>208</v>
      </c>
      <c r="E325" s="6" t="s">
        <v>209</v>
      </c>
      <c r="F325" s="6" t="s">
        <v>210</v>
      </c>
      <c r="G325" s="6" t="s">
        <v>19</v>
      </c>
      <c r="H325" s="11">
        <v>46125</v>
      </c>
      <c r="I325" s="11">
        <v>46140</v>
      </c>
      <c r="J325" s="6" t="s">
        <v>20</v>
      </c>
      <c r="K325" s="6" t="s">
        <v>21</v>
      </c>
      <c r="L325" s="6" t="s">
        <v>61</v>
      </c>
      <c r="M325" s="6">
        <v>15</v>
      </c>
      <c r="N325">
        <f t="shared" si="30"/>
        <v>1</v>
      </c>
      <c r="O325" t="str">
        <f t="shared" si="31"/>
        <v>04-2026</v>
      </c>
      <c r="P325" t="str">
        <f t="shared" si="32"/>
        <v>04-2026</v>
      </c>
      <c r="Q325">
        <f t="shared" si="33"/>
        <v>1</v>
      </c>
      <c r="R325">
        <f t="shared" si="34"/>
        <v>0</v>
      </c>
      <c r="S325" t="str">
        <f t="shared" si="35"/>
        <v>0-90</v>
      </c>
    </row>
    <row r="326" spans="1:19" x14ac:dyDescent="0.25">
      <c r="A326" s="6" t="s">
        <v>361</v>
      </c>
      <c r="B326" s="6" t="s">
        <v>14</v>
      </c>
      <c r="C326" s="6" t="s">
        <v>15</v>
      </c>
      <c r="D326" s="6" t="s">
        <v>208</v>
      </c>
      <c r="E326" s="6" t="s">
        <v>209</v>
      </c>
      <c r="F326" s="6" t="s">
        <v>210</v>
      </c>
      <c r="G326" s="6" t="s">
        <v>19</v>
      </c>
      <c r="H326" s="11">
        <v>46125</v>
      </c>
      <c r="I326" s="11"/>
      <c r="J326" s="6" t="s">
        <v>27</v>
      </c>
      <c r="K326" s="6"/>
      <c r="L326" s="6"/>
      <c r="M326" s="6">
        <v>78</v>
      </c>
      <c r="N326">
        <f t="shared" si="30"/>
        <v>0</v>
      </c>
      <c r="O326" t="str">
        <f t="shared" si="31"/>
        <v>04-2026</v>
      </c>
      <c r="P326" t="str">
        <f t="shared" si="32"/>
        <v/>
      </c>
      <c r="Q326">
        <f t="shared" si="33"/>
        <v>0</v>
      </c>
      <c r="R326">
        <f t="shared" si="34"/>
        <v>0</v>
      </c>
      <c r="S326" t="str">
        <f t="shared" si="35"/>
        <v>0-90</v>
      </c>
    </row>
    <row r="327" spans="1:19" x14ac:dyDescent="0.25">
      <c r="A327" s="6" t="s">
        <v>362</v>
      </c>
      <c r="B327" s="6" t="s">
        <v>14</v>
      </c>
      <c r="C327" s="6" t="s">
        <v>15</v>
      </c>
      <c r="D327" s="6" t="s">
        <v>208</v>
      </c>
      <c r="E327" s="6" t="s">
        <v>209</v>
      </c>
      <c r="F327" s="6" t="s">
        <v>210</v>
      </c>
      <c r="G327" s="6" t="s">
        <v>19</v>
      </c>
      <c r="H327" s="11">
        <v>45821</v>
      </c>
      <c r="I327" s="11"/>
      <c r="J327" s="6" t="s">
        <v>27</v>
      </c>
      <c r="K327" s="6"/>
      <c r="L327" s="6"/>
      <c r="M327" s="6">
        <v>382</v>
      </c>
      <c r="N327">
        <f t="shared" si="30"/>
        <v>0</v>
      </c>
      <c r="O327" t="str">
        <f t="shared" si="31"/>
        <v>06-2025</v>
      </c>
      <c r="P327" t="str">
        <f t="shared" si="32"/>
        <v/>
      </c>
      <c r="Q327">
        <f t="shared" si="33"/>
        <v>0</v>
      </c>
      <c r="R327">
        <f t="shared" si="34"/>
        <v>0</v>
      </c>
      <c r="S327" t="str">
        <f t="shared" si="35"/>
        <v>above 1 year</v>
      </c>
    </row>
    <row r="328" spans="1:19" x14ac:dyDescent="0.25">
      <c r="A328" s="6" t="s">
        <v>363</v>
      </c>
      <c r="B328" s="6" t="s">
        <v>14</v>
      </c>
      <c r="C328" s="6" t="s">
        <v>15</v>
      </c>
      <c r="D328" s="6" t="s">
        <v>208</v>
      </c>
      <c r="E328" s="6" t="s">
        <v>209</v>
      </c>
      <c r="F328" s="6" t="s">
        <v>210</v>
      </c>
      <c r="G328" s="6" t="s">
        <v>19</v>
      </c>
      <c r="H328" s="11">
        <v>46186</v>
      </c>
      <c r="I328" s="11">
        <v>46200</v>
      </c>
      <c r="J328" s="6" t="s">
        <v>20</v>
      </c>
      <c r="K328" s="6" t="s">
        <v>21</v>
      </c>
      <c r="L328" s="6" t="s">
        <v>30</v>
      </c>
      <c r="M328" s="6">
        <v>14</v>
      </c>
      <c r="N328">
        <f t="shared" si="30"/>
        <v>1</v>
      </c>
      <c r="O328" t="str">
        <f t="shared" si="31"/>
        <v>06-2026</v>
      </c>
      <c r="P328" t="str">
        <f t="shared" si="32"/>
        <v>06-2026</v>
      </c>
      <c r="Q328">
        <f t="shared" si="33"/>
        <v>1</v>
      </c>
      <c r="R328">
        <f t="shared" si="34"/>
        <v>0</v>
      </c>
      <c r="S328" t="str">
        <f t="shared" si="35"/>
        <v>0-90</v>
      </c>
    </row>
    <row r="329" spans="1:19" x14ac:dyDescent="0.25">
      <c r="A329" s="6" t="s">
        <v>364</v>
      </c>
      <c r="B329" s="6" t="s">
        <v>14</v>
      </c>
      <c r="C329" s="6" t="s">
        <v>15</v>
      </c>
      <c r="D329" s="6" t="s">
        <v>208</v>
      </c>
      <c r="E329" s="6" t="s">
        <v>209</v>
      </c>
      <c r="F329" s="6" t="s">
        <v>210</v>
      </c>
      <c r="G329" s="6" t="s">
        <v>19</v>
      </c>
      <c r="H329" s="11">
        <v>46186</v>
      </c>
      <c r="I329" s="11">
        <v>46196</v>
      </c>
      <c r="J329" s="6" t="s">
        <v>20</v>
      </c>
      <c r="K329" s="6" t="s">
        <v>21</v>
      </c>
      <c r="L329" s="6" t="s">
        <v>33</v>
      </c>
      <c r="M329" s="6">
        <v>10</v>
      </c>
      <c r="N329">
        <f t="shared" si="30"/>
        <v>1</v>
      </c>
      <c r="O329" t="str">
        <f t="shared" si="31"/>
        <v>06-2026</v>
      </c>
      <c r="P329" t="str">
        <f t="shared" si="32"/>
        <v>06-2026</v>
      </c>
      <c r="Q329">
        <f t="shared" si="33"/>
        <v>1</v>
      </c>
      <c r="R329">
        <f t="shared" si="34"/>
        <v>0</v>
      </c>
      <c r="S329" t="str">
        <f t="shared" si="35"/>
        <v>0-90</v>
      </c>
    </row>
    <row r="330" spans="1:19" x14ac:dyDescent="0.25">
      <c r="A330" s="6" t="s">
        <v>365</v>
      </c>
      <c r="B330" s="6" t="s">
        <v>14</v>
      </c>
      <c r="C330" s="6" t="s">
        <v>15</v>
      </c>
      <c r="D330" s="6" t="s">
        <v>208</v>
      </c>
      <c r="E330" s="6" t="s">
        <v>209</v>
      </c>
      <c r="F330" s="6" t="s">
        <v>210</v>
      </c>
      <c r="G330" s="6" t="s">
        <v>19</v>
      </c>
      <c r="H330" s="11">
        <v>45790</v>
      </c>
      <c r="I330" s="11"/>
      <c r="J330" s="6" t="s">
        <v>27</v>
      </c>
      <c r="K330" s="6"/>
      <c r="L330" s="6"/>
      <c r="M330" s="6">
        <v>413</v>
      </c>
      <c r="N330">
        <f t="shared" si="30"/>
        <v>0</v>
      </c>
      <c r="O330" t="str">
        <f t="shared" si="31"/>
        <v>05-2025</v>
      </c>
      <c r="P330" t="str">
        <f t="shared" si="32"/>
        <v/>
      </c>
      <c r="Q330">
        <f t="shared" si="33"/>
        <v>0</v>
      </c>
      <c r="R330">
        <f t="shared" si="34"/>
        <v>0</v>
      </c>
      <c r="S330" t="str">
        <f t="shared" si="35"/>
        <v>above 1 year</v>
      </c>
    </row>
    <row r="331" spans="1:19" x14ac:dyDescent="0.25">
      <c r="A331" s="6" t="s">
        <v>366</v>
      </c>
      <c r="B331" s="6" t="s">
        <v>14</v>
      </c>
      <c r="C331" s="6" t="s">
        <v>15</v>
      </c>
      <c r="D331" s="6" t="s">
        <v>208</v>
      </c>
      <c r="E331" s="6" t="s">
        <v>209</v>
      </c>
      <c r="F331" s="6" t="s">
        <v>210</v>
      </c>
      <c r="G331" s="6" t="s">
        <v>19</v>
      </c>
      <c r="H331" s="11">
        <v>46155</v>
      </c>
      <c r="I331" s="11"/>
      <c r="J331" s="6" t="s">
        <v>27</v>
      </c>
      <c r="K331" s="6"/>
      <c r="L331" s="6"/>
      <c r="M331" s="6">
        <v>48</v>
      </c>
      <c r="N331">
        <f t="shared" si="30"/>
        <v>0</v>
      </c>
      <c r="O331" t="str">
        <f t="shared" si="31"/>
        <v>05-2026</v>
      </c>
      <c r="P331" t="str">
        <f t="shared" si="32"/>
        <v/>
      </c>
      <c r="Q331">
        <f t="shared" si="33"/>
        <v>0</v>
      </c>
      <c r="R331">
        <f t="shared" si="34"/>
        <v>0</v>
      </c>
      <c r="S331" t="str">
        <f t="shared" si="35"/>
        <v>0-90</v>
      </c>
    </row>
    <row r="332" spans="1:19" x14ac:dyDescent="0.25">
      <c r="A332" s="6" t="s">
        <v>367</v>
      </c>
      <c r="B332" s="6" t="s">
        <v>14</v>
      </c>
      <c r="C332" s="6" t="s">
        <v>15</v>
      </c>
      <c r="D332" s="6" t="s">
        <v>208</v>
      </c>
      <c r="E332" s="6" t="s">
        <v>209</v>
      </c>
      <c r="F332" s="6" t="s">
        <v>210</v>
      </c>
      <c r="G332" s="6" t="s">
        <v>19</v>
      </c>
      <c r="H332" s="11">
        <v>45943</v>
      </c>
      <c r="I332" s="11">
        <v>46146</v>
      </c>
      <c r="J332" s="6" t="s">
        <v>20</v>
      </c>
      <c r="K332" s="6" t="s">
        <v>24</v>
      </c>
      <c r="L332" s="6" t="s">
        <v>44</v>
      </c>
      <c r="M332" s="6">
        <v>203</v>
      </c>
      <c r="N332">
        <f t="shared" si="30"/>
        <v>1</v>
      </c>
      <c r="O332" t="str">
        <f t="shared" si="31"/>
        <v>10-2025</v>
      </c>
      <c r="P332" t="str">
        <f t="shared" si="32"/>
        <v>05-2026</v>
      </c>
      <c r="Q332">
        <f t="shared" si="33"/>
        <v>0</v>
      </c>
      <c r="R332">
        <f t="shared" si="34"/>
        <v>1</v>
      </c>
      <c r="S332" t="str">
        <f t="shared" si="35"/>
        <v>180-365</v>
      </c>
    </row>
    <row r="333" spans="1:19" x14ac:dyDescent="0.25">
      <c r="A333" s="6" t="s">
        <v>368</v>
      </c>
      <c r="B333" s="6" t="s">
        <v>14</v>
      </c>
      <c r="C333" s="6" t="s">
        <v>15</v>
      </c>
      <c r="D333" s="6" t="s">
        <v>208</v>
      </c>
      <c r="E333" s="6" t="s">
        <v>209</v>
      </c>
      <c r="F333" s="6" t="s">
        <v>210</v>
      </c>
      <c r="G333" s="6" t="s">
        <v>19</v>
      </c>
      <c r="H333" s="11">
        <v>46126</v>
      </c>
      <c r="I333" s="11">
        <v>46133</v>
      </c>
      <c r="J333" s="6" t="s">
        <v>20</v>
      </c>
      <c r="K333" s="6" t="s">
        <v>21</v>
      </c>
      <c r="L333" s="6" t="s">
        <v>37</v>
      </c>
      <c r="M333" s="6">
        <v>7</v>
      </c>
      <c r="N333">
        <f t="shared" si="30"/>
        <v>1</v>
      </c>
      <c r="O333" t="str">
        <f t="shared" si="31"/>
        <v>04-2026</v>
      </c>
      <c r="P333" t="str">
        <f t="shared" si="32"/>
        <v>04-2026</v>
      </c>
      <c r="Q333">
        <f t="shared" si="33"/>
        <v>1</v>
      </c>
      <c r="R333">
        <f t="shared" si="34"/>
        <v>0</v>
      </c>
      <c r="S333" t="str">
        <f t="shared" si="35"/>
        <v>0-90</v>
      </c>
    </row>
    <row r="334" spans="1:19" x14ac:dyDescent="0.25">
      <c r="A334" s="6" t="s">
        <v>369</v>
      </c>
      <c r="B334" s="6" t="s">
        <v>14</v>
      </c>
      <c r="C334" s="6" t="s">
        <v>15</v>
      </c>
      <c r="D334" s="6" t="s">
        <v>208</v>
      </c>
      <c r="E334" s="6" t="s">
        <v>209</v>
      </c>
      <c r="F334" s="6" t="s">
        <v>210</v>
      </c>
      <c r="G334" s="6" t="s">
        <v>19</v>
      </c>
      <c r="H334" s="11">
        <v>46126</v>
      </c>
      <c r="I334" s="11">
        <v>46161</v>
      </c>
      <c r="J334" s="6" t="s">
        <v>20</v>
      </c>
      <c r="K334" s="6" t="s">
        <v>21</v>
      </c>
      <c r="L334" s="6" t="s">
        <v>22</v>
      </c>
      <c r="M334" s="6">
        <v>35</v>
      </c>
      <c r="N334">
        <f t="shared" si="30"/>
        <v>1</v>
      </c>
      <c r="O334" t="str">
        <f t="shared" si="31"/>
        <v>04-2026</v>
      </c>
      <c r="P334" t="str">
        <f t="shared" si="32"/>
        <v>05-2026</v>
      </c>
      <c r="Q334">
        <f t="shared" si="33"/>
        <v>1</v>
      </c>
      <c r="R334">
        <f t="shared" si="34"/>
        <v>0</v>
      </c>
      <c r="S334" t="str">
        <f t="shared" si="35"/>
        <v>0-90</v>
      </c>
    </row>
    <row r="335" spans="1:19" x14ac:dyDescent="0.25">
      <c r="A335" s="6" t="s">
        <v>370</v>
      </c>
      <c r="B335" s="6" t="s">
        <v>14</v>
      </c>
      <c r="C335" s="6" t="s">
        <v>15</v>
      </c>
      <c r="D335" s="6" t="s">
        <v>208</v>
      </c>
      <c r="E335" s="6" t="s">
        <v>209</v>
      </c>
      <c r="F335" s="6" t="s">
        <v>210</v>
      </c>
      <c r="G335" s="6" t="s">
        <v>19</v>
      </c>
      <c r="H335" s="11">
        <v>46126</v>
      </c>
      <c r="I335" s="11">
        <v>46175</v>
      </c>
      <c r="J335" s="6" t="s">
        <v>20</v>
      </c>
      <c r="K335" s="6" t="s">
        <v>24</v>
      </c>
      <c r="L335" s="6" t="s">
        <v>41</v>
      </c>
      <c r="M335" s="6">
        <v>49</v>
      </c>
      <c r="N335">
        <f t="shared" si="30"/>
        <v>1</v>
      </c>
      <c r="O335" t="str">
        <f t="shared" si="31"/>
        <v>04-2026</v>
      </c>
      <c r="P335" t="str">
        <f t="shared" si="32"/>
        <v>06-2026</v>
      </c>
      <c r="Q335">
        <f t="shared" si="33"/>
        <v>0</v>
      </c>
      <c r="R335">
        <f t="shared" si="34"/>
        <v>1</v>
      </c>
      <c r="S335" t="str">
        <f t="shared" si="35"/>
        <v>0-90</v>
      </c>
    </row>
    <row r="336" spans="1:19" x14ac:dyDescent="0.25">
      <c r="A336" s="6" t="s">
        <v>371</v>
      </c>
      <c r="B336" s="6" t="s">
        <v>14</v>
      </c>
      <c r="C336" s="6" t="s">
        <v>15</v>
      </c>
      <c r="D336" s="6" t="s">
        <v>208</v>
      </c>
      <c r="E336" s="6" t="s">
        <v>209</v>
      </c>
      <c r="F336" s="6" t="s">
        <v>210</v>
      </c>
      <c r="G336" s="6" t="s">
        <v>19</v>
      </c>
      <c r="H336" s="11">
        <v>46126</v>
      </c>
      <c r="I336" s="11">
        <v>46131</v>
      </c>
      <c r="J336" s="6" t="s">
        <v>20</v>
      </c>
      <c r="K336" s="6" t="s">
        <v>21</v>
      </c>
      <c r="L336" s="6" t="s">
        <v>30</v>
      </c>
      <c r="M336" s="6">
        <v>5</v>
      </c>
      <c r="N336">
        <f t="shared" si="30"/>
        <v>1</v>
      </c>
      <c r="O336" t="str">
        <f t="shared" si="31"/>
        <v>04-2026</v>
      </c>
      <c r="P336" t="str">
        <f t="shared" si="32"/>
        <v>04-2026</v>
      </c>
      <c r="Q336">
        <f t="shared" si="33"/>
        <v>1</v>
      </c>
      <c r="R336">
        <f t="shared" si="34"/>
        <v>0</v>
      </c>
      <c r="S336" t="str">
        <f t="shared" si="35"/>
        <v>0-90</v>
      </c>
    </row>
    <row r="337" spans="1:19" x14ac:dyDescent="0.25">
      <c r="A337" s="6" t="s">
        <v>372</v>
      </c>
      <c r="B337" s="6" t="s">
        <v>14</v>
      </c>
      <c r="C337" s="6" t="s">
        <v>15</v>
      </c>
      <c r="D337" s="6" t="s">
        <v>208</v>
      </c>
      <c r="E337" s="6" t="s">
        <v>209</v>
      </c>
      <c r="F337" s="6" t="s">
        <v>210</v>
      </c>
      <c r="G337" s="6" t="s">
        <v>19</v>
      </c>
      <c r="H337" s="11">
        <v>46126</v>
      </c>
      <c r="I337" s="11"/>
      <c r="J337" s="6" t="s">
        <v>27</v>
      </c>
      <c r="K337" s="6"/>
      <c r="L337" s="6"/>
      <c r="M337" s="6">
        <v>77</v>
      </c>
      <c r="N337">
        <f t="shared" si="30"/>
        <v>0</v>
      </c>
      <c r="O337" t="str">
        <f t="shared" si="31"/>
        <v>04-2026</v>
      </c>
      <c r="P337" t="str">
        <f t="shared" si="32"/>
        <v/>
      </c>
      <c r="Q337">
        <f t="shared" si="33"/>
        <v>0</v>
      </c>
      <c r="R337">
        <f t="shared" si="34"/>
        <v>0</v>
      </c>
      <c r="S337" t="str">
        <f t="shared" si="35"/>
        <v>0-90</v>
      </c>
    </row>
    <row r="338" spans="1:19" x14ac:dyDescent="0.25">
      <c r="A338" s="6" t="s">
        <v>373</v>
      </c>
      <c r="B338" s="6" t="s">
        <v>14</v>
      </c>
      <c r="C338" s="6" t="s">
        <v>15</v>
      </c>
      <c r="D338" s="6" t="s">
        <v>208</v>
      </c>
      <c r="E338" s="6" t="s">
        <v>209</v>
      </c>
      <c r="F338" s="6" t="s">
        <v>210</v>
      </c>
      <c r="G338" s="6" t="s">
        <v>19</v>
      </c>
      <c r="H338" s="11">
        <v>45883</v>
      </c>
      <c r="I338" s="11">
        <v>46153</v>
      </c>
      <c r="J338" s="6" t="s">
        <v>20</v>
      </c>
      <c r="K338" s="6" t="s">
        <v>24</v>
      </c>
      <c r="L338" s="6" t="s">
        <v>44</v>
      </c>
      <c r="M338" s="6">
        <v>270</v>
      </c>
      <c r="N338">
        <f t="shared" si="30"/>
        <v>1</v>
      </c>
      <c r="O338" t="str">
        <f t="shared" si="31"/>
        <v>08-2025</v>
      </c>
      <c r="P338" t="str">
        <f t="shared" si="32"/>
        <v>05-2026</v>
      </c>
      <c r="Q338">
        <f t="shared" si="33"/>
        <v>0</v>
      </c>
      <c r="R338">
        <f t="shared" si="34"/>
        <v>1</v>
      </c>
      <c r="S338" t="str">
        <f t="shared" si="35"/>
        <v>180-365</v>
      </c>
    </row>
    <row r="339" spans="1:19" x14ac:dyDescent="0.25">
      <c r="A339" s="6" t="s">
        <v>374</v>
      </c>
      <c r="B339" s="6" t="s">
        <v>14</v>
      </c>
      <c r="C339" s="6" t="s">
        <v>15</v>
      </c>
      <c r="D339" s="6" t="s">
        <v>208</v>
      </c>
      <c r="E339" s="6" t="s">
        <v>209</v>
      </c>
      <c r="F339" s="6" t="s">
        <v>210</v>
      </c>
      <c r="G339" s="6" t="s">
        <v>19</v>
      </c>
      <c r="H339" s="11">
        <v>46187</v>
      </c>
      <c r="I339" s="11">
        <v>46198</v>
      </c>
      <c r="J339" s="6" t="s">
        <v>20</v>
      </c>
      <c r="K339" s="6" t="s">
        <v>21</v>
      </c>
      <c r="L339" s="6" t="s">
        <v>37</v>
      </c>
      <c r="M339" s="6">
        <v>11</v>
      </c>
      <c r="N339">
        <f t="shared" si="30"/>
        <v>1</v>
      </c>
      <c r="O339" t="str">
        <f t="shared" si="31"/>
        <v>06-2026</v>
      </c>
      <c r="P339" t="str">
        <f t="shared" si="32"/>
        <v>06-2026</v>
      </c>
      <c r="Q339">
        <f t="shared" si="33"/>
        <v>1</v>
      </c>
      <c r="R339">
        <f t="shared" si="34"/>
        <v>0</v>
      </c>
      <c r="S339" t="str">
        <f t="shared" si="35"/>
        <v>0-90</v>
      </c>
    </row>
    <row r="340" spans="1:19" x14ac:dyDescent="0.25">
      <c r="A340" s="6" t="s">
        <v>375</v>
      </c>
      <c r="B340" s="6" t="s">
        <v>14</v>
      </c>
      <c r="C340" s="6" t="s">
        <v>15</v>
      </c>
      <c r="D340" s="6" t="s">
        <v>208</v>
      </c>
      <c r="E340" s="6" t="s">
        <v>209</v>
      </c>
      <c r="F340" s="6" t="s">
        <v>210</v>
      </c>
      <c r="G340" s="6" t="s">
        <v>19</v>
      </c>
      <c r="H340" s="11">
        <v>46187</v>
      </c>
      <c r="I340" s="11"/>
      <c r="J340" s="6" t="s">
        <v>27</v>
      </c>
      <c r="K340" s="6"/>
      <c r="L340" s="6"/>
      <c r="M340" s="6">
        <v>16</v>
      </c>
      <c r="N340">
        <f t="shared" si="30"/>
        <v>0</v>
      </c>
      <c r="O340" t="str">
        <f t="shared" si="31"/>
        <v>06-2026</v>
      </c>
      <c r="P340" t="str">
        <f t="shared" si="32"/>
        <v/>
      </c>
      <c r="Q340">
        <f t="shared" si="33"/>
        <v>0</v>
      </c>
      <c r="R340">
        <f t="shared" si="34"/>
        <v>0</v>
      </c>
      <c r="S340" t="str">
        <f t="shared" si="35"/>
        <v>0-90</v>
      </c>
    </row>
    <row r="341" spans="1:19" x14ac:dyDescent="0.25">
      <c r="A341" s="6" t="s">
        <v>376</v>
      </c>
      <c r="B341" s="6" t="s">
        <v>14</v>
      </c>
      <c r="C341" s="6" t="s">
        <v>15</v>
      </c>
      <c r="D341" s="6" t="s">
        <v>208</v>
      </c>
      <c r="E341" s="6" t="s">
        <v>209</v>
      </c>
      <c r="F341" s="6" t="s">
        <v>210</v>
      </c>
      <c r="G341" s="6" t="s">
        <v>19</v>
      </c>
      <c r="H341" s="11">
        <v>46187</v>
      </c>
      <c r="I341" s="11">
        <v>46187</v>
      </c>
      <c r="J341" s="6" t="s">
        <v>20</v>
      </c>
      <c r="K341" s="6" t="s">
        <v>21</v>
      </c>
      <c r="L341" s="6" t="s">
        <v>30</v>
      </c>
      <c r="M341" s="6">
        <v>0</v>
      </c>
      <c r="N341">
        <f t="shared" si="30"/>
        <v>1</v>
      </c>
      <c r="O341" t="str">
        <f t="shared" si="31"/>
        <v>06-2026</v>
      </c>
      <c r="P341" t="str">
        <f t="shared" si="32"/>
        <v>06-2026</v>
      </c>
      <c r="Q341">
        <f t="shared" si="33"/>
        <v>1</v>
      </c>
      <c r="R341">
        <f t="shared" si="34"/>
        <v>0</v>
      </c>
      <c r="S341" t="str">
        <f t="shared" si="35"/>
        <v>0-90</v>
      </c>
    </row>
    <row r="342" spans="1:19" x14ac:dyDescent="0.25">
      <c r="A342" s="6" t="s">
        <v>377</v>
      </c>
      <c r="B342" s="6" t="s">
        <v>14</v>
      </c>
      <c r="C342" s="6" t="s">
        <v>15</v>
      </c>
      <c r="D342" s="6" t="s">
        <v>208</v>
      </c>
      <c r="E342" s="6" t="s">
        <v>209</v>
      </c>
      <c r="F342" s="6" t="s">
        <v>210</v>
      </c>
      <c r="G342" s="6" t="s">
        <v>19</v>
      </c>
      <c r="H342" s="11">
        <v>46187</v>
      </c>
      <c r="I342" s="11">
        <v>46187</v>
      </c>
      <c r="J342" s="6" t="s">
        <v>20</v>
      </c>
      <c r="K342" s="6" t="s">
        <v>21</v>
      </c>
      <c r="L342" s="6" t="s">
        <v>30</v>
      </c>
      <c r="M342" s="6">
        <v>0</v>
      </c>
      <c r="N342">
        <f t="shared" si="30"/>
        <v>1</v>
      </c>
      <c r="O342" t="str">
        <f t="shared" si="31"/>
        <v>06-2026</v>
      </c>
      <c r="P342" t="str">
        <f t="shared" si="32"/>
        <v>06-2026</v>
      </c>
      <c r="Q342">
        <f t="shared" si="33"/>
        <v>1</v>
      </c>
      <c r="R342">
        <f t="shared" si="34"/>
        <v>0</v>
      </c>
      <c r="S342" t="str">
        <f t="shared" si="35"/>
        <v>0-90</v>
      </c>
    </row>
    <row r="343" spans="1:19" x14ac:dyDescent="0.25">
      <c r="A343" s="6" t="s">
        <v>378</v>
      </c>
      <c r="B343" s="6" t="s">
        <v>14</v>
      </c>
      <c r="C343" s="6" t="s">
        <v>15</v>
      </c>
      <c r="D343" s="6" t="s">
        <v>208</v>
      </c>
      <c r="E343" s="6" t="s">
        <v>209</v>
      </c>
      <c r="F343" s="6" t="s">
        <v>210</v>
      </c>
      <c r="G343" s="6" t="s">
        <v>19</v>
      </c>
      <c r="H343" s="11">
        <v>46156</v>
      </c>
      <c r="I343" s="11">
        <v>46185</v>
      </c>
      <c r="J343" s="6" t="s">
        <v>20</v>
      </c>
      <c r="K343" s="6" t="s">
        <v>24</v>
      </c>
      <c r="L343" s="6" t="s">
        <v>25</v>
      </c>
      <c r="M343" s="6">
        <v>29</v>
      </c>
      <c r="N343">
        <f t="shared" si="30"/>
        <v>1</v>
      </c>
      <c r="O343" t="str">
        <f t="shared" si="31"/>
        <v>05-2026</v>
      </c>
      <c r="P343" t="str">
        <f t="shared" si="32"/>
        <v>06-2026</v>
      </c>
      <c r="Q343">
        <f t="shared" si="33"/>
        <v>0</v>
      </c>
      <c r="R343">
        <f t="shared" si="34"/>
        <v>1</v>
      </c>
      <c r="S343" t="str">
        <f t="shared" si="35"/>
        <v>0-90</v>
      </c>
    </row>
    <row r="344" spans="1:19" x14ac:dyDescent="0.25">
      <c r="A344" s="6" t="s">
        <v>379</v>
      </c>
      <c r="B344" s="6" t="s">
        <v>14</v>
      </c>
      <c r="C344" s="6" t="s">
        <v>15</v>
      </c>
      <c r="D344" s="6" t="s">
        <v>208</v>
      </c>
      <c r="E344" s="6" t="s">
        <v>209</v>
      </c>
      <c r="F344" s="6" t="s">
        <v>210</v>
      </c>
      <c r="G344" s="6" t="s">
        <v>19</v>
      </c>
      <c r="H344" s="11">
        <v>46156</v>
      </c>
      <c r="I344" s="11">
        <v>46156</v>
      </c>
      <c r="J344" s="6" t="s">
        <v>20</v>
      </c>
      <c r="K344" s="6" t="s">
        <v>21</v>
      </c>
      <c r="L344" s="6" t="s">
        <v>30</v>
      </c>
      <c r="M344" s="6">
        <v>0</v>
      </c>
      <c r="N344">
        <f t="shared" si="30"/>
        <v>1</v>
      </c>
      <c r="O344" t="str">
        <f t="shared" si="31"/>
        <v>05-2026</v>
      </c>
      <c r="P344" t="str">
        <f t="shared" si="32"/>
        <v>05-2026</v>
      </c>
      <c r="Q344">
        <f t="shared" si="33"/>
        <v>1</v>
      </c>
      <c r="R344">
        <f t="shared" si="34"/>
        <v>0</v>
      </c>
      <c r="S344" t="str">
        <f t="shared" si="35"/>
        <v>0-90</v>
      </c>
    </row>
    <row r="345" spans="1:19" x14ac:dyDescent="0.25">
      <c r="A345" s="6" t="s">
        <v>380</v>
      </c>
      <c r="B345" s="6" t="s">
        <v>14</v>
      </c>
      <c r="C345" s="6" t="s">
        <v>15</v>
      </c>
      <c r="D345" s="6" t="s">
        <v>208</v>
      </c>
      <c r="E345" s="6" t="s">
        <v>209</v>
      </c>
      <c r="F345" s="6" t="s">
        <v>210</v>
      </c>
      <c r="G345" s="6" t="s">
        <v>19</v>
      </c>
      <c r="H345" s="11">
        <v>46156</v>
      </c>
      <c r="I345" s="11">
        <v>46156</v>
      </c>
      <c r="J345" s="6" t="s">
        <v>20</v>
      </c>
      <c r="K345" s="6" t="s">
        <v>21</v>
      </c>
      <c r="L345" s="6" t="s">
        <v>37</v>
      </c>
      <c r="M345" s="6">
        <v>0</v>
      </c>
      <c r="N345">
        <f t="shared" si="30"/>
        <v>1</v>
      </c>
      <c r="O345" t="str">
        <f t="shared" si="31"/>
        <v>05-2026</v>
      </c>
      <c r="P345" t="str">
        <f t="shared" si="32"/>
        <v>05-2026</v>
      </c>
      <c r="Q345">
        <f t="shared" si="33"/>
        <v>1</v>
      </c>
      <c r="R345">
        <f t="shared" si="34"/>
        <v>0</v>
      </c>
      <c r="S345" t="str">
        <f t="shared" si="35"/>
        <v>0-90</v>
      </c>
    </row>
    <row r="346" spans="1:19" x14ac:dyDescent="0.25">
      <c r="A346" s="6" t="s">
        <v>381</v>
      </c>
      <c r="B346" s="6" t="s">
        <v>14</v>
      </c>
      <c r="C346" s="6" t="s">
        <v>15</v>
      </c>
      <c r="D346" s="6" t="s">
        <v>208</v>
      </c>
      <c r="E346" s="6" t="s">
        <v>209</v>
      </c>
      <c r="F346" s="6" t="s">
        <v>210</v>
      </c>
      <c r="G346" s="6" t="s">
        <v>19</v>
      </c>
      <c r="H346" s="11">
        <v>46156</v>
      </c>
      <c r="I346" s="11"/>
      <c r="J346" s="6" t="s">
        <v>27</v>
      </c>
      <c r="K346" s="6"/>
      <c r="L346" s="6"/>
      <c r="M346" s="6">
        <v>47</v>
      </c>
      <c r="N346">
        <f t="shared" si="30"/>
        <v>0</v>
      </c>
      <c r="O346" t="str">
        <f t="shared" si="31"/>
        <v>05-2026</v>
      </c>
      <c r="P346" t="str">
        <f t="shared" si="32"/>
        <v/>
      </c>
      <c r="Q346">
        <f t="shared" si="33"/>
        <v>0</v>
      </c>
      <c r="R346">
        <f t="shared" si="34"/>
        <v>0</v>
      </c>
      <c r="S346" t="str">
        <f t="shared" si="35"/>
        <v>0-90</v>
      </c>
    </row>
    <row r="347" spans="1:19" x14ac:dyDescent="0.25">
      <c r="A347" s="6" t="s">
        <v>382</v>
      </c>
      <c r="B347" s="6" t="s">
        <v>14</v>
      </c>
      <c r="C347" s="6" t="s">
        <v>15</v>
      </c>
      <c r="D347" s="6" t="s">
        <v>208</v>
      </c>
      <c r="E347" s="6" t="s">
        <v>209</v>
      </c>
      <c r="F347" s="6" t="s">
        <v>210</v>
      </c>
      <c r="G347" s="6" t="s">
        <v>19</v>
      </c>
      <c r="H347" s="11">
        <v>45944</v>
      </c>
      <c r="I347" s="11"/>
      <c r="J347" s="6" t="s">
        <v>27</v>
      </c>
      <c r="K347" s="6"/>
      <c r="L347" s="6"/>
      <c r="M347" s="6">
        <v>259</v>
      </c>
      <c r="N347">
        <f t="shared" si="30"/>
        <v>0</v>
      </c>
      <c r="O347" t="str">
        <f t="shared" si="31"/>
        <v>10-2025</v>
      </c>
      <c r="P347" t="str">
        <f t="shared" si="32"/>
        <v/>
      </c>
      <c r="Q347">
        <f t="shared" si="33"/>
        <v>0</v>
      </c>
      <c r="R347">
        <f t="shared" si="34"/>
        <v>0</v>
      </c>
      <c r="S347" t="str">
        <f t="shared" si="35"/>
        <v>180-365</v>
      </c>
    </row>
    <row r="348" spans="1:19" x14ac:dyDescent="0.25">
      <c r="A348" s="6" t="s">
        <v>383</v>
      </c>
      <c r="B348" s="6" t="s">
        <v>14</v>
      </c>
      <c r="C348" s="6" t="s">
        <v>15</v>
      </c>
      <c r="D348" s="6" t="s">
        <v>208</v>
      </c>
      <c r="E348" s="6" t="s">
        <v>209</v>
      </c>
      <c r="F348" s="6" t="s">
        <v>210</v>
      </c>
      <c r="G348" s="6" t="s">
        <v>19</v>
      </c>
      <c r="H348" s="11">
        <v>46127</v>
      </c>
      <c r="I348" s="11">
        <v>46194</v>
      </c>
      <c r="J348" s="6" t="s">
        <v>20</v>
      </c>
      <c r="K348" s="6" t="s">
        <v>24</v>
      </c>
      <c r="L348" s="6" t="s">
        <v>25</v>
      </c>
      <c r="M348" s="6">
        <v>67</v>
      </c>
      <c r="N348">
        <f t="shared" si="30"/>
        <v>1</v>
      </c>
      <c r="O348" t="str">
        <f t="shared" si="31"/>
        <v>04-2026</v>
      </c>
      <c r="P348" t="str">
        <f t="shared" si="32"/>
        <v>06-2026</v>
      </c>
      <c r="Q348">
        <f t="shared" si="33"/>
        <v>0</v>
      </c>
      <c r="R348">
        <f t="shared" si="34"/>
        <v>1</v>
      </c>
      <c r="S348" t="str">
        <f t="shared" si="35"/>
        <v>0-90</v>
      </c>
    </row>
    <row r="349" spans="1:19" x14ac:dyDescent="0.25">
      <c r="A349" s="6" t="s">
        <v>384</v>
      </c>
      <c r="B349" s="6" t="s">
        <v>14</v>
      </c>
      <c r="C349" s="6" t="s">
        <v>15</v>
      </c>
      <c r="D349" s="6" t="s">
        <v>208</v>
      </c>
      <c r="E349" s="6" t="s">
        <v>209</v>
      </c>
      <c r="F349" s="6" t="s">
        <v>210</v>
      </c>
      <c r="G349" s="6" t="s">
        <v>19</v>
      </c>
      <c r="H349" s="11">
        <v>46127</v>
      </c>
      <c r="I349" s="11"/>
      <c r="J349" s="6" t="s">
        <v>27</v>
      </c>
      <c r="K349" s="6"/>
      <c r="L349" s="6"/>
      <c r="M349" s="6">
        <v>76</v>
      </c>
      <c r="N349">
        <f t="shared" si="30"/>
        <v>0</v>
      </c>
      <c r="O349" t="str">
        <f t="shared" si="31"/>
        <v>04-2026</v>
      </c>
      <c r="P349" t="str">
        <f t="shared" si="32"/>
        <v/>
      </c>
      <c r="Q349">
        <f t="shared" si="33"/>
        <v>0</v>
      </c>
      <c r="R349">
        <f t="shared" si="34"/>
        <v>0</v>
      </c>
      <c r="S349" t="str">
        <f t="shared" si="35"/>
        <v>0-90</v>
      </c>
    </row>
    <row r="350" spans="1:19" x14ac:dyDescent="0.25">
      <c r="A350" s="6" t="s">
        <v>385</v>
      </c>
      <c r="B350" s="6" t="s">
        <v>14</v>
      </c>
      <c r="C350" s="6" t="s">
        <v>15</v>
      </c>
      <c r="D350" s="6" t="s">
        <v>208</v>
      </c>
      <c r="E350" s="6" t="s">
        <v>209</v>
      </c>
      <c r="F350" s="6" t="s">
        <v>210</v>
      </c>
      <c r="G350" s="6" t="s">
        <v>19</v>
      </c>
      <c r="H350" s="11">
        <v>46127</v>
      </c>
      <c r="I350" s="11"/>
      <c r="J350" s="6" t="s">
        <v>27</v>
      </c>
      <c r="K350" s="6"/>
      <c r="L350" s="6"/>
      <c r="M350" s="6">
        <v>76</v>
      </c>
      <c r="N350">
        <f t="shared" si="30"/>
        <v>0</v>
      </c>
      <c r="O350" t="str">
        <f t="shared" si="31"/>
        <v>04-2026</v>
      </c>
      <c r="P350" t="str">
        <f t="shared" si="32"/>
        <v/>
      </c>
      <c r="Q350">
        <f t="shared" si="33"/>
        <v>0</v>
      </c>
      <c r="R350">
        <f t="shared" si="34"/>
        <v>0</v>
      </c>
      <c r="S350" t="str">
        <f t="shared" si="35"/>
        <v>0-90</v>
      </c>
    </row>
    <row r="351" spans="1:19" x14ac:dyDescent="0.25">
      <c r="A351" s="6" t="s">
        <v>386</v>
      </c>
      <c r="B351" s="6" t="s">
        <v>14</v>
      </c>
      <c r="C351" s="6" t="s">
        <v>15</v>
      </c>
      <c r="D351" s="6" t="s">
        <v>208</v>
      </c>
      <c r="E351" s="6" t="s">
        <v>209</v>
      </c>
      <c r="F351" s="6" t="s">
        <v>210</v>
      </c>
      <c r="G351" s="6" t="s">
        <v>19</v>
      </c>
      <c r="H351" s="11">
        <v>45884</v>
      </c>
      <c r="I351" s="11">
        <v>46131</v>
      </c>
      <c r="J351" s="6" t="s">
        <v>20</v>
      </c>
      <c r="K351" s="6" t="s">
        <v>24</v>
      </c>
      <c r="L351" s="6" t="s">
        <v>55</v>
      </c>
      <c r="M351" s="6">
        <v>247</v>
      </c>
      <c r="N351">
        <f t="shared" si="30"/>
        <v>1</v>
      </c>
      <c r="O351" t="str">
        <f t="shared" si="31"/>
        <v>08-2025</v>
      </c>
      <c r="P351" t="str">
        <f t="shared" si="32"/>
        <v>04-2026</v>
      </c>
      <c r="Q351">
        <f t="shared" si="33"/>
        <v>0</v>
      </c>
      <c r="R351">
        <f t="shared" si="34"/>
        <v>1</v>
      </c>
      <c r="S351" t="str">
        <f t="shared" si="35"/>
        <v>180-365</v>
      </c>
    </row>
    <row r="352" spans="1:19" x14ac:dyDescent="0.25">
      <c r="A352" s="6" t="s">
        <v>387</v>
      </c>
      <c r="B352" s="6" t="s">
        <v>14</v>
      </c>
      <c r="C352" s="6" t="s">
        <v>15</v>
      </c>
      <c r="D352" s="6" t="s">
        <v>208</v>
      </c>
      <c r="E352" s="6" t="s">
        <v>209</v>
      </c>
      <c r="F352" s="6" t="s">
        <v>210</v>
      </c>
      <c r="G352" s="6" t="s">
        <v>19</v>
      </c>
      <c r="H352" s="11">
        <v>46068</v>
      </c>
      <c r="I352" s="11">
        <v>46157</v>
      </c>
      <c r="J352" s="6" t="s">
        <v>20</v>
      </c>
      <c r="K352" s="6" t="s">
        <v>24</v>
      </c>
      <c r="L352" s="6" t="s">
        <v>25</v>
      </c>
      <c r="M352" s="6">
        <v>89</v>
      </c>
      <c r="N352">
        <f t="shared" si="30"/>
        <v>1</v>
      </c>
      <c r="O352" t="str">
        <f t="shared" si="31"/>
        <v>02-2026</v>
      </c>
      <c r="P352" t="str">
        <f t="shared" si="32"/>
        <v>05-2026</v>
      </c>
      <c r="Q352">
        <f t="shared" si="33"/>
        <v>0</v>
      </c>
      <c r="R352">
        <f t="shared" si="34"/>
        <v>1</v>
      </c>
      <c r="S352" t="str">
        <f t="shared" si="35"/>
        <v>0-90</v>
      </c>
    </row>
    <row r="353" spans="1:19" x14ac:dyDescent="0.25">
      <c r="A353" s="6" t="s">
        <v>388</v>
      </c>
      <c r="B353" s="6" t="s">
        <v>14</v>
      </c>
      <c r="C353" s="6" t="s">
        <v>15</v>
      </c>
      <c r="D353" s="6" t="s">
        <v>208</v>
      </c>
      <c r="E353" s="6" t="s">
        <v>209</v>
      </c>
      <c r="F353" s="6" t="s">
        <v>210</v>
      </c>
      <c r="G353" s="6" t="s">
        <v>19</v>
      </c>
      <c r="H353" s="11">
        <v>46157</v>
      </c>
      <c r="I353" s="11">
        <v>46161</v>
      </c>
      <c r="J353" s="6" t="s">
        <v>20</v>
      </c>
      <c r="K353" s="6" t="s">
        <v>21</v>
      </c>
      <c r="L353" s="6" t="s">
        <v>30</v>
      </c>
      <c r="M353" s="6">
        <v>4</v>
      </c>
      <c r="N353">
        <f t="shared" si="30"/>
        <v>1</v>
      </c>
      <c r="O353" t="str">
        <f t="shared" si="31"/>
        <v>05-2026</v>
      </c>
      <c r="P353" t="str">
        <f t="shared" si="32"/>
        <v>05-2026</v>
      </c>
      <c r="Q353">
        <f t="shared" si="33"/>
        <v>1</v>
      </c>
      <c r="R353">
        <f t="shared" si="34"/>
        <v>0</v>
      </c>
      <c r="S353" t="str">
        <f t="shared" si="35"/>
        <v>0-90</v>
      </c>
    </row>
    <row r="354" spans="1:19" x14ac:dyDescent="0.25">
      <c r="A354" s="6" t="s">
        <v>389</v>
      </c>
      <c r="B354" s="6" t="s">
        <v>14</v>
      </c>
      <c r="C354" s="6" t="s">
        <v>15</v>
      </c>
      <c r="D354" s="6" t="s">
        <v>208</v>
      </c>
      <c r="E354" s="6" t="s">
        <v>209</v>
      </c>
      <c r="F354" s="6" t="s">
        <v>210</v>
      </c>
      <c r="G354" s="6" t="s">
        <v>19</v>
      </c>
      <c r="H354" s="11">
        <v>46157</v>
      </c>
      <c r="I354" s="11">
        <v>46173</v>
      </c>
      <c r="J354" s="6" t="s">
        <v>20</v>
      </c>
      <c r="K354" s="6" t="s">
        <v>21</v>
      </c>
      <c r="L354" s="6" t="s">
        <v>61</v>
      </c>
      <c r="M354" s="6">
        <v>16</v>
      </c>
      <c r="N354">
        <f t="shared" si="30"/>
        <v>1</v>
      </c>
      <c r="O354" t="str">
        <f t="shared" si="31"/>
        <v>05-2026</v>
      </c>
      <c r="P354" t="str">
        <f t="shared" si="32"/>
        <v>05-2026</v>
      </c>
      <c r="Q354">
        <f t="shared" si="33"/>
        <v>1</v>
      </c>
      <c r="R354">
        <f t="shared" si="34"/>
        <v>0</v>
      </c>
      <c r="S354" t="str">
        <f t="shared" si="35"/>
        <v>0-90</v>
      </c>
    </row>
    <row r="355" spans="1:19" x14ac:dyDescent="0.25">
      <c r="A355" s="6" t="s">
        <v>390</v>
      </c>
      <c r="B355" s="6" t="s">
        <v>14</v>
      </c>
      <c r="C355" s="6" t="s">
        <v>15</v>
      </c>
      <c r="D355" s="6" t="s">
        <v>208</v>
      </c>
      <c r="E355" s="6" t="s">
        <v>209</v>
      </c>
      <c r="F355" s="6" t="s">
        <v>210</v>
      </c>
      <c r="G355" s="6" t="s">
        <v>19</v>
      </c>
      <c r="H355" s="11">
        <v>46157</v>
      </c>
      <c r="I355" s="11"/>
      <c r="J355" s="6" t="s">
        <v>27</v>
      </c>
      <c r="K355" s="6"/>
      <c r="L355" s="6"/>
      <c r="M355" s="6">
        <v>46</v>
      </c>
      <c r="N355">
        <f t="shared" si="30"/>
        <v>0</v>
      </c>
      <c r="O355" t="str">
        <f t="shared" si="31"/>
        <v>05-2026</v>
      </c>
      <c r="P355" t="str">
        <f t="shared" si="32"/>
        <v/>
      </c>
      <c r="Q355">
        <f t="shared" si="33"/>
        <v>0</v>
      </c>
      <c r="R355">
        <f t="shared" si="34"/>
        <v>0</v>
      </c>
      <c r="S355" t="str">
        <f t="shared" si="35"/>
        <v>0-90</v>
      </c>
    </row>
    <row r="356" spans="1:19" x14ac:dyDescent="0.25">
      <c r="A356" s="6" t="s">
        <v>391</v>
      </c>
      <c r="B356" s="6" t="s">
        <v>14</v>
      </c>
      <c r="C356" s="6" t="s">
        <v>15</v>
      </c>
      <c r="D356" s="6" t="s">
        <v>208</v>
      </c>
      <c r="E356" s="6" t="s">
        <v>209</v>
      </c>
      <c r="F356" s="6" t="s">
        <v>210</v>
      </c>
      <c r="G356" s="6" t="s">
        <v>19</v>
      </c>
      <c r="H356" s="11">
        <v>46157</v>
      </c>
      <c r="I356" s="11">
        <v>46157</v>
      </c>
      <c r="J356" s="6" t="s">
        <v>20</v>
      </c>
      <c r="K356" s="6" t="s">
        <v>21</v>
      </c>
      <c r="L356" s="6" t="s">
        <v>50</v>
      </c>
      <c r="M356" s="6">
        <v>0</v>
      </c>
      <c r="N356">
        <f t="shared" si="30"/>
        <v>1</v>
      </c>
      <c r="O356" t="str">
        <f t="shared" si="31"/>
        <v>05-2026</v>
      </c>
      <c r="P356" t="str">
        <f t="shared" si="32"/>
        <v>05-2026</v>
      </c>
      <c r="Q356">
        <f t="shared" si="33"/>
        <v>1</v>
      </c>
      <c r="R356">
        <f t="shared" si="34"/>
        <v>0</v>
      </c>
      <c r="S356" t="str">
        <f t="shared" si="35"/>
        <v>0-90</v>
      </c>
    </row>
    <row r="357" spans="1:19" x14ac:dyDescent="0.25">
      <c r="A357" s="6" t="s">
        <v>392</v>
      </c>
      <c r="B357" s="6" t="s">
        <v>14</v>
      </c>
      <c r="C357" s="6" t="s">
        <v>15</v>
      </c>
      <c r="D357" s="6" t="s">
        <v>208</v>
      </c>
      <c r="E357" s="6" t="s">
        <v>209</v>
      </c>
      <c r="F357" s="6" t="s">
        <v>210</v>
      </c>
      <c r="G357" s="6" t="s">
        <v>19</v>
      </c>
      <c r="H357" s="11">
        <v>46157</v>
      </c>
      <c r="I357" s="11"/>
      <c r="J357" s="6" t="s">
        <v>27</v>
      </c>
      <c r="K357" s="6"/>
      <c r="L357" s="6"/>
      <c r="M357" s="6">
        <v>46</v>
      </c>
      <c r="N357">
        <f t="shared" si="30"/>
        <v>0</v>
      </c>
      <c r="O357" t="str">
        <f t="shared" si="31"/>
        <v>05-2026</v>
      </c>
      <c r="P357" t="str">
        <f t="shared" si="32"/>
        <v/>
      </c>
      <c r="Q357">
        <f t="shared" si="33"/>
        <v>0</v>
      </c>
      <c r="R357">
        <f t="shared" si="34"/>
        <v>0</v>
      </c>
      <c r="S357" t="str">
        <f t="shared" si="35"/>
        <v>0-90</v>
      </c>
    </row>
    <row r="358" spans="1:19" x14ac:dyDescent="0.25">
      <c r="A358" s="6" t="s">
        <v>393</v>
      </c>
      <c r="B358" s="6" t="s">
        <v>14</v>
      </c>
      <c r="C358" s="6" t="s">
        <v>15</v>
      </c>
      <c r="D358" s="6" t="s">
        <v>208</v>
      </c>
      <c r="E358" s="6" t="s">
        <v>209</v>
      </c>
      <c r="F358" s="6" t="s">
        <v>210</v>
      </c>
      <c r="G358" s="6" t="s">
        <v>19</v>
      </c>
      <c r="H358" s="11">
        <v>46157</v>
      </c>
      <c r="I358" s="11"/>
      <c r="J358" s="6" t="s">
        <v>27</v>
      </c>
      <c r="K358" s="6"/>
      <c r="L358" s="6"/>
      <c r="M358" s="6">
        <v>46</v>
      </c>
      <c r="N358">
        <f t="shared" si="30"/>
        <v>0</v>
      </c>
      <c r="O358" t="str">
        <f t="shared" si="31"/>
        <v>05-2026</v>
      </c>
      <c r="P358" t="str">
        <f t="shared" si="32"/>
        <v/>
      </c>
      <c r="Q358">
        <f t="shared" si="33"/>
        <v>0</v>
      </c>
      <c r="R358">
        <f t="shared" si="34"/>
        <v>0</v>
      </c>
      <c r="S358" t="str">
        <f t="shared" si="35"/>
        <v>0-90</v>
      </c>
    </row>
    <row r="359" spans="1:19" x14ac:dyDescent="0.25">
      <c r="A359" s="6" t="s">
        <v>394</v>
      </c>
      <c r="B359" s="6" t="s">
        <v>14</v>
      </c>
      <c r="C359" s="6" t="s">
        <v>15</v>
      </c>
      <c r="D359" s="6" t="s">
        <v>208</v>
      </c>
      <c r="E359" s="6" t="s">
        <v>209</v>
      </c>
      <c r="F359" s="6" t="s">
        <v>210</v>
      </c>
      <c r="G359" s="6" t="s">
        <v>19</v>
      </c>
      <c r="H359" s="11">
        <v>46128</v>
      </c>
      <c r="I359" s="11">
        <v>46138</v>
      </c>
      <c r="J359" s="6" t="s">
        <v>20</v>
      </c>
      <c r="K359" s="6" t="s">
        <v>21</v>
      </c>
      <c r="L359" s="6" t="s">
        <v>37</v>
      </c>
      <c r="M359" s="6">
        <v>10</v>
      </c>
      <c r="N359">
        <f t="shared" si="30"/>
        <v>1</v>
      </c>
      <c r="O359" t="str">
        <f t="shared" si="31"/>
        <v>04-2026</v>
      </c>
      <c r="P359" t="str">
        <f t="shared" si="32"/>
        <v>04-2026</v>
      </c>
      <c r="Q359">
        <f t="shared" si="33"/>
        <v>1</v>
      </c>
      <c r="R359">
        <f t="shared" si="34"/>
        <v>0</v>
      </c>
      <c r="S359" t="str">
        <f t="shared" si="35"/>
        <v>0-90</v>
      </c>
    </row>
    <row r="360" spans="1:19" x14ac:dyDescent="0.25">
      <c r="A360" s="6" t="s">
        <v>395</v>
      </c>
      <c r="B360" s="6" t="s">
        <v>14</v>
      </c>
      <c r="C360" s="6" t="s">
        <v>15</v>
      </c>
      <c r="D360" s="6" t="s">
        <v>208</v>
      </c>
      <c r="E360" s="6" t="s">
        <v>209</v>
      </c>
      <c r="F360" s="6" t="s">
        <v>210</v>
      </c>
      <c r="G360" s="6" t="s">
        <v>19</v>
      </c>
      <c r="H360" s="11">
        <v>46128</v>
      </c>
      <c r="I360" s="11">
        <v>46155</v>
      </c>
      <c r="J360" s="6" t="s">
        <v>20</v>
      </c>
      <c r="K360" s="6" t="s">
        <v>24</v>
      </c>
      <c r="L360" s="6" t="s">
        <v>44</v>
      </c>
      <c r="M360" s="6">
        <v>27</v>
      </c>
      <c r="N360">
        <f t="shared" si="30"/>
        <v>1</v>
      </c>
      <c r="O360" t="str">
        <f t="shared" si="31"/>
        <v>04-2026</v>
      </c>
      <c r="P360" t="str">
        <f t="shared" si="32"/>
        <v>05-2026</v>
      </c>
      <c r="Q360">
        <f t="shared" si="33"/>
        <v>0</v>
      </c>
      <c r="R360">
        <f t="shared" si="34"/>
        <v>1</v>
      </c>
      <c r="S360" t="str">
        <f t="shared" si="35"/>
        <v>0-90</v>
      </c>
    </row>
    <row r="361" spans="1:19" x14ac:dyDescent="0.25">
      <c r="A361" s="6" t="s">
        <v>396</v>
      </c>
      <c r="B361" s="6" t="s">
        <v>14</v>
      </c>
      <c r="C361" s="6" t="s">
        <v>15</v>
      </c>
      <c r="D361" s="6" t="s">
        <v>208</v>
      </c>
      <c r="E361" s="6" t="s">
        <v>209</v>
      </c>
      <c r="F361" s="6" t="s">
        <v>210</v>
      </c>
      <c r="G361" s="6" t="s">
        <v>19</v>
      </c>
      <c r="H361" s="11">
        <v>46128</v>
      </c>
      <c r="I361" s="11">
        <v>46202</v>
      </c>
      <c r="J361" s="6" t="s">
        <v>20</v>
      </c>
      <c r="K361" s="6" t="s">
        <v>24</v>
      </c>
      <c r="L361" s="6" t="s">
        <v>55</v>
      </c>
      <c r="M361" s="6">
        <v>74</v>
      </c>
      <c r="N361">
        <f t="shared" si="30"/>
        <v>1</v>
      </c>
      <c r="O361" t="str">
        <f t="shared" si="31"/>
        <v>04-2026</v>
      </c>
      <c r="P361" t="str">
        <f t="shared" si="32"/>
        <v>06-2026</v>
      </c>
      <c r="Q361">
        <f t="shared" si="33"/>
        <v>0</v>
      </c>
      <c r="R361">
        <f t="shared" si="34"/>
        <v>1</v>
      </c>
      <c r="S361" t="str">
        <f t="shared" si="35"/>
        <v>0-90</v>
      </c>
    </row>
    <row r="362" spans="1:19" x14ac:dyDescent="0.25">
      <c r="A362" s="6" t="s">
        <v>397</v>
      </c>
      <c r="B362" s="6" t="s">
        <v>14</v>
      </c>
      <c r="C362" s="6" t="s">
        <v>15</v>
      </c>
      <c r="D362" s="6" t="s">
        <v>208</v>
      </c>
      <c r="E362" s="6" t="s">
        <v>209</v>
      </c>
      <c r="F362" s="6" t="s">
        <v>210</v>
      </c>
      <c r="G362" s="6" t="s">
        <v>19</v>
      </c>
      <c r="H362" s="11">
        <v>46128</v>
      </c>
      <c r="I362" s="11">
        <v>46198</v>
      </c>
      <c r="J362" s="6" t="s">
        <v>20</v>
      </c>
      <c r="K362" s="6" t="s">
        <v>24</v>
      </c>
      <c r="L362" s="6" t="s">
        <v>41</v>
      </c>
      <c r="M362" s="6">
        <v>70</v>
      </c>
      <c r="N362">
        <f t="shared" si="30"/>
        <v>1</v>
      </c>
      <c r="O362" t="str">
        <f t="shared" si="31"/>
        <v>04-2026</v>
      </c>
      <c r="P362" t="str">
        <f t="shared" si="32"/>
        <v>06-2026</v>
      </c>
      <c r="Q362">
        <f t="shared" si="33"/>
        <v>0</v>
      </c>
      <c r="R362">
        <f t="shared" si="34"/>
        <v>1</v>
      </c>
      <c r="S362" t="str">
        <f t="shared" si="35"/>
        <v>0-90</v>
      </c>
    </row>
    <row r="363" spans="1:19" x14ac:dyDescent="0.25">
      <c r="A363" s="6" t="s">
        <v>398</v>
      </c>
      <c r="B363" s="6" t="s">
        <v>14</v>
      </c>
      <c r="C363" s="6" t="s">
        <v>15</v>
      </c>
      <c r="D363" s="6" t="s">
        <v>208</v>
      </c>
      <c r="E363" s="6" t="s">
        <v>209</v>
      </c>
      <c r="F363" s="6" t="s">
        <v>210</v>
      </c>
      <c r="G363" s="6" t="s">
        <v>19</v>
      </c>
      <c r="H363" s="11">
        <v>46069</v>
      </c>
      <c r="I363" s="11"/>
      <c r="J363" s="6" t="s">
        <v>27</v>
      </c>
      <c r="K363" s="6"/>
      <c r="L363" s="6"/>
      <c r="M363" s="6">
        <v>134</v>
      </c>
      <c r="N363">
        <f t="shared" si="30"/>
        <v>0</v>
      </c>
      <c r="O363" t="str">
        <f t="shared" si="31"/>
        <v>02-2026</v>
      </c>
      <c r="P363" t="str">
        <f t="shared" si="32"/>
        <v/>
      </c>
      <c r="Q363">
        <f t="shared" si="33"/>
        <v>0</v>
      </c>
      <c r="R363">
        <f t="shared" si="34"/>
        <v>0</v>
      </c>
      <c r="S363" t="str">
        <f t="shared" si="35"/>
        <v>90-180</v>
      </c>
    </row>
    <row r="364" spans="1:19" x14ac:dyDescent="0.25">
      <c r="A364" s="6" t="s">
        <v>399</v>
      </c>
      <c r="B364" s="6" t="s">
        <v>14</v>
      </c>
      <c r="C364" s="6" t="s">
        <v>15</v>
      </c>
      <c r="D364" s="6" t="s">
        <v>208</v>
      </c>
      <c r="E364" s="6" t="s">
        <v>209</v>
      </c>
      <c r="F364" s="6" t="s">
        <v>210</v>
      </c>
      <c r="G364" s="6" t="s">
        <v>19</v>
      </c>
      <c r="H364" s="11">
        <v>46038</v>
      </c>
      <c r="I364" s="11">
        <v>46118</v>
      </c>
      <c r="J364" s="6" t="s">
        <v>20</v>
      </c>
      <c r="K364" s="6" t="s">
        <v>24</v>
      </c>
      <c r="L364" s="6" t="s">
        <v>41</v>
      </c>
      <c r="M364" s="6">
        <v>80</v>
      </c>
      <c r="N364">
        <f t="shared" si="30"/>
        <v>1</v>
      </c>
      <c r="O364" t="str">
        <f t="shared" si="31"/>
        <v>01-2026</v>
      </c>
      <c r="P364" t="str">
        <f t="shared" si="32"/>
        <v>04-2026</v>
      </c>
      <c r="Q364">
        <f t="shared" si="33"/>
        <v>0</v>
      </c>
      <c r="R364">
        <f t="shared" si="34"/>
        <v>1</v>
      </c>
      <c r="S364" t="str">
        <f t="shared" si="35"/>
        <v>0-90</v>
      </c>
    </row>
    <row r="365" spans="1:19" x14ac:dyDescent="0.25">
      <c r="A365" s="6" t="s">
        <v>400</v>
      </c>
      <c r="B365" s="6" t="s">
        <v>14</v>
      </c>
      <c r="C365" s="6" t="s">
        <v>15</v>
      </c>
      <c r="D365" s="6" t="s">
        <v>208</v>
      </c>
      <c r="E365" s="6" t="s">
        <v>209</v>
      </c>
      <c r="F365" s="6" t="s">
        <v>210</v>
      </c>
      <c r="G365" s="6" t="s">
        <v>19</v>
      </c>
      <c r="H365" s="11">
        <v>45854</v>
      </c>
      <c r="I365" s="11">
        <v>46128</v>
      </c>
      <c r="J365" s="6" t="s">
        <v>20</v>
      </c>
      <c r="K365" s="6" t="s">
        <v>21</v>
      </c>
      <c r="L365" s="6" t="s">
        <v>61</v>
      </c>
      <c r="M365" s="6">
        <v>274</v>
      </c>
      <c r="N365">
        <f t="shared" si="30"/>
        <v>1</v>
      </c>
      <c r="O365" t="str">
        <f t="shared" si="31"/>
        <v>07-2025</v>
      </c>
      <c r="P365" t="str">
        <f t="shared" si="32"/>
        <v>04-2026</v>
      </c>
      <c r="Q365">
        <f t="shared" si="33"/>
        <v>1</v>
      </c>
      <c r="R365">
        <f t="shared" si="34"/>
        <v>0</v>
      </c>
      <c r="S365" t="str">
        <f t="shared" si="35"/>
        <v>180-365</v>
      </c>
    </row>
    <row r="366" spans="1:19" x14ac:dyDescent="0.25">
      <c r="A366" s="6" t="s">
        <v>401</v>
      </c>
      <c r="B366" s="6" t="s">
        <v>14</v>
      </c>
      <c r="C366" s="6" t="s">
        <v>15</v>
      </c>
      <c r="D366" s="6" t="s">
        <v>208</v>
      </c>
      <c r="E366" s="6" t="s">
        <v>209</v>
      </c>
      <c r="F366" s="6" t="s">
        <v>210</v>
      </c>
      <c r="G366" s="6" t="s">
        <v>19</v>
      </c>
      <c r="H366" s="11">
        <v>45854</v>
      </c>
      <c r="I366" s="11">
        <v>46177</v>
      </c>
      <c r="J366" s="6" t="s">
        <v>20</v>
      </c>
      <c r="K366" s="6" t="s">
        <v>24</v>
      </c>
      <c r="L366" s="6" t="s">
        <v>55</v>
      </c>
      <c r="M366" s="6">
        <v>323</v>
      </c>
      <c r="N366">
        <f t="shared" si="30"/>
        <v>1</v>
      </c>
      <c r="O366" t="str">
        <f t="shared" si="31"/>
        <v>07-2025</v>
      </c>
      <c r="P366" t="str">
        <f t="shared" si="32"/>
        <v>06-2026</v>
      </c>
      <c r="Q366">
        <f t="shared" si="33"/>
        <v>0</v>
      </c>
      <c r="R366">
        <f t="shared" si="34"/>
        <v>1</v>
      </c>
      <c r="S366" t="str">
        <f t="shared" si="35"/>
        <v>180-365</v>
      </c>
    </row>
    <row r="367" spans="1:19" x14ac:dyDescent="0.25">
      <c r="A367" s="6" t="s">
        <v>402</v>
      </c>
      <c r="B367" s="6" t="s">
        <v>14</v>
      </c>
      <c r="C367" s="6" t="s">
        <v>15</v>
      </c>
      <c r="D367" s="6" t="s">
        <v>208</v>
      </c>
      <c r="E367" s="6" t="s">
        <v>209</v>
      </c>
      <c r="F367" s="6" t="s">
        <v>210</v>
      </c>
      <c r="G367" s="6" t="s">
        <v>19</v>
      </c>
      <c r="H367" s="11">
        <v>46189</v>
      </c>
      <c r="I367" s="11">
        <v>46189</v>
      </c>
      <c r="J367" s="6" t="s">
        <v>20</v>
      </c>
      <c r="K367" s="6" t="s">
        <v>21</v>
      </c>
      <c r="L367" s="6" t="s">
        <v>22</v>
      </c>
      <c r="M367" s="6">
        <v>0</v>
      </c>
      <c r="N367">
        <f t="shared" si="30"/>
        <v>1</v>
      </c>
      <c r="O367" t="str">
        <f t="shared" si="31"/>
        <v>06-2026</v>
      </c>
      <c r="P367" t="str">
        <f t="shared" si="32"/>
        <v>06-2026</v>
      </c>
      <c r="Q367">
        <f t="shared" si="33"/>
        <v>1</v>
      </c>
      <c r="R367">
        <f t="shared" si="34"/>
        <v>0</v>
      </c>
      <c r="S367" t="str">
        <f t="shared" si="35"/>
        <v>0-90</v>
      </c>
    </row>
    <row r="368" spans="1:19" x14ac:dyDescent="0.25">
      <c r="A368" s="6" t="s">
        <v>403</v>
      </c>
      <c r="B368" s="6" t="s">
        <v>14</v>
      </c>
      <c r="C368" s="6" t="s">
        <v>15</v>
      </c>
      <c r="D368" s="6" t="s">
        <v>208</v>
      </c>
      <c r="E368" s="6" t="s">
        <v>209</v>
      </c>
      <c r="F368" s="6" t="s">
        <v>210</v>
      </c>
      <c r="G368" s="6" t="s">
        <v>19</v>
      </c>
      <c r="H368" s="11">
        <v>46158</v>
      </c>
      <c r="I368" s="11">
        <v>46162</v>
      </c>
      <c r="J368" s="6" t="s">
        <v>20</v>
      </c>
      <c r="K368" s="6" t="s">
        <v>21</v>
      </c>
      <c r="L368" s="6" t="s">
        <v>61</v>
      </c>
      <c r="M368" s="6">
        <v>4</v>
      </c>
      <c r="N368">
        <f t="shared" si="30"/>
        <v>1</v>
      </c>
      <c r="O368" t="str">
        <f t="shared" si="31"/>
        <v>05-2026</v>
      </c>
      <c r="P368" t="str">
        <f t="shared" si="32"/>
        <v>05-2026</v>
      </c>
      <c r="Q368">
        <f t="shared" si="33"/>
        <v>1</v>
      </c>
      <c r="R368">
        <f t="shared" si="34"/>
        <v>0</v>
      </c>
      <c r="S368" t="str">
        <f t="shared" si="35"/>
        <v>0-90</v>
      </c>
    </row>
    <row r="369" spans="1:19" x14ac:dyDescent="0.25">
      <c r="A369" s="6" t="s">
        <v>404</v>
      </c>
      <c r="B369" s="6" t="s">
        <v>14</v>
      </c>
      <c r="C369" s="6" t="s">
        <v>15</v>
      </c>
      <c r="D369" s="6" t="s">
        <v>208</v>
      </c>
      <c r="E369" s="6" t="s">
        <v>209</v>
      </c>
      <c r="F369" s="6" t="s">
        <v>210</v>
      </c>
      <c r="G369" s="6" t="s">
        <v>19</v>
      </c>
      <c r="H369" s="11">
        <v>46158</v>
      </c>
      <c r="I369" s="11"/>
      <c r="J369" s="6" t="s">
        <v>27</v>
      </c>
      <c r="K369" s="6"/>
      <c r="L369" s="6"/>
      <c r="M369" s="6">
        <v>45</v>
      </c>
      <c r="N369">
        <f t="shared" si="30"/>
        <v>0</v>
      </c>
      <c r="O369" t="str">
        <f t="shared" si="31"/>
        <v>05-2026</v>
      </c>
      <c r="P369" t="str">
        <f t="shared" si="32"/>
        <v/>
      </c>
      <c r="Q369">
        <f t="shared" si="33"/>
        <v>0</v>
      </c>
      <c r="R369">
        <f t="shared" si="34"/>
        <v>0</v>
      </c>
      <c r="S369" t="str">
        <f t="shared" si="35"/>
        <v>0-90</v>
      </c>
    </row>
    <row r="370" spans="1:19" x14ac:dyDescent="0.25">
      <c r="A370" s="6" t="s">
        <v>405</v>
      </c>
      <c r="B370" s="6" t="s">
        <v>14</v>
      </c>
      <c r="C370" s="6" t="s">
        <v>15</v>
      </c>
      <c r="D370" s="6" t="s">
        <v>208</v>
      </c>
      <c r="E370" s="6" t="s">
        <v>209</v>
      </c>
      <c r="F370" s="6" t="s">
        <v>210</v>
      </c>
      <c r="G370" s="6" t="s">
        <v>19</v>
      </c>
      <c r="H370" s="11">
        <v>46158</v>
      </c>
      <c r="I370" s="11">
        <v>46176</v>
      </c>
      <c r="J370" s="6" t="s">
        <v>20</v>
      </c>
      <c r="K370" s="6" t="s">
        <v>24</v>
      </c>
      <c r="L370" s="6" t="s">
        <v>55</v>
      </c>
      <c r="M370" s="6">
        <v>18</v>
      </c>
      <c r="N370">
        <f t="shared" si="30"/>
        <v>1</v>
      </c>
      <c r="O370" t="str">
        <f t="shared" si="31"/>
        <v>05-2026</v>
      </c>
      <c r="P370" t="str">
        <f t="shared" si="32"/>
        <v>06-2026</v>
      </c>
      <c r="Q370">
        <f t="shared" si="33"/>
        <v>0</v>
      </c>
      <c r="R370">
        <f t="shared" si="34"/>
        <v>1</v>
      </c>
      <c r="S370" t="str">
        <f t="shared" si="35"/>
        <v>0-90</v>
      </c>
    </row>
    <row r="371" spans="1:19" x14ac:dyDescent="0.25">
      <c r="A371" s="6" t="s">
        <v>406</v>
      </c>
      <c r="B371" s="6" t="s">
        <v>14</v>
      </c>
      <c r="C371" s="6" t="s">
        <v>15</v>
      </c>
      <c r="D371" s="6" t="s">
        <v>208</v>
      </c>
      <c r="E371" s="6" t="s">
        <v>209</v>
      </c>
      <c r="F371" s="6" t="s">
        <v>210</v>
      </c>
      <c r="G371" s="6" t="s">
        <v>19</v>
      </c>
      <c r="H371" s="11">
        <v>46158</v>
      </c>
      <c r="I371" s="11">
        <v>46158</v>
      </c>
      <c r="J371" s="6" t="s">
        <v>20</v>
      </c>
      <c r="K371" s="6" t="s">
        <v>21</v>
      </c>
      <c r="L371" s="6" t="s">
        <v>37</v>
      </c>
      <c r="M371" s="6">
        <v>0</v>
      </c>
      <c r="N371">
        <f t="shared" si="30"/>
        <v>1</v>
      </c>
      <c r="O371" t="str">
        <f t="shared" si="31"/>
        <v>05-2026</v>
      </c>
      <c r="P371" t="str">
        <f t="shared" si="32"/>
        <v>05-2026</v>
      </c>
      <c r="Q371">
        <f t="shared" si="33"/>
        <v>1</v>
      </c>
      <c r="R371">
        <f t="shared" si="34"/>
        <v>0</v>
      </c>
      <c r="S371" t="str">
        <f t="shared" si="35"/>
        <v>0-90</v>
      </c>
    </row>
    <row r="372" spans="1:19" x14ac:dyDescent="0.25">
      <c r="A372" s="6" t="s">
        <v>407</v>
      </c>
      <c r="B372" s="6" t="s">
        <v>14</v>
      </c>
      <c r="C372" s="6" t="s">
        <v>15</v>
      </c>
      <c r="D372" s="6" t="s">
        <v>208</v>
      </c>
      <c r="E372" s="6" t="s">
        <v>209</v>
      </c>
      <c r="F372" s="6" t="s">
        <v>210</v>
      </c>
      <c r="G372" s="6" t="s">
        <v>19</v>
      </c>
      <c r="H372" s="11">
        <v>46158</v>
      </c>
      <c r="I372" s="11">
        <v>46158</v>
      </c>
      <c r="J372" s="6" t="s">
        <v>20</v>
      </c>
      <c r="K372" s="6" t="s">
        <v>21</v>
      </c>
      <c r="L372" s="6" t="s">
        <v>37</v>
      </c>
      <c r="M372" s="6">
        <v>0</v>
      </c>
      <c r="N372">
        <f t="shared" si="30"/>
        <v>1</v>
      </c>
      <c r="O372" t="str">
        <f t="shared" si="31"/>
        <v>05-2026</v>
      </c>
      <c r="P372" t="str">
        <f t="shared" si="32"/>
        <v>05-2026</v>
      </c>
      <c r="Q372">
        <f t="shared" si="33"/>
        <v>1</v>
      </c>
      <c r="R372">
        <f t="shared" si="34"/>
        <v>0</v>
      </c>
      <c r="S372" t="str">
        <f t="shared" si="35"/>
        <v>0-90</v>
      </c>
    </row>
    <row r="373" spans="1:19" x14ac:dyDescent="0.25">
      <c r="A373" s="6" t="s">
        <v>408</v>
      </c>
      <c r="B373" s="6" t="s">
        <v>14</v>
      </c>
      <c r="C373" s="6" t="s">
        <v>15</v>
      </c>
      <c r="D373" s="6" t="s">
        <v>208</v>
      </c>
      <c r="E373" s="6" t="s">
        <v>209</v>
      </c>
      <c r="F373" s="6" t="s">
        <v>210</v>
      </c>
      <c r="G373" s="6" t="s">
        <v>19</v>
      </c>
      <c r="H373" s="11">
        <v>46158</v>
      </c>
      <c r="I373" s="11"/>
      <c r="J373" s="6" t="s">
        <v>27</v>
      </c>
      <c r="K373" s="6"/>
      <c r="L373" s="6"/>
      <c r="M373" s="6">
        <v>45</v>
      </c>
      <c r="N373">
        <f t="shared" si="30"/>
        <v>0</v>
      </c>
      <c r="O373" t="str">
        <f t="shared" si="31"/>
        <v>05-2026</v>
      </c>
      <c r="P373" t="str">
        <f t="shared" si="32"/>
        <v/>
      </c>
      <c r="Q373">
        <f t="shared" si="33"/>
        <v>0</v>
      </c>
      <c r="R373">
        <f t="shared" si="34"/>
        <v>0</v>
      </c>
      <c r="S373" t="str">
        <f t="shared" si="35"/>
        <v>0-90</v>
      </c>
    </row>
    <row r="374" spans="1:19" x14ac:dyDescent="0.25">
      <c r="A374" s="6" t="s">
        <v>409</v>
      </c>
      <c r="B374" s="6" t="s">
        <v>14</v>
      </c>
      <c r="C374" s="6" t="s">
        <v>15</v>
      </c>
      <c r="D374" s="6" t="s">
        <v>208</v>
      </c>
      <c r="E374" s="6" t="s">
        <v>209</v>
      </c>
      <c r="F374" s="6" t="s">
        <v>210</v>
      </c>
      <c r="G374" s="6" t="s">
        <v>19</v>
      </c>
      <c r="H374" s="11">
        <v>46158</v>
      </c>
      <c r="I374" s="11"/>
      <c r="J374" s="6" t="s">
        <v>27</v>
      </c>
      <c r="K374" s="6"/>
      <c r="L374" s="6"/>
      <c r="M374" s="6">
        <v>45</v>
      </c>
      <c r="N374">
        <f t="shared" si="30"/>
        <v>0</v>
      </c>
      <c r="O374" t="str">
        <f t="shared" si="31"/>
        <v>05-2026</v>
      </c>
      <c r="P374" t="str">
        <f t="shared" si="32"/>
        <v/>
      </c>
      <c r="Q374">
        <f t="shared" si="33"/>
        <v>0</v>
      </c>
      <c r="R374">
        <f t="shared" si="34"/>
        <v>0</v>
      </c>
      <c r="S374" t="str">
        <f t="shared" si="35"/>
        <v>0-90</v>
      </c>
    </row>
    <row r="375" spans="1:19" x14ac:dyDescent="0.25">
      <c r="A375" s="6" t="s">
        <v>410</v>
      </c>
      <c r="B375" s="6" t="s">
        <v>14</v>
      </c>
      <c r="C375" s="6" t="s">
        <v>15</v>
      </c>
      <c r="D375" s="6" t="s">
        <v>208</v>
      </c>
      <c r="E375" s="6" t="s">
        <v>209</v>
      </c>
      <c r="F375" s="6" t="s">
        <v>210</v>
      </c>
      <c r="G375" s="6" t="s">
        <v>19</v>
      </c>
      <c r="H375" s="11">
        <v>45916</v>
      </c>
      <c r="I375" s="11">
        <v>46133</v>
      </c>
      <c r="J375" s="6" t="s">
        <v>20</v>
      </c>
      <c r="K375" s="6" t="s">
        <v>24</v>
      </c>
      <c r="L375" s="6" t="s">
        <v>41</v>
      </c>
      <c r="M375" s="6">
        <v>217</v>
      </c>
      <c r="N375">
        <f t="shared" si="30"/>
        <v>1</v>
      </c>
      <c r="O375" t="str">
        <f t="shared" si="31"/>
        <v>09-2025</v>
      </c>
      <c r="P375" t="str">
        <f t="shared" si="32"/>
        <v>04-2026</v>
      </c>
      <c r="Q375">
        <f t="shared" si="33"/>
        <v>0</v>
      </c>
      <c r="R375">
        <f t="shared" si="34"/>
        <v>1</v>
      </c>
      <c r="S375" t="str">
        <f t="shared" si="35"/>
        <v>180-365</v>
      </c>
    </row>
    <row r="376" spans="1:19" x14ac:dyDescent="0.25">
      <c r="A376" s="6" t="s">
        <v>411</v>
      </c>
      <c r="B376" s="6" t="s">
        <v>14</v>
      </c>
      <c r="C376" s="6" t="s">
        <v>15</v>
      </c>
      <c r="D376" s="6" t="s">
        <v>208</v>
      </c>
      <c r="E376" s="6" t="s">
        <v>209</v>
      </c>
      <c r="F376" s="6" t="s">
        <v>210</v>
      </c>
      <c r="G376" s="6" t="s">
        <v>19</v>
      </c>
      <c r="H376" s="11">
        <v>45886</v>
      </c>
      <c r="I376" s="11"/>
      <c r="J376" s="6" t="s">
        <v>27</v>
      </c>
      <c r="K376" s="6"/>
      <c r="L376" s="6"/>
      <c r="M376" s="6">
        <v>317</v>
      </c>
      <c r="N376">
        <f t="shared" si="30"/>
        <v>0</v>
      </c>
      <c r="O376" t="str">
        <f t="shared" si="31"/>
        <v>08-2025</v>
      </c>
      <c r="P376" t="str">
        <f t="shared" si="32"/>
        <v/>
      </c>
      <c r="Q376">
        <f t="shared" si="33"/>
        <v>0</v>
      </c>
      <c r="R376">
        <f t="shared" si="34"/>
        <v>0</v>
      </c>
      <c r="S376" t="str">
        <f t="shared" si="35"/>
        <v>180-365</v>
      </c>
    </row>
    <row r="377" spans="1:19" x14ac:dyDescent="0.25">
      <c r="A377" s="6" t="s">
        <v>412</v>
      </c>
      <c r="B377" s="6" t="s">
        <v>14</v>
      </c>
      <c r="C377" s="6" t="s">
        <v>15</v>
      </c>
      <c r="D377" s="6" t="s">
        <v>208</v>
      </c>
      <c r="E377" s="6" t="s">
        <v>209</v>
      </c>
      <c r="F377" s="6" t="s">
        <v>210</v>
      </c>
      <c r="G377" s="6" t="s">
        <v>19</v>
      </c>
      <c r="H377" s="11">
        <v>46190</v>
      </c>
      <c r="I377" s="11">
        <v>46197</v>
      </c>
      <c r="J377" s="6" t="s">
        <v>20</v>
      </c>
      <c r="K377" s="6" t="s">
        <v>21</v>
      </c>
      <c r="L377" s="6" t="s">
        <v>61</v>
      </c>
      <c r="M377" s="6">
        <v>7</v>
      </c>
      <c r="N377">
        <f t="shared" si="30"/>
        <v>1</v>
      </c>
      <c r="O377" t="str">
        <f t="shared" si="31"/>
        <v>06-2026</v>
      </c>
      <c r="P377" t="str">
        <f t="shared" si="32"/>
        <v>06-2026</v>
      </c>
      <c r="Q377">
        <f t="shared" si="33"/>
        <v>1</v>
      </c>
      <c r="R377">
        <f t="shared" si="34"/>
        <v>0</v>
      </c>
      <c r="S377" t="str">
        <f t="shared" si="35"/>
        <v>0-90</v>
      </c>
    </row>
    <row r="378" spans="1:19" x14ac:dyDescent="0.25">
      <c r="A378" s="6" t="s">
        <v>413</v>
      </c>
      <c r="B378" s="6" t="s">
        <v>14</v>
      </c>
      <c r="C378" s="6" t="s">
        <v>15</v>
      </c>
      <c r="D378" s="6" t="s">
        <v>208</v>
      </c>
      <c r="E378" s="6" t="s">
        <v>209</v>
      </c>
      <c r="F378" s="6" t="s">
        <v>210</v>
      </c>
      <c r="G378" s="6" t="s">
        <v>19</v>
      </c>
      <c r="H378" s="11">
        <v>46190</v>
      </c>
      <c r="I378" s="11">
        <v>46190</v>
      </c>
      <c r="J378" s="6" t="s">
        <v>20</v>
      </c>
      <c r="K378" s="6" t="s">
        <v>21</v>
      </c>
      <c r="L378" s="6" t="s">
        <v>37</v>
      </c>
      <c r="M378" s="6">
        <v>0</v>
      </c>
      <c r="N378">
        <f t="shared" si="30"/>
        <v>1</v>
      </c>
      <c r="O378" t="str">
        <f t="shared" si="31"/>
        <v>06-2026</v>
      </c>
      <c r="P378" t="str">
        <f t="shared" si="32"/>
        <v>06-2026</v>
      </c>
      <c r="Q378">
        <f t="shared" si="33"/>
        <v>1</v>
      </c>
      <c r="R378">
        <f t="shared" si="34"/>
        <v>0</v>
      </c>
      <c r="S378" t="str">
        <f t="shared" si="35"/>
        <v>0-90</v>
      </c>
    </row>
    <row r="379" spans="1:19" x14ac:dyDescent="0.25">
      <c r="A379" s="6" t="s">
        <v>414</v>
      </c>
      <c r="B379" s="6" t="s">
        <v>14</v>
      </c>
      <c r="C379" s="6" t="s">
        <v>15</v>
      </c>
      <c r="D379" s="6" t="s">
        <v>208</v>
      </c>
      <c r="E379" s="6" t="s">
        <v>209</v>
      </c>
      <c r="F379" s="6" t="s">
        <v>210</v>
      </c>
      <c r="G379" s="6" t="s">
        <v>19</v>
      </c>
      <c r="H379" s="11">
        <v>45733</v>
      </c>
      <c r="I379" s="11">
        <v>46159</v>
      </c>
      <c r="J379" s="6" t="s">
        <v>20</v>
      </c>
      <c r="K379" s="6" t="s">
        <v>24</v>
      </c>
      <c r="L379" s="6" t="s">
        <v>55</v>
      </c>
      <c r="M379" s="6">
        <v>426</v>
      </c>
      <c r="N379">
        <f t="shared" si="30"/>
        <v>1</v>
      </c>
      <c r="O379" t="str">
        <f t="shared" si="31"/>
        <v>03-2025</v>
      </c>
      <c r="P379" t="str">
        <f t="shared" si="32"/>
        <v>05-2026</v>
      </c>
      <c r="Q379">
        <f t="shared" si="33"/>
        <v>0</v>
      </c>
      <c r="R379">
        <f t="shared" si="34"/>
        <v>1</v>
      </c>
      <c r="S379" t="str">
        <f t="shared" si="35"/>
        <v>above 1 year</v>
      </c>
    </row>
    <row r="380" spans="1:19" x14ac:dyDescent="0.25">
      <c r="A380" s="6" t="s">
        <v>415</v>
      </c>
      <c r="B380" s="6" t="s">
        <v>14</v>
      </c>
      <c r="C380" s="6" t="s">
        <v>15</v>
      </c>
      <c r="D380" s="6" t="s">
        <v>208</v>
      </c>
      <c r="E380" s="6" t="s">
        <v>209</v>
      </c>
      <c r="F380" s="6" t="s">
        <v>210</v>
      </c>
      <c r="G380" s="6" t="s">
        <v>19</v>
      </c>
      <c r="H380" s="11">
        <v>46098</v>
      </c>
      <c r="I380" s="11">
        <v>46156</v>
      </c>
      <c r="J380" s="6" t="s">
        <v>20</v>
      </c>
      <c r="K380" s="6" t="s">
        <v>24</v>
      </c>
      <c r="L380" s="6" t="s">
        <v>55</v>
      </c>
      <c r="M380" s="6">
        <v>58</v>
      </c>
      <c r="N380">
        <f t="shared" si="30"/>
        <v>1</v>
      </c>
      <c r="O380" t="str">
        <f t="shared" si="31"/>
        <v>03-2026</v>
      </c>
      <c r="P380" t="str">
        <f t="shared" si="32"/>
        <v>05-2026</v>
      </c>
      <c r="Q380">
        <f t="shared" si="33"/>
        <v>0</v>
      </c>
      <c r="R380">
        <f t="shared" si="34"/>
        <v>1</v>
      </c>
      <c r="S380" t="str">
        <f t="shared" si="35"/>
        <v>0-90</v>
      </c>
    </row>
    <row r="381" spans="1:19" x14ac:dyDescent="0.25">
      <c r="A381" s="6" t="s">
        <v>416</v>
      </c>
      <c r="B381" s="6" t="s">
        <v>14</v>
      </c>
      <c r="C381" s="6" t="s">
        <v>15</v>
      </c>
      <c r="D381" s="6" t="s">
        <v>208</v>
      </c>
      <c r="E381" s="6" t="s">
        <v>209</v>
      </c>
      <c r="F381" s="6" t="s">
        <v>210</v>
      </c>
      <c r="G381" s="6" t="s">
        <v>19</v>
      </c>
      <c r="H381" s="11">
        <v>46159</v>
      </c>
      <c r="I381" s="11"/>
      <c r="J381" s="6" t="s">
        <v>27</v>
      </c>
      <c r="K381" s="6"/>
      <c r="L381" s="6"/>
      <c r="M381" s="6">
        <v>44</v>
      </c>
      <c r="N381">
        <f t="shared" si="30"/>
        <v>0</v>
      </c>
      <c r="O381" t="str">
        <f t="shared" si="31"/>
        <v>05-2026</v>
      </c>
      <c r="P381" t="str">
        <f t="shared" si="32"/>
        <v/>
      </c>
      <c r="Q381">
        <f t="shared" si="33"/>
        <v>0</v>
      </c>
      <c r="R381">
        <f t="shared" si="34"/>
        <v>0</v>
      </c>
      <c r="S381" t="str">
        <f t="shared" si="35"/>
        <v>0-90</v>
      </c>
    </row>
    <row r="382" spans="1:19" x14ac:dyDescent="0.25">
      <c r="A382" s="6" t="s">
        <v>417</v>
      </c>
      <c r="B382" s="6" t="s">
        <v>14</v>
      </c>
      <c r="C382" s="6" t="s">
        <v>15</v>
      </c>
      <c r="D382" s="6" t="s">
        <v>208</v>
      </c>
      <c r="E382" s="6" t="s">
        <v>209</v>
      </c>
      <c r="F382" s="6" t="s">
        <v>210</v>
      </c>
      <c r="G382" s="6" t="s">
        <v>19</v>
      </c>
      <c r="H382" s="11">
        <v>46159</v>
      </c>
      <c r="I382" s="11">
        <v>46170</v>
      </c>
      <c r="J382" s="6" t="s">
        <v>20</v>
      </c>
      <c r="K382" s="6" t="s">
        <v>21</v>
      </c>
      <c r="L382" s="6" t="s">
        <v>50</v>
      </c>
      <c r="M382" s="6">
        <v>11</v>
      </c>
      <c r="N382">
        <f t="shared" si="30"/>
        <v>1</v>
      </c>
      <c r="O382" t="str">
        <f t="shared" si="31"/>
        <v>05-2026</v>
      </c>
      <c r="P382" t="str">
        <f t="shared" si="32"/>
        <v>05-2026</v>
      </c>
      <c r="Q382">
        <f t="shared" si="33"/>
        <v>1</v>
      </c>
      <c r="R382">
        <f t="shared" si="34"/>
        <v>0</v>
      </c>
      <c r="S382" t="str">
        <f t="shared" si="35"/>
        <v>0-90</v>
      </c>
    </row>
    <row r="383" spans="1:19" x14ac:dyDescent="0.25">
      <c r="A383" s="6" t="s">
        <v>418</v>
      </c>
      <c r="B383" s="6" t="s">
        <v>14</v>
      </c>
      <c r="C383" s="6" t="s">
        <v>15</v>
      </c>
      <c r="D383" s="6" t="s">
        <v>208</v>
      </c>
      <c r="E383" s="6" t="s">
        <v>209</v>
      </c>
      <c r="F383" s="6" t="s">
        <v>210</v>
      </c>
      <c r="G383" s="6" t="s">
        <v>19</v>
      </c>
      <c r="H383" s="11">
        <v>46159</v>
      </c>
      <c r="I383" s="11">
        <v>46159</v>
      </c>
      <c r="J383" s="6" t="s">
        <v>20</v>
      </c>
      <c r="K383" s="6" t="s">
        <v>21</v>
      </c>
      <c r="L383" s="6" t="s">
        <v>50</v>
      </c>
      <c r="M383" s="6">
        <v>0</v>
      </c>
      <c r="N383">
        <f t="shared" si="30"/>
        <v>1</v>
      </c>
      <c r="O383" t="str">
        <f t="shared" si="31"/>
        <v>05-2026</v>
      </c>
      <c r="P383" t="str">
        <f t="shared" si="32"/>
        <v>05-2026</v>
      </c>
      <c r="Q383">
        <f t="shared" si="33"/>
        <v>1</v>
      </c>
      <c r="R383">
        <f t="shared" si="34"/>
        <v>0</v>
      </c>
      <c r="S383" t="str">
        <f t="shared" si="35"/>
        <v>0-90</v>
      </c>
    </row>
    <row r="384" spans="1:19" x14ac:dyDescent="0.25">
      <c r="A384" s="6" t="s">
        <v>419</v>
      </c>
      <c r="B384" s="6" t="s">
        <v>14</v>
      </c>
      <c r="C384" s="6" t="s">
        <v>15</v>
      </c>
      <c r="D384" s="6" t="s">
        <v>208</v>
      </c>
      <c r="E384" s="6" t="s">
        <v>209</v>
      </c>
      <c r="F384" s="6" t="s">
        <v>210</v>
      </c>
      <c r="G384" s="6" t="s">
        <v>19</v>
      </c>
      <c r="H384" s="11">
        <v>46159</v>
      </c>
      <c r="I384" s="11"/>
      <c r="J384" s="6" t="s">
        <v>27</v>
      </c>
      <c r="K384" s="6"/>
      <c r="L384" s="6"/>
      <c r="M384" s="6">
        <v>44</v>
      </c>
      <c r="N384">
        <f t="shared" si="30"/>
        <v>0</v>
      </c>
      <c r="O384" t="str">
        <f t="shared" si="31"/>
        <v>05-2026</v>
      </c>
      <c r="P384" t="str">
        <f t="shared" si="32"/>
        <v/>
      </c>
      <c r="Q384">
        <f t="shared" si="33"/>
        <v>0</v>
      </c>
      <c r="R384">
        <f t="shared" si="34"/>
        <v>0</v>
      </c>
      <c r="S384" t="str">
        <f t="shared" si="35"/>
        <v>0-90</v>
      </c>
    </row>
    <row r="385" spans="1:19" x14ac:dyDescent="0.25">
      <c r="A385" s="6" t="s">
        <v>420</v>
      </c>
      <c r="B385" s="6" t="s">
        <v>14</v>
      </c>
      <c r="C385" s="6" t="s">
        <v>15</v>
      </c>
      <c r="D385" s="6" t="s">
        <v>208</v>
      </c>
      <c r="E385" s="6" t="s">
        <v>209</v>
      </c>
      <c r="F385" s="6" t="s">
        <v>210</v>
      </c>
      <c r="G385" s="6" t="s">
        <v>19</v>
      </c>
      <c r="H385" s="11">
        <v>45978</v>
      </c>
      <c r="I385" s="11">
        <v>46123</v>
      </c>
      <c r="J385" s="6" t="s">
        <v>20</v>
      </c>
      <c r="K385" s="6" t="s">
        <v>24</v>
      </c>
      <c r="L385" s="6" t="s">
        <v>44</v>
      </c>
      <c r="M385" s="6">
        <v>145</v>
      </c>
      <c r="N385">
        <f t="shared" si="30"/>
        <v>1</v>
      </c>
      <c r="O385" t="str">
        <f t="shared" si="31"/>
        <v>11-2025</v>
      </c>
      <c r="P385" t="str">
        <f t="shared" si="32"/>
        <v>04-2026</v>
      </c>
      <c r="Q385">
        <f t="shared" si="33"/>
        <v>0</v>
      </c>
      <c r="R385">
        <f t="shared" si="34"/>
        <v>1</v>
      </c>
      <c r="S385" t="str">
        <f t="shared" si="35"/>
        <v>90-180</v>
      </c>
    </row>
    <row r="386" spans="1:19" x14ac:dyDescent="0.25">
      <c r="A386" s="6" t="s">
        <v>421</v>
      </c>
      <c r="B386" s="6" t="s">
        <v>14</v>
      </c>
      <c r="C386" s="6" t="s">
        <v>15</v>
      </c>
      <c r="D386" s="6" t="s">
        <v>208</v>
      </c>
      <c r="E386" s="6" t="s">
        <v>209</v>
      </c>
      <c r="F386" s="6" t="s">
        <v>210</v>
      </c>
      <c r="G386" s="6" t="s">
        <v>19</v>
      </c>
      <c r="H386" s="11">
        <v>46130</v>
      </c>
      <c r="I386" s="11">
        <v>46130</v>
      </c>
      <c r="J386" s="6" t="s">
        <v>20</v>
      </c>
      <c r="K386" s="6" t="s">
        <v>21</v>
      </c>
      <c r="L386" s="6" t="s">
        <v>37</v>
      </c>
      <c r="M386" s="6">
        <v>0</v>
      </c>
      <c r="N386">
        <f t="shared" si="30"/>
        <v>1</v>
      </c>
      <c r="O386" t="str">
        <f t="shared" si="31"/>
        <v>04-2026</v>
      </c>
      <c r="P386" t="str">
        <f t="shared" si="32"/>
        <v>04-2026</v>
      </c>
      <c r="Q386">
        <f t="shared" si="33"/>
        <v>1</v>
      </c>
      <c r="R386">
        <f t="shared" si="34"/>
        <v>0</v>
      </c>
      <c r="S386" t="str">
        <f t="shared" si="35"/>
        <v>0-90</v>
      </c>
    </row>
    <row r="387" spans="1:19" x14ac:dyDescent="0.25">
      <c r="A387" s="6" t="s">
        <v>422</v>
      </c>
      <c r="B387" s="6" t="s">
        <v>14</v>
      </c>
      <c r="C387" s="6" t="s">
        <v>15</v>
      </c>
      <c r="D387" s="6" t="s">
        <v>208</v>
      </c>
      <c r="E387" s="6" t="s">
        <v>209</v>
      </c>
      <c r="F387" s="6" t="s">
        <v>210</v>
      </c>
      <c r="G387" s="6" t="s">
        <v>19</v>
      </c>
      <c r="H387" s="11">
        <v>46130</v>
      </c>
      <c r="I387" s="11"/>
      <c r="J387" s="6" t="s">
        <v>27</v>
      </c>
      <c r="K387" s="6"/>
      <c r="L387" s="6"/>
      <c r="M387" s="6">
        <v>73</v>
      </c>
      <c r="N387">
        <f t="shared" ref="N387:N450" si="36">IF(J387="Relieved",1,0)</f>
        <v>0</v>
      </c>
      <c r="O387" t="str">
        <f t="shared" ref="O387:O450" si="37">TEXT(H387,"mm-yyyy")</f>
        <v>04-2026</v>
      </c>
      <c r="P387" t="str">
        <f t="shared" ref="P387:P450" si="38">IF(I387="","",TEXT(I387,"mm-yyyy"))</f>
        <v/>
      </c>
      <c r="Q387">
        <f t="shared" ref="Q387:Q450" si="39">IF(K387="Voluntary",1,0)</f>
        <v>0</v>
      </c>
      <c r="R387">
        <f t="shared" ref="R387:R450" si="40">IF(K387="Involuntary",1,0)</f>
        <v>0</v>
      </c>
      <c r="S387" t="str">
        <f t="shared" ref="S387:S450" si="41">IF(M387&lt;90,"0-90",IF(M387&lt;180,"90-180",IF(M387&lt;365,"180-365","above 1 year")))</f>
        <v>0-90</v>
      </c>
    </row>
    <row r="388" spans="1:19" x14ac:dyDescent="0.25">
      <c r="A388" s="6" t="s">
        <v>423</v>
      </c>
      <c r="B388" s="6" t="s">
        <v>14</v>
      </c>
      <c r="C388" s="6" t="s">
        <v>15</v>
      </c>
      <c r="D388" s="6" t="s">
        <v>208</v>
      </c>
      <c r="E388" s="6" t="s">
        <v>209</v>
      </c>
      <c r="F388" s="6" t="s">
        <v>210</v>
      </c>
      <c r="G388" s="6" t="s">
        <v>19</v>
      </c>
      <c r="H388" s="11">
        <v>46130</v>
      </c>
      <c r="I388" s="11">
        <v>46157</v>
      </c>
      <c r="J388" s="6" t="s">
        <v>20</v>
      </c>
      <c r="K388" s="6" t="s">
        <v>24</v>
      </c>
      <c r="L388" s="6" t="s">
        <v>41</v>
      </c>
      <c r="M388" s="6">
        <v>27</v>
      </c>
      <c r="N388">
        <f t="shared" si="36"/>
        <v>1</v>
      </c>
      <c r="O388" t="str">
        <f t="shared" si="37"/>
        <v>04-2026</v>
      </c>
      <c r="P388" t="str">
        <f t="shared" si="38"/>
        <v>05-2026</v>
      </c>
      <c r="Q388">
        <f t="shared" si="39"/>
        <v>0</v>
      </c>
      <c r="R388">
        <f t="shared" si="40"/>
        <v>1</v>
      </c>
      <c r="S388" t="str">
        <f t="shared" si="41"/>
        <v>0-90</v>
      </c>
    </row>
    <row r="389" spans="1:19" x14ac:dyDescent="0.25">
      <c r="A389" s="6" t="s">
        <v>424</v>
      </c>
      <c r="B389" s="6" t="s">
        <v>14</v>
      </c>
      <c r="C389" s="6" t="s">
        <v>15</v>
      </c>
      <c r="D389" s="6" t="s">
        <v>208</v>
      </c>
      <c r="E389" s="6" t="s">
        <v>209</v>
      </c>
      <c r="F389" s="6" t="s">
        <v>210</v>
      </c>
      <c r="G389" s="6" t="s">
        <v>19</v>
      </c>
      <c r="H389" s="11">
        <v>46130</v>
      </c>
      <c r="I389" s="11">
        <v>46169</v>
      </c>
      <c r="J389" s="6" t="s">
        <v>20</v>
      </c>
      <c r="K389" s="6" t="s">
        <v>24</v>
      </c>
      <c r="L389" s="6" t="s">
        <v>55</v>
      </c>
      <c r="M389" s="6">
        <v>39</v>
      </c>
      <c r="N389">
        <f t="shared" si="36"/>
        <v>1</v>
      </c>
      <c r="O389" t="str">
        <f t="shared" si="37"/>
        <v>04-2026</v>
      </c>
      <c r="P389" t="str">
        <f t="shared" si="38"/>
        <v>05-2026</v>
      </c>
      <c r="Q389">
        <f t="shared" si="39"/>
        <v>0</v>
      </c>
      <c r="R389">
        <f t="shared" si="40"/>
        <v>1</v>
      </c>
      <c r="S389" t="str">
        <f t="shared" si="41"/>
        <v>0-90</v>
      </c>
    </row>
    <row r="390" spans="1:19" x14ac:dyDescent="0.25">
      <c r="A390" s="6" t="s">
        <v>425</v>
      </c>
      <c r="B390" s="6" t="s">
        <v>14</v>
      </c>
      <c r="C390" s="6" t="s">
        <v>15</v>
      </c>
      <c r="D390" s="6" t="s">
        <v>208</v>
      </c>
      <c r="E390" s="6" t="s">
        <v>209</v>
      </c>
      <c r="F390" s="6" t="s">
        <v>210</v>
      </c>
      <c r="G390" s="6" t="s">
        <v>19</v>
      </c>
      <c r="H390" s="11">
        <v>46191</v>
      </c>
      <c r="I390" s="11">
        <v>46191</v>
      </c>
      <c r="J390" s="6" t="s">
        <v>20</v>
      </c>
      <c r="K390" s="6" t="s">
        <v>21</v>
      </c>
      <c r="L390" s="6" t="s">
        <v>33</v>
      </c>
      <c r="M390" s="6">
        <v>0</v>
      </c>
      <c r="N390">
        <f t="shared" si="36"/>
        <v>1</v>
      </c>
      <c r="O390" t="str">
        <f t="shared" si="37"/>
        <v>06-2026</v>
      </c>
      <c r="P390" t="str">
        <f t="shared" si="38"/>
        <v>06-2026</v>
      </c>
      <c r="Q390">
        <f t="shared" si="39"/>
        <v>1</v>
      </c>
      <c r="R390">
        <f t="shared" si="40"/>
        <v>0</v>
      </c>
      <c r="S390" t="str">
        <f t="shared" si="41"/>
        <v>0-90</v>
      </c>
    </row>
    <row r="391" spans="1:19" x14ac:dyDescent="0.25">
      <c r="A391" s="6" t="s">
        <v>426</v>
      </c>
      <c r="B391" s="6" t="s">
        <v>14</v>
      </c>
      <c r="C391" s="6" t="s">
        <v>15</v>
      </c>
      <c r="D391" s="6" t="s">
        <v>208</v>
      </c>
      <c r="E391" s="6" t="s">
        <v>209</v>
      </c>
      <c r="F391" s="6" t="s">
        <v>210</v>
      </c>
      <c r="G391" s="6" t="s">
        <v>19</v>
      </c>
      <c r="H391" s="11">
        <v>46191</v>
      </c>
      <c r="I391" s="11"/>
      <c r="J391" s="6" t="s">
        <v>27</v>
      </c>
      <c r="K391" s="6"/>
      <c r="L391" s="6"/>
      <c r="M391" s="6">
        <v>12</v>
      </c>
      <c r="N391">
        <f t="shared" si="36"/>
        <v>0</v>
      </c>
      <c r="O391" t="str">
        <f t="shared" si="37"/>
        <v>06-2026</v>
      </c>
      <c r="P391" t="str">
        <f t="shared" si="38"/>
        <v/>
      </c>
      <c r="Q391">
        <f t="shared" si="39"/>
        <v>0</v>
      </c>
      <c r="R391">
        <f t="shared" si="40"/>
        <v>0</v>
      </c>
      <c r="S391" t="str">
        <f t="shared" si="41"/>
        <v>0-90</v>
      </c>
    </row>
    <row r="392" spans="1:19" x14ac:dyDescent="0.25">
      <c r="A392" s="6" t="s">
        <v>427</v>
      </c>
      <c r="B392" s="6" t="s">
        <v>14</v>
      </c>
      <c r="C392" s="6" t="s">
        <v>15</v>
      </c>
      <c r="D392" s="6" t="s">
        <v>208</v>
      </c>
      <c r="E392" s="6" t="s">
        <v>209</v>
      </c>
      <c r="F392" s="6" t="s">
        <v>210</v>
      </c>
      <c r="G392" s="6" t="s">
        <v>19</v>
      </c>
      <c r="H392" s="11">
        <v>46191</v>
      </c>
      <c r="I392" s="11">
        <v>46191</v>
      </c>
      <c r="J392" s="6" t="s">
        <v>20</v>
      </c>
      <c r="K392" s="6" t="s">
        <v>21</v>
      </c>
      <c r="L392" s="6" t="s">
        <v>61</v>
      </c>
      <c r="M392" s="6">
        <v>0</v>
      </c>
      <c r="N392">
        <f t="shared" si="36"/>
        <v>1</v>
      </c>
      <c r="O392" t="str">
        <f t="shared" si="37"/>
        <v>06-2026</v>
      </c>
      <c r="P392" t="str">
        <f t="shared" si="38"/>
        <v>06-2026</v>
      </c>
      <c r="Q392">
        <f t="shared" si="39"/>
        <v>1</v>
      </c>
      <c r="R392">
        <f t="shared" si="40"/>
        <v>0</v>
      </c>
      <c r="S392" t="str">
        <f t="shared" si="41"/>
        <v>0-90</v>
      </c>
    </row>
    <row r="393" spans="1:19" x14ac:dyDescent="0.25">
      <c r="A393" s="6" t="s">
        <v>428</v>
      </c>
      <c r="B393" s="6" t="s">
        <v>14</v>
      </c>
      <c r="C393" s="6" t="s">
        <v>15</v>
      </c>
      <c r="D393" s="6" t="s">
        <v>208</v>
      </c>
      <c r="E393" s="6" t="s">
        <v>209</v>
      </c>
      <c r="F393" s="6" t="s">
        <v>210</v>
      </c>
      <c r="G393" s="6" t="s">
        <v>19</v>
      </c>
      <c r="H393" s="11">
        <v>46191</v>
      </c>
      <c r="I393" s="11"/>
      <c r="J393" s="6" t="s">
        <v>27</v>
      </c>
      <c r="K393" s="6"/>
      <c r="L393" s="6"/>
      <c r="M393" s="6">
        <v>12</v>
      </c>
      <c r="N393">
        <f t="shared" si="36"/>
        <v>0</v>
      </c>
      <c r="O393" t="str">
        <f t="shared" si="37"/>
        <v>06-2026</v>
      </c>
      <c r="P393" t="str">
        <f t="shared" si="38"/>
        <v/>
      </c>
      <c r="Q393">
        <f t="shared" si="39"/>
        <v>0</v>
      </c>
      <c r="R393">
        <f t="shared" si="40"/>
        <v>0</v>
      </c>
      <c r="S393" t="str">
        <f t="shared" si="41"/>
        <v>0-90</v>
      </c>
    </row>
    <row r="394" spans="1:19" x14ac:dyDescent="0.25">
      <c r="A394" s="6" t="s">
        <v>429</v>
      </c>
      <c r="B394" s="6" t="s">
        <v>14</v>
      </c>
      <c r="C394" s="6" t="s">
        <v>15</v>
      </c>
      <c r="D394" s="6" t="s">
        <v>208</v>
      </c>
      <c r="E394" s="6" t="s">
        <v>209</v>
      </c>
      <c r="F394" s="6" t="s">
        <v>210</v>
      </c>
      <c r="G394" s="6" t="s">
        <v>19</v>
      </c>
      <c r="H394" s="11">
        <v>46191</v>
      </c>
      <c r="I394" s="11"/>
      <c r="J394" s="6" t="s">
        <v>27</v>
      </c>
      <c r="K394" s="6"/>
      <c r="L394" s="6"/>
      <c r="M394" s="6">
        <v>12</v>
      </c>
      <c r="N394">
        <f t="shared" si="36"/>
        <v>0</v>
      </c>
      <c r="O394" t="str">
        <f t="shared" si="37"/>
        <v>06-2026</v>
      </c>
      <c r="P394" t="str">
        <f t="shared" si="38"/>
        <v/>
      </c>
      <c r="Q394">
        <f t="shared" si="39"/>
        <v>0</v>
      </c>
      <c r="R394">
        <f t="shared" si="40"/>
        <v>0</v>
      </c>
      <c r="S394" t="str">
        <f t="shared" si="41"/>
        <v>0-90</v>
      </c>
    </row>
    <row r="395" spans="1:19" x14ac:dyDescent="0.25">
      <c r="A395" s="6" t="s">
        <v>430</v>
      </c>
      <c r="B395" s="6" t="s">
        <v>14</v>
      </c>
      <c r="C395" s="6" t="s">
        <v>15</v>
      </c>
      <c r="D395" s="6" t="s">
        <v>208</v>
      </c>
      <c r="E395" s="6" t="s">
        <v>209</v>
      </c>
      <c r="F395" s="6" t="s">
        <v>210</v>
      </c>
      <c r="G395" s="6" t="s">
        <v>19</v>
      </c>
      <c r="H395" s="11">
        <v>46099</v>
      </c>
      <c r="I395" s="11"/>
      <c r="J395" s="6" t="s">
        <v>27</v>
      </c>
      <c r="K395" s="6"/>
      <c r="L395" s="6"/>
      <c r="M395" s="6">
        <v>104</v>
      </c>
      <c r="N395">
        <f t="shared" si="36"/>
        <v>0</v>
      </c>
      <c r="O395" t="str">
        <f t="shared" si="37"/>
        <v>03-2026</v>
      </c>
      <c r="P395" t="str">
        <f t="shared" si="38"/>
        <v/>
      </c>
      <c r="Q395">
        <f t="shared" si="39"/>
        <v>0</v>
      </c>
      <c r="R395">
        <f t="shared" si="40"/>
        <v>0</v>
      </c>
      <c r="S395" t="str">
        <f t="shared" si="41"/>
        <v>90-180</v>
      </c>
    </row>
    <row r="396" spans="1:19" x14ac:dyDescent="0.25">
      <c r="A396" s="6" t="s">
        <v>431</v>
      </c>
      <c r="B396" s="6" t="s">
        <v>14</v>
      </c>
      <c r="C396" s="6" t="s">
        <v>15</v>
      </c>
      <c r="D396" s="6" t="s">
        <v>208</v>
      </c>
      <c r="E396" s="6" t="s">
        <v>209</v>
      </c>
      <c r="F396" s="6" t="s">
        <v>210</v>
      </c>
      <c r="G396" s="6" t="s">
        <v>19</v>
      </c>
      <c r="H396" s="11">
        <v>46160</v>
      </c>
      <c r="I396" s="11"/>
      <c r="J396" s="6" t="s">
        <v>27</v>
      </c>
      <c r="K396" s="6"/>
      <c r="L396" s="6"/>
      <c r="M396" s="6">
        <v>43</v>
      </c>
      <c r="N396">
        <f t="shared" si="36"/>
        <v>0</v>
      </c>
      <c r="O396" t="str">
        <f t="shared" si="37"/>
        <v>05-2026</v>
      </c>
      <c r="P396" t="str">
        <f t="shared" si="38"/>
        <v/>
      </c>
      <c r="Q396">
        <f t="shared" si="39"/>
        <v>0</v>
      </c>
      <c r="R396">
        <f t="shared" si="40"/>
        <v>0</v>
      </c>
      <c r="S396" t="str">
        <f t="shared" si="41"/>
        <v>0-90</v>
      </c>
    </row>
    <row r="397" spans="1:19" x14ac:dyDescent="0.25">
      <c r="A397" s="6" t="s">
        <v>432</v>
      </c>
      <c r="B397" s="6" t="s">
        <v>14</v>
      </c>
      <c r="C397" s="6" t="s">
        <v>15</v>
      </c>
      <c r="D397" s="6" t="s">
        <v>208</v>
      </c>
      <c r="E397" s="6" t="s">
        <v>209</v>
      </c>
      <c r="F397" s="6" t="s">
        <v>210</v>
      </c>
      <c r="G397" s="6" t="s">
        <v>19</v>
      </c>
      <c r="H397" s="11">
        <v>46160</v>
      </c>
      <c r="I397" s="11">
        <v>46160</v>
      </c>
      <c r="J397" s="6" t="s">
        <v>20</v>
      </c>
      <c r="K397" s="6" t="s">
        <v>21</v>
      </c>
      <c r="L397" s="6" t="s">
        <v>37</v>
      </c>
      <c r="M397" s="6">
        <v>0</v>
      </c>
      <c r="N397">
        <f t="shared" si="36"/>
        <v>1</v>
      </c>
      <c r="O397" t="str">
        <f t="shared" si="37"/>
        <v>05-2026</v>
      </c>
      <c r="P397" t="str">
        <f t="shared" si="38"/>
        <v>05-2026</v>
      </c>
      <c r="Q397">
        <f t="shared" si="39"/>
        <v>1</v>
      </c>
      <c r="R397">
        <f t="shared" si="40"/>
        <v>0</v>
      </c>
      <c r="S397" t="str">
        <f t="shared" si="41"/>
        <v>0-90</v>
      </c>
    </row>
    <row r="398" spans="1:19" x14ac:dyDescent="0.25">
      <c r="A398" s="6" t="s">
        <v>433</v>
      </c>
      <c r="B398" s="6" t="s">
        <v>14</v>
      </c>
      <c r="C398" s="6" t="s">
        <v>15</v>
      </c>
      <c r="D398" s="6" t="s">
        <v>208</v>
      </c>
      <c r="E398" s="6" t="s">
        <v>209</v>
      </c>
      <c r="F398" s="6" t="s">
        <v>210</v>
      </c>
      <c r="G398" s="6" t="s">
        <v>19</v>
      </c>
      <c r="H398" s="11">
        <v>46160</v>
      </c>
      <c r="I398" s="11">
        <v>46199</v>
      </c>
      <c r="J398" s="6" t="s">
        <v>20</v>
      </c>
      <c r="K398" s="6" t="s">
        <v>24</v>
      </c>
      <c r="L398" s="6" t="s">
        <v>25</v>
      </c>
      <c r="M398" s="6">
        <v>39</v>
      </c>
      <c r="N398">
        <f t="shared" si="36"/>
        <v>1</v>
      </c>
      <c r="O398" t="str">
        <f t="shared" si="37"/>
        <v>05-2026</v>
      </c>
      <c r="P398" t="str">
        <f t="shared" si="38"/>
        <v>06-2026</v>
      </c>
      <c r="Q398">
        <f t="shared" si="39"/>
        <v>0</v>
      </c>
      <c r="R398">
        <f t="shared" si="40"/>
        <v>1</v>
      </c>
      <c r="S398" t="str">
        <f t="shared" si="41"/>
        <v>0-90</v>
      </c>
    </row>
    <row r="399" spans="1:19" x14ac:dyDescent="0.25">
      <c r="A399" s="6" t="s">
        <v>434</v>
      </c>
      <c r="B399" s="6" t="s">
        <v>14</v>
      </c>
      <c r="C399" s="6" t="s">
        <v>15</v>
      </c>
      <c r="D399" s="6" t="s">
        <v>208</v>
      </c>
      <c r="E399" s="6" t="s">
        <v>209</v>
      </c>
      <c r="F399" s="6" t="s">
        <v>210</v>
      </c>
      <c r="G399" s="6" t="s">
        <v>19</v>
      </c>
      <c r="H399" s="11">
        <v>46160</v>
      </c>
      <c r="I399" s="11">
        <v>46194</v>
      </c>
      <c r="J399" s="6" t="s">
        <v>20</v>
      </c>
      <c r="K399" s="6" t="s">
        <v>24</v>
      </c>
      <c r="L399" s="6" t="s">
        <v>41</v>
      </c>
      <c r="M399" s="6">
        <v>34</v>
      </c>
      <c r="N399">
        <f t="shared" si="36"/>
        <v>1</v>
      </c>
      <c r="O399" t="str">
        <f t="shared" si="37"/>
        <v>05-2026</v>
      </c>
      <c r="P399" t="str">
        <f t="shared" si="38"/>
        <v>06-2026</v>
      </c>
      <c r="Q399">
        <f t="shared" si="39"/>
        <v>0</v>
      </c>
      <c r="R399">
        <f t="shared" si="40"/>
        <v>1</v>
      </c>
      <c r="S399" t="str">
        <f t="shared" si="41"/>
        <v>0-90</v>
      </c>
    </row>
    <row r="400" spans="1:19" x14ac:dyDescent="0.25">
      <c r="A400" s="6" t="s">
        <v>435</v>
      </c>
      <c r="B400" s="6" t="s">
        <v>14</v>
      </c>
      <c r="C400" s="6" t="s">
        <v>15</v>
      </c>
      <c r="D400" s="6" t="s">
        <v>208</v>
      </c>
      <c r="E400" s="6" t="s">
        <v>209</v>
      </c>
      <c r="F400" s="6" t="s">
        <v>210</v>
      </c>
      <c r="G400" s="6" t="s">
        <v>19</v>
      </c>
      <c r="H400" s="11">
        <v>46160</v>
      </c>
      <c r="I400" s="11"/>
      <c r="J400" s="6" t="s">
        <v>27</v>
      </c>
      <c r="K400" s="6"/>
      <c r="L400" s="6"/>
      <c r="M400" s="6">
        <v>43</v>
      </c>
      <c r="N400">
        <f t="shared" si="36"/>
        <v>0</v>
      </c>
      <c r="O400" t="str">
        <f t="shared" si="37"/>
        <v>05-2026</v>
      </c>
      <c r="P400" t="str">
        <f t="shared" si="38"/>
        <v/>
      </c>
      <c r="Q400">
        <f t="shared" si="39"/>
        <v>0</v>
      </c>
      <c r="R400">
        <f t="shared" si="40"/>
        <v>0</v>
      </c>
      <c r="S400" t="str">
        <f t="shared" si="41"/>
        <v>0-90</v>
      </c>
    </row>
    <row r="401" spans="1:19" x14ac:dyDescent="0.25">
      <c r="A401" s="6" t="s">
        <v>436</v>
      </c>
      <c r="B401" s="6" t="s">
        <v>14</v>
      </c>
      <c r="C401" s="6" t="s">
        <v>15</v>
      </c>
      <c r="D401" s="6" t="s">
        <v>208</v>
      </c>
      <c r="E401" s="6" t="s">
        <v>209</v>
      </c>
      <c r="F401" s="6" t="s">
        <v>210</v>
      </c>
      <c r="G401" s="6" t="s">
        <v>19</v>
      </c>
      <c r="H401" s="11">
        <v>46160</v>
      </c>
      <c r="I401" s="11">
        <v>46200</v>
      </c>
      <c r="J401" s="6" t="s">
        <v>20</v>
      </c>
      <c r="K401" s="6" t="s">
        <v>24</v>
      </c>
      <c r="L401" s="6" t="s">
        <v>25</v>
      </c>
      <c r="M401" s="6">
        <v>40</v>
      </c>
      <c r="N401">
        <f t="shared" si="36"/>
        <v>1</v>
      </c>
      <c r="O401" t="str">
        <f t="shared" si="37"/>
        <v>05-2026</v>
      </c>
      <c r="P401" t="str">
        <f t="shared" si="38"/>
        <v>06-2026</v>
      </c>
      <c r="Q401">
        <f t="shared" si="39"/>
        <v>0</v>
      </c>
      <c r="R401">
        <f t="shared" si="40"/>
        <v>1</v>
      </c>
      <c r="S401" t="str">
        <f t="shared" si="41"/>
        <v>0-90</v>
      </c>
    </row>
    <row r="402" spans="1:19" x14ac:dyDescent="0.25">
      <c r="A402" s="6" t="s">
        <v>437</v>
      </c>
      <c r="B402" s="6" t="s">
        <v>14</v>
      </c>
      <c r="C402" s="6" t="s">
        <v>15</v>
      </c>
      <c r="D402" s="6" t="s">
        <v>208</v>
      </c>
      <c r="E402" s="6" t="s">
        <v>209</v>
      </c>
      <c r="F402" s="6" t="s">
        <v>210</v>
      </c>
      <c r="G402" s="6" t="s">
        <v>19</v>
      </c>
      <c r="H402" s="11">
        <v>46160</v>
      </c>
      <c r="I402" s="11">
        <v>46171</v>
      </c>
      <c r="J402" s="6" t="s">
        <v>20</v>
      </c>
      <c r="K402" s="6" t="s">
        <v>21</v>
      </c>
      <c r="L402" s="6" t="s">
        <v>61</v>
      </c>
      <c r="M402" s="6">
        <v>11</v>
      </c>
      <c r="N402">
        <f t="shared" si="36"/>
        <v>1</v>
      </c>
      <c r="O402" t="str">
        <f t="shared" si="37"/>
        <v>05-2026</v>
      </c>
      <c r="P402" t="str">
        <f t="shared" si="38"/>
        <v>05-2026</v>
      </c>
      <c r="Q402">
        <f t="shared" si="39"/>
        <v>1</v>
      </c>
      <c r="R402">
        <f t="shared" si="40"/>
        <v>0</v>
      </c>
      <c r="S402" t="str">
        <f t="shared" si="41"/>
        <v>0-90</v>
      </c>
    </row>
    <row r="403" spans="1:19" x14ac:dyDescent="0.25">
      <c r="A403" s="6" t="s">
        <v>438</v>
      </c>
      <c r="B403" s="6" t="s">
        <v>14</v>
      </c>
      <c r="C403" s="6" t="s">
        <v>15</v>
      </c>
      <c r="D403" s="6" t="s">
        <v>208</v>
      </c>
      <c r="E403" s="6" t="s">
        <v>209</v>
      </c>
      <c r="F403" s="6" t="s">
        <v>210</v>
      </c>
      <c r="G403" s="6" t="s">
        <v>19</v>
      </c>
      <c r="H403" s="11">
        <v>46131</v>
      </c>
      <c r="I403" s="11"/>
      <c r="J403" s="6" t="s">
        <v>27</v>
      </c>
      <c r="K403" s="6"/>
      <c r="L403" s="6"/>
      <c r="M403" s="6">
        <v>72</v>
      </c>
      <c r="N403">
        <f t="shared" si="36"/>
        <v>0</v>
      </c>
      <c r="O403" t="str">
        <f t="shared" si="37"/>
        <v>04-2026</v>
      </c>
      <c r="P403" t="str">
        <f t="shared" si="38"/>
        <v/>
      </c>
      <c r="Q403">
        <f t="shared" si="39"/>
        <v>0</v>
      </c>
      <c r="R403">
        <f t="shared" si="40"/>
        <v>0</v>
      </c>
      <c r="S403" t="str">
        <f t="shared" si="41"/>
        <v>0-90</v>
      </c>
    </row>
    <row r="404" spans="1:19" x14ac:dyDescent="0.25">
      <c r="A404" s="6" t="s">
        <v>439</v>
      </c>
      <c r="B404" s="6" t="s">
        <v>14</v>
      </c>
      <c r="C404" s="6" t="s">
        <v>15</v>
      </c>
      <c r="D404" s="6" t="s">
        <v>208</v>
      </c>
      <c r="E404" s="6" t="s">
        <v>209</v>
      </c>
      <c r="F404" s="6" t="s">
        <v>210</v>
      </c>
      <c r="G404" s="6" t="s">
        <v>19</v>
      </c>
      <c r="H404" s="11">
        <v>46131</v>
      </c>
      <c r="I404" s="11">
        <v>46133</v>
      </c>
      <c r="J404" s="6" t="s">
        <v>20</v>
      </c>
      <c r="K404" s="6" t="s">
        <v>21</v>
      </c>
      <c r="L404" s="6" t="s">
        <v>37</v>
      </c>
      <c r="M404" s="6">
        <v>2</v>
      </c>
      <c r="N404">
        <f t="shared" si="36"/>
        <v>1</v>
      </c>
      <c r="O404" t="str">
        <f t="shared" si="37"/>
        <v>04-2026</v>
      </c>
      <c r="P404" t="str">
        <f t="shared" si="38"/>
        <v>04-2026</v>
      </c>
      <c r="Q404">
        <f t="shared" si="39"/>
        <v>1</v>
      </c>
      <c r="R404">
        <f t="shared" si="40"/>
        <v>0</v>
      </c>
      <c r="S404" t="str">
        <f t="shared" si="41"/>
        <v>0-90</v>
      </c>
    </row>
    <row r="405" spans="1:19" x14ac:dyDescent="0.25">
      <c r="A405" s="6" t="s">
        <v>440</v>
      </c>
      <c r="B405" s="6" t="s">
        <v>14</v>
      </c>
      <c r="C405" s="6" t="s">
        <v>15</v>
      </c>
      <c r="D405" s="6" t="s">
        <v>208</v>
      </c>
      <c r="E405" s="6" t="s">
        <v>209</v>
      </c>
      <c r="F405" s="6" t="s">
        <v>210</v>
      </c>
      <c r="G405" s="6" t="s">
        <v>19</v>
      </c>
      <c r="H405" s="11">
        <v>46131</v>
      </c>
      <c r="I405" s="11">
        <v>46131</v>
      </c>
      <c r="J405" s="6" t="s">
        <v>20</v>
      </c>
      <c r="K405" s="6" t="s">
        <v>21</v>
      </c>
      <c r="L405" s="6" t="s">
        <v>37</v>
      </c>
      <c r="M405" s="6">
        <v>0</v>
      </c>
      <c r="N405">
        <f t="shared" si="36"/>
        <v>1</v>
      </c>
      <c r="O405" t="str">
        <f t="shared" si="37"/>
        <v>04-2026</v>
      </c>
      <c r="P405" t="str">
        <f t="shared" si="38"/>
        <v>04-2026</v>
      </c>
      <c r="Q405">
        <f t="shared" si="39"/>
        <v>1</v>
      </c>
      <c r="R405">
        <f t="shared" si="40"/>
        <v>0</v>
      </c>
      <c r="S405" t="str">
        <f t="shared" si="41"/>
        <v>0-90</v>
      </c>
    </row>
    <row r="406" spans="1:19" x14ac:dyDescent="0.25">
      <c r="A406" s="6" t="s">
        <v>441</v>
      </c>
      <c r="B406" s="6" t="s">
        <v>14</v>
      </c>
      <c r="C406" s="6" t="s">
        <v>15</v>
      </c>
      <c r="D406" s="6" t="s">
        <v>208</v>
      </c>
      <c r="E406" s="6" t="s">
        <v>209</v>
      </c>
      <c r="F406" s="6" t="s">
        <v>210</v>
      </c>
      <c r="G406" s="6" t="s">
        <v>19</v>
      </c>
      <c r="H406" s="11">
        <v>46131</v>
      </c>
      <c r="I406" s="11">
        <v>46131</v>
      </c>
      <c r="J406" s="6" t="s">
        <v>20</v>
      </c>
      <c r="K406" s="6" t="s">
        <v>21</v>
      </c>
      <c r="L406" s="6" t="s">
        <v>50</v>
      </c>
      <c r="M406" s="6">
        <v>0</v>
      </c>
      <c r="N406">
        <f t="shared" si="36"/>
        <v>1</v>
      </c>
      <c r="O406" t="str">
        <f t="shared" si="37"/>
        <v>04-2026</v>
      </c>
      <c r="P406" t="str">
        <f t="shared" si="38"/>
        <v>04-2026</v>
      </c>
      <c r="Q406">
        <f t="shared" si="39"/>
        <v>1</v>
      </c>
      <c r="R406">
        <f t="shared" si="40"/>
        <v>0</v>
      </c>
      <c r="S406" t="str">
        <f t="shared" si="41"/>
        <v>0-90</v>
      </c>
    </row>
    <row r="407" spans="1:19" x14ac:dyDescent="0.25">
      <c r="A407" s="6" t="s">
        <v>442</v>
      </c>
      <c r="B407" s="6" t="s">
        <v>14</v>
      </c>
      <c r="C407" s="6" t="s">
        <v>15</v>
      </c>
      <c r="D407" s="6" t="s">
        <v>208</v>
      </c>
      <c r="E407" s="6" t="s">
        <v>209</v>
      </c>
      <c r="F407" s="6" t="s">
        <v>210</v>
      </c>
      <c r="G407" s="6" t="s">
        <v>19</v>
      </c>
      <c r="H407" s="11">
        <v>45888</v>
      </c>
      <c r="I407" s="11">
        <v>46160</v>
      </c>
      <c r="J407" s="6" t="s">
        <v>20</v>
      </c>
      <c r="K407" s="6" t="s">
        <v>24</v>
      </c>
      <c r="L407" s="6" t="s">
        <v>55</v>
      </c>
      <c r="M407" s="6">
        <v>272</v>
      </c>
      <c r="N407">
        <f t="shared" si="36"/>
        <v>1</v>
      </c>
      <c r="O407" t="str">
        <f t="shared" si="37"/>
        <v>08-2025</v>
      </c>
      <c r="P407" t="str">
        <f t="shared" si="38"/>
        <v>05-2026</v>
      </c>
      <c r="Q407">
        <f t="shared" si="39"/>
        <v>0</v>
      </c>
      <c r="R407">
        <f t="shared" si="40"/>
        <v>1</v>
      </c>
      <c r="S407" t="str">
        <f t="shared" si="41"/>
        <v>180-365</v>
      </c>
    </row>
    <row r="408" spans="1:19" x14ac:dyDescent="0.25">
      <c r="A408" s="6" t="s">
        <v>443</v>
      </c>
      <c r="B408" s="6" t="s">
        <v>14</v>
      </c>
      <c r="C408" s="6" t="s">
        <v>15</v>
      </c>
      <c r="D408" s="6" t="s">
        <v>208</v>
      </c>
      <c r="E408" s="6" t="s">
        <v>209</v>
      </c>
      <c r="F408" s="6" t="s">
        <v>210</v>
      </c>
      <c r="G408" s="6" t="s">
        <v>19</v>
      </c>
      <c r="H408" s="11">
        <v>46010</v>
      </c>
      <c r="I408" s="11">
        <v>46190</v>
      </c>
      <c r="J408" s="6" t="s">
        <v>20</v>
      </c>
      <c r="K408" s="6" t="s">
        <v>24</v>
      </c>
      <c r="L408" s="6" t="s">
        <v>41</v>
      </c>
      <c r="M408" s="6">
        <v>180</v>
      </c>
      <c r="N408">
        <f t="shared" si="36"/>
        <v>1</v>
      </c>
      <c r="O408" t="str">
        <f t="shared" si="37"/>
        <v>12-2025</v>
      </c>
      <c r="P408" t="str">
        <f t="shared" si="38"/>
        <v>06-2026</v>
      </c>
      <c r="Q408">
        <f t="shared" si="39"/>
        <v>0</v>
      </c>
      <c r="R408">
        <f t="shared" si="40"/>
        <v>1</v>
      </c>
      <c r="S408" t="str">
        <f t="shared" si="41"/>
        <v>180-365</v>
      </c>
    </row>
    <row r="409" spans="1:19" x14ac:dyDescent="0.25">
      <c r="A409" s="6" t="s">
        <v>444</v>
      </c>
      <c r="B409" s="6" t="s">
        <v>14</v>
      </c>
      <c r="C409" s="6" t="s">
        <v>15</v>
      </c>
      <c r="D409" s="6" t="s">
        <v>208</v>
      </c>
      <c r="E409" s="6" t="s">
        <v>209</v>
      </c>
      <c r="F409" s="6" t="s">
        <v>210</v>
      </c>
      <c r="G409" s="6" t="s">
        <v>19</v>
      </c>
      <c r="H409" s="11">
        <v>45827</v>
      </c>
      <c r="I409" s="11">
        <v>46155</v>
      </c>
      <c r="J409" s="6" t="s">
        <v>20</v>
      </c>
      <c r="K409" s="6" t="s">
        <v>24</v>
      </c>
      <c r="L409" s="6" t="s">
        <v>41</v>
      </c>
      <c r="M409" s="6">
        <v>328</v>
      </c>
      <c r="N409">
        <f t="shared" si="36"/>
        <v>1</v>
      </c>
      <c r="O409" t="str">
        <f t="shared" si="37"/>
        <v>06-2025</v>
      </c>
      <c r="P409" t="str">
        <f t="shared" si="38"/>
        <v>05-2026</v>
      </c>
      <c r="Q409">
        <f t="shared" si="39"/>
        <v>0</v>
      </c>
      <c r="R409">
        <f t="shared" si="40"/>
        <v>1</v>
      </c>
      <c r="S409" t="str">
        <f t="shared" si="41"/>
        <v>180-365</v>
      </c>
    </row>
    <row r="410" spans="1:19" x14ac:dyDescent="0.25">
      <c r="A410" s="6" t="s">
        <v>445</v>
      </c>
      <c r="B410" s="6" t="s">
        <v>14</v>
      </c>
      <c r="C410" s="6" t="s">
        <v>15</v>
      </c>
      <c r="D410" s="6" t="s">
        <v>208</v>
      </c>
      <c r="E410" s="6" t="s">
        <v>209</v>
      </c>
      <c r="F410" s="6" t="s">
        <v>210</v>
      </c>
      <c r="G410" s="6" t="s">
        <v>19</v>
      </c>
      <c r="H410" s="11">
        <v>46192</v>
      </c>
      <c r="I410" s="11">
        <v>46201</v>
      </c>
      <c r="J410" s="6" t="s">
        <v>20</v>
      </c>
      <c r="K410" s="6" t="s">
        <v>21</v>
      </c>
      <c r="L410" s="6" t="s">
        <v>50</v>
      </c>
      <c r="M410" s="6">
        <v>9</v>
      </c>
      <c r="N410">
        <f t="shared" si="36"/>
        <v>1</v>
      </c>
      <c r="O410" t="str">
        <f t="shared" si="37"/>
        <v>06-2026</v>
      </c>
      <c r="P410" t="str">
        <f t="shared" si="38"/>
        <v>06-2026</v>
      </c>
      <c r="Q410">
        <f t="shared" si="39"/>
        <v>1</v>
      </c>
      <c r="R410">
        <f t="shared" si="40"/>
        <v>0</v>
      </c>
      <c r="S410" t="str">
        <f t="shared" si="41"/>
        <v>0-90</v>
      </c>
    </row>
    <row r="411" spans="1:19" x14ac:dyDescent="0.25">
      <c r="A411" s="6" t="s">
        <v>446</v>
      </c>
      <c r="B411" s="6" t="s">
        <v>14</v>
      </c>
      <c r="C411" s="6" t="s">
        <v>15</v>
      </c>
      <c r="D411" s="6" t="s">
        <v>208</v>
      </c>
      <c r="E411" s="6" t="s">
        <v>209</v>
      </c>
      <c r="F411" s="6" t="s">
        <v>210</v>
      </c>
      <c r="G411" s="6" t="s">
        <v>19</v>
      </c>
      <c r="H411" s="11">
        <v>46192</v>
      </c>
      <c r="I411" s="11">
        <v>46192</v>
      </c>
      <c r="J411" s="6" t="s">
        <v>20</v>
      </c>
      <c r="K411" s="6" t="s">
        <v>21</v>
      </c>
      <c r="L411" s="6" t="s">
        <v>30</v>
      </c>
      <c r="M411" s="6">
        <v>0</v>
      </c>
      <c r="N411">
        <f t="shared" si="36"/>
        <v>1</v>
      </c>
      <c r="O411" t="str">
        <f t="shared" si="37"/>
        <v>06-2026</v>
      </c>
      <c r="P411" t="str">
        <f t="shared" si="38"/>
        <v>06-2026</v>
      </c>
      <c r="Q411">
        <f t="shared" si="39"/>
        <v>1</v>
      </c>
      <c r="R411">
        <f t="shared" si="40"/>
        <v>0</v>
      </c>
      <c r="S411" t="str">
        <f t="shared" si="41"/>
        <v>0-90</v>
      </c>
    </row>
    <row r="412" spans="1:19" x14ac:dyDescent="0.25">
      <c r="A412" s="6" t="s">
        <v>447</v>
      </c>
      <c r="B412" s="6" t="s">
        <v>14</v>
      </c>
      <c r="C412" s="6" t="s">
        <v>15</v>
      </c>
      <c r="D412" s="6" t="s">
        <v>208</v>
      </c>
      <c r="E412" s="6" t="s">
        <v>209</v>
      </c>
      <c r="F412" s="6" t="s">
        <v>210</v>
      </c>
      <c r="G412" s="6" t="s">
        <v>19</v>
      </c>
      <c r="H412" s="11">
        <v>46192</v>
      </c>
      <c r="I412" s="11"/>
      <c r="J412" s="6" t="s">
        <v>27</v>
      </c>
      <c r="K412" s="6"/>
      <c r="L412" s="6"/>
      <c r="M412" s="6">
        <v>11</v>
      </c>
      <c r="N412">
        <f t="shared" si="36"/>
        <v>0</v>
      </c>
      <c r="O412" t="str">
        <f t="shared" si="37"/>
        <v>06-2026</v>
      </c>
      <c r="P412" t="str">
        <f t="shared" si="38"/>
        <v/>
      </c>
      <c r="Q412">
        <f t="shared" si="39"/>
        <v>0</v>
      </c>
      <c r="R412">
        <f t="shared" si="40"/>
        <v>0</v>
      </c>
      <c r="S412" t="str">
        <f t="shared" si="41"/>
        <v>0-90</v>
      </c>
    </row>
    <row r="413" spans="1:19" x14ac:dyDescent="0.25">
      <c r="A413" s="6" t="s">
        <v>448</v>
      </c>
      <c r="B413" s="6" t="s">
        <v>14</v>
      </c>
      <c r="C413" s="6" t="s">
        <v>15</v>
      </c>
      <c r="D413" s="6" t="s">
        <v>208</v>
      </c>
      <c r="E413" s="6" t="s">
        <v>209</v>
      </c>
      <c r="F413" s="6" t="s">
        <v>210</v>
      </c>
      <c r="G413" s="6" t="s">
        <v>19</v>
      </c>
      <c r="H413" s="11">
        <v>46192</v>
      </c>
      <c r="I413" s="11">
        <v>46199</v>
      </c>
      <c r="J413" s="6" t="s">
        <v>20</v>
      </c>
      <c r="K413" s="6" t="s">
        <v>21</v>
      </c>
      <c r="L413" s="6" t="s">
        <v>33</v>
      </c>
      <c r="M413" s="6">
        <v>7</v>
      </c>
      <c r="N413">
        <f t="shared" si="36"/>
        <v>1</v>
      </c>
      <c r="O413" t="str">
        <f t="shared" si="37"/>
        <v>06-2026</v>
      </c>
      <c r="P413" t="str">
        <f t="shared" si="38"/>
        <v>06-2026</v>
      </c>
      <c r="Q413">
        <f t="shared" si="39"/>
        <v>1</v>
      </c>
      <c r="R413">
        <f t="shared" si="40"/>
        <v>0</v>
      </c>
      <c r="S413" t="str">
        <f t="shared" si="41"/>
        <v>0-90</v>
      </c>
    </row>
    <row r="414" spans="1:19" x14ac:dyDescent="0.25">
      <c r="A414" s="6" t="s">
        <v>449</v>
      </c>
      <c r="B414" s="6" t="s">
        <v>14</v>
      </c>
      <c r="C414" s="6" t="s">
        <v>15</v>
      </c>
      <c r="D414" s="6" t="s">
        <v>208</v>
      </c>
      <c r="E414" s="6" t="s">
        <v>209</v>
      </c>
      <c r="F414" s="6" t="s">
        <v>210</v>
      </c>
      <c r="G414" s="6" t="s">
        <v>19</v>
      </c>
      <c r="H414" s="11">
        <v>45735</v>
      </c>
      <c r="I414" s="11"/>
      <c r="J414" s="6" t="s">
        <v>27</v>
      </c>
      <c r="K414" s="6"/>
      <c r="L414" s="6"/>
      <c r="M414" s="6">
        <v>468</v>
      </c>
      <c r="N414">
        <f t="shared" si="36"/>
        <v>0</v>
      </c>
      <c r="O414" t="str">
        <f t="shared" si="37"/>
        <v>03-2025</v>
      </c>
      <c r="P414" t="str">
        <f t="shared" si="38"/>
        <v/>
      </c>
      <c r="Q414">
        <f t="shared" si="39"/>
        <v>0</v>
      </c>
      <c r="R414">
        <f t="shared" si="40"/>
        <v>0</v>
      </c>
      <c r="S414" t="str">
        <f t="shared" si="41"/>
        <v>above 1 year</v>
      </c>
    </row>
    <row r="415" spans="1:19" x14ac:dyDescent="0.25">
      <c r="A415" s="6" t="s">
        <v>450</v>
      </c>
      <c r="B415" s="6" t="s">
        <v>14</v>
      </c>
      <c r="C415" s="6" t="s">
        <v>15</v>
      </c>
      <c r="D415" s="6" t="s">
        <v>208</v>
      </c>
      <c r="E415" s="6" t="s">
        <v>209</v>
      </c>
      <c r="F415" s="6" t="s">
        <v>210</v>
      </c>
      <c r="G415" s="6" t="s">
        <v>19</v>
      </c>
      <c r="H415" s="11">
        <v>46161</v>
      </c>
      <c r="I415" s="11"/>
      <c r="J415" s="6" t="s">
        <v>27</v>
      </c>
      <c r="K415" s="6"/>
      <c r="L415" s="6"/>
      <c r="M415" s="6">
        <v>42</v>
      </c>
      <c r="N415">
        <f t="shared" si="36"/>
        <v>0</v>
      </c>
      <c r="O415" t="str">
        <f t="shared" si="37"/>
        <v>05-2026</v>
      </c>
      <c r="P415" t="str">
        <f t="shared" si="38"/>
        <v/>
      </c>
      <c r="Q415">
        <f t="shared" si="39"/>
        <v>0</v>
      </c>
      <c r="R415">
        <f t="shared" si="40"/>
        <v>0</v>
      </c>
      <c r="S415" t="str">
        <f t="shared" si="41"/>
        <v>0-90</v>
      </c>
    </row>
    <row r="416" spans="1:19" x14ac:dyDescent="0.25">
      <c r="A416" s="6" t="s">
        <v>451</v>
      </c>
      <c r="B416" s="6" t="s">
        <v>14</v>
      </c>
      <c r="C416" s="6" t="s">
        <v>15</v>
      </c>
      <c r="D416" s="6" t="s">
        <v>208</v>
      </c>
      <c r="E416" s="6" t="s">
        <v>209</v>
      </c>
      <c r="F416" s="6" t="s">
        <v>210</v>
      </c>
      <c r="G416" s="6" t="s">
        <v>19</v>
      </c>
      <c r="H416" s="11">
        <v>46161</v>
      </c>
      <c r="I416" s="11">
        <v>46161</v>
      </c>
      <c r="J416" s="6" t="s">
        <v>20</v>
      </c>
      <c r="K416" s="6" t="s">
        <v>21</v>
      </c>
      <c r="L416" s="6" t="s">
        <v>50</v>
      </c>
      <c r="M416" s="6">
        <v>0</v>
      </c>
      <c r="N416">
        <f t="shared" si="36"/>
        <v>1</v>
      </c>
      <c r="O416" t="str">
        <f t="shared" si="37"/>
        <v>05-2026</v>
      </c>
      <c r="P416" t="str">
        <f t="shared" si="38"/>
        <v>05-2026</v>
      </c>
      <c r="Q416">
        <f t="shared" si="39"/>
        <v>1</v>
      </c>
      <c r="R416">
        <f t="shared" si="40"/>
        <v>0</v>
      </c>
      <c r="S416" t="str">
        <f t="shared" si="41"/>
        <v>0-90</v>
      </c>
    </row>
    <row r="417" spans="1:19" x14ac:dyDescent="0.25">
      <c r="A417" s="6" t="s">
        <v>452</v>
      </c>
      <c r="B417" s="6" t="s">
        <v>14</v>
      </c>
      <c r="C417" s="6" t="s">
        <v>15</v>
      </c>
      <c r="D417" s="6" t="s">
        <v>208</v>
      </c>
      <c r="E417" s="6" t="s">
        <v>209</v>
      </c>
      <c r="F417" s="6" t="s">
        <v>210</v>
      </c>
      <c r="G417" s="6" t="s">
        <v>19</v>
      </c>
      <c r="H417" s="11">
        <v>45980</v>
      </c>
      <c r="I417" s="11">
        <v>46124</v>
      </c>
      <c r="J417" s="6" t="s">
        <v>20</v>
      </c>
      <c r="K417" s="6" t="s">
        <v>24</v>
      </c>
      <c r="L417" s="6" t="s">
        <v>41</v>
      </c>
      <c r="M417" s="6">
        <v>144</v>
      </c>
      <c r="N417">
        <f t="shared" si="36"/>
        <v>1</v>
      </c>
      <c r="O417" t="str">
        <f t="shared" si="37"/>
        <v>11-2025</v>
      </c>
      <c r="P417" t="str">
        <f t="shared" si="38"/>
        <v>04-2026</v>
      </c>
      <c r="Q417">
        <f t="shared" si="39"/>
        <v>0</v>
      </c>
      <c r="R417">
        <f t="shared" si="40"/>
        <v>1</v>
      </c>
      <c r="S417" t="str">
        <f t="shared" si="41"/>
        <v>90-180</v>
      </c>
    </row>
    <row r="418" spans="1:19" x14ac:dyDescent="0.25">
      <c r="A418" s="6" t="s">
        <v>453</v>
      </c>
      <c r="B418" s="6" t="s">
        <v>14</v>
      </c>
      <c r="C418" s="6" t="s">
        <v>15</v>
      </c>
      <c r="D418" s="6" t="s">
        <v>208</v>
      </c>
      <c r="E418" s="6" t="s">
        <v>209</v>
      </c>
      <c r="F418" s="6" t="s">
        <v>210</v>
      </c>
      <c r="G418" s="6" t="s">
        <v>19</v>
      </c>
      <c r="H418" s="11">
        <v>45767</v>
      </c>
      <c r="I418" s="11">
        <v>46129</v>
      </c>
      <c r="J418" s="6" t="s">
        <v>20</v>
      </c>
      <c r="K418" s="6" t="s">
        <v>21</v>
      </c>
      <c r="L418" s="6" t="s">
        <v>33</v>
      </c>
      <c r="M418" s="6">
        <v>362</v>
      </c>
      <c r="N418">
        <f t="shared" si="36"/>
        <v>1</v>
      </c>
      <c r="O418" t="str">
        <f t="shared" si="37"/>
        <v>04-2025</v>
      </c>
      <c r="P418" t="str">
        <f t="shared" si="38"/>
        <v>04-2026</v>
      </c>
      <c r="Q418">
        <f t="shared" si="39"/>
        <v>1</v>
      </c>
      <c r="R418">
        <f t="shared" si="40"/>
        <v>0</v>
      </c>
      <c r="S418" t="str">
        <f t="shared" si="41"/>
        <v>180-365</v>
      </c>
    </row>
    <row r="419" spans="1:19" x14ac:dyDescent="0.25">
      <c r="A419" s="6" t="s">
        <v>454</v>
      </c>
      <c r="B419" s="6" t="s">
        <v>14</v>
      </c>
      <c r="C419" s="6" t="s">
        <v>15</v>
      </c>
      <c r="D419" s="6" t="s">
        <v>208</v>
      </c>
      <c r="E419" s="6" t="s">
        <v>209</v>
      </c>
      <c r="F419" s="6" t="s">
        <v>210</v>
      </c>
      <c r="G419" s="6" t="s">
        <v>19</v>
      </c>
      <c r="H419" s="11">
        <v>46132</v>
      </c>
      <c r="I419" s="11">
        <v>46202</v>
      </c>
      <c r="J419" s="6" t="s">
        <v>20</v>
      </c>
      <c r="K419" s="6" t="s">
        <v>24</v>
      </c>
      <c r="L419" s="6" t="s">
        <v>55</v>
      </c>
      <c r="M419" s="6">
        <v>70</v>
      </c>
      <c r="N419">
        <f t="shared" si="36"/>
        <v>1</v>
      </c>
      <c r="O419" t="str">
        <f t="shared" si="37"/>
        <v>04-2026</v>
      </c>
      <c r="P419" t="str">
        <f t="shared" si="38"/>
        <v>06-2026</v>
      </c>
      <c r="Q419">
        <f t="shared" si="39"/>
        <v>0</v>
      </c>
      <c r="R419">
        <f t="shared" si="40"/>
        <v>1</v>
      </c>
      <c r="S419" t="str">
        <f t="shared" si="41"/>
        <v>0-90</v>
      </c>
    </row>
    <row r="420" spans="1:19" x14ac:dyDescent="0.25">
      <c r="A420" s="6" t="s">
        <v>455</v>
      </c>
      <c r="B420" s="6" t="s">
        <v>14</v>
      </c>
      <c r="C420" s="6" t="s">
        <v>15</v>
      </c>
      <c r="D420" s="6" t="s">
        <v>208</v>
      </c>
      <c r="E420" s="6" t="s">
        <v>209</v>
      </c>
      <c r="F420" s="6" t="s">
        <v>210</v>
      </c>
      <c r="G420" s="6" t="s">
        <v>19</v>
      </c>
      <c r="H420" s="11">
        <v>46132</v>
      </c>
      <c r="I420" s="11">
        <v>46200</v>
      </c>
      <c r="J420" s="6" t="s">
        <v>20</v>
      </c>
      <c r="K420" s="6" t="s">
        <v>24</v>
      </c>
      <c r="L420" s="6" t="s">
        <v>41</v>
      </c>
      <c r="M420" s="6">
        <v>68</v>
      </c>
      <c r="N420">
        <f t="shared" si="36"/>
        <v>1</v>
      </c>
      <c r="O420" t="str">
        <f t="shared" si="37"/>
        <v>04-2026</v>
      </c>
      <c r="P420" t="str">
        <f t="shared" si="38"/>
        <v>06-2026</v>
      </c>
      <c r="Q420">
        <f t="shared" si="39"/>
        <v>0</v>
      </c>
      <c r="R420">
        <f t="shared" si="40"/>
        <v>1</v>
      </c>
      <c r="S420" t="str">
        <f t="shared" si="41"/>
        <v>0-90</v>
      </c>
    </row>
    <row r="421" spans="1:19" x14ac:dyDescent="0.25">
      <c r="A421" s="6" t="s">
        <v>456</v>
      </c>
      <c r="B421" s="6" t="s">
        <v>14</v>
      </c>
      <c r="C421" s="6" t="s">
        <v>15</v>
      </c>
      <c r="D421" s="6" t="s">
        <v>208</v>
      </c>
      <c r="E421" s="6" t="s">
        <v>209</v>
      </c>
      <c r="F421" s="6" t="s">
        <v>210</v>
      </c>
      <c r="G421" s="6" t="s">
        <v>19</v>
      </c>
      <c r="H421" s="11">
        <v>46042</v>
      </c>
      <c r="I421" s="11">
        <v>46115</v>
      </c>
      <c r="J421" s="6" t="s">
        <v>20</v>
      </c>
      <c r="K421" s="6" t="s">
        <v>24</v>
      </c>
      <c r="L421" s="6" t="s">
        <v>55</v>
      </c>
      <c r="M421" s="6">
        <v>73</v>
      </c>
      <c r="N421">
        <f t="shared" si="36"/>
        <v>1</v>
      </c>
      <c r="O421" t="str">
        <f t="shared" si="37"/>
        <v>01-2026</v>
      </c>
      <c r="P421" t="str">
        <f t="shared" si="38"/>
        <v>04-2026</v>
      </c>
      <c r="Q421">
        <f t="shared" si="39"/>
        <v>0</v>
      </c>
      <c r="R421">
        <f t="shared" si="40"/>
        <v>1</v>
      </c>
      <c r="S421" t="str">
        <f t="shared" si="41"/>
        <v>0-90</v>
      </c>
    </row>
    <row r="422" spans="1:19" x14ac:dyDescent="0.25">
      <c r="A422" s="6" t="s">
        <v>457</v>
      </c>
      <c r="B422" s="6" t="s">
        <v>14</v>
      </c>
      <c r="C422" s="6" t="s">
        <v>15</v>
      </c>
      <c r="D422" s="6" t="s">
        <v>208</v>
      </c>
      <c r="E422" s="6" t="s">
        <v>209</v>
      </c>
      <c r="F422" s="6" t="s">
        <v>210</v>
      </c>
      <c r="G422" s="6" t="s">
        <v>19</v>
      </c>
      <c r="H422" s="11">
        <v>46042</v>
      </c>
      <c r="I422" s="11">
        <v>46132</v>
      </c>
      <c r="J422" s="6" t="s">
        <v>20</v>
      </c>
      <c r="K422" s="6" t="s">
        <v>24</v>
      </c>
      <c r="L422" s="6" t="s">
        <v>44</v>
      </c>
      <c r="M422" s="6">
        <v>90</v>
      </c>
      <c r="N422">
        <f t="shared" si="36"/>
        <v>1</v>
      </c>
      <c r="O422" t="str">
        <f t="shared" si="37"/>
        <v>01-2026</v>
      </c>
      <c r="P422" t="str">
        <f t="shared" si="38"/>
        <v>04-2026</v>
      </c>
      <c r="Q422">
        <f t="shared" si="39"/>
        <v>0</v>
      </c>
      <c r="R422">
        <f t="shared" si="40"/>
        <v>1</v>
      </c>
      <c r="S422" t="str">
        <f t="shared" si="41"/>
        <v>90-180</v>
      </c>
    </row>
    <row r="423" spans="1:19" x14ac:dyDescent="0.25">
      <c r="A423" s="6" t="s">
        <v>458</v>
      </c>
      <c r="B423" s="6" t="s">
        <v>14</v>
      </c>
      <c r="C423" s="6" t="s">
        <v>15</v>
      </c>
      <c r="D423" s="6" t="s">
        <v>208</v>
      </c>
      <c r="E423" s="6" t="s">
        <v>209</v>
      </c>
      <c r="F423" s="6" t="s">
        <v>210</v>
      </c>
      <c r="G423" s="6" t="s">
        <v>19</v>
      </c>
      <c r="H423" s="11">
        <v>46193</v>
      </c>
      <c r="I423" s="11">
        <v>46198</v>
      </c>
      <c r="J423" s="6" t="s">
        <v>20</v>
      </c>
      <c r="K423" s="6" t="s">
        <v>21</v>
      </c>
      <c r="L423" s="6" t="s">
        <v>33</v>
      </c>
      <c r="M423" s="6">
        <v>5</v>
      </c>
      <c r="N423">
        <f t="shared" si="36"/>
        <v>1</v>
      </c>
      <c r="O423" t="str">
        <f t="shared" si="37"/>
        <v>06-2026</v>
      </c>
      <c r="P423" t="str">
        <f t="shared" si="38"/>
        <v>06-2026</v>
      </c>
      <c r="Q423">
        <f t="shared" si="39"/>
        <v>1</v>
      </c>
      <c r="R423">
        <f t="shared" si="40"/>
        <v>0</v>
      </c>
      <c r="S423" t="str">
        <f t="shared" si="41"/>
        <v>0-90</v>
      </c>
    </row>
    <row r="424" spans="1:19" x14ac:dyDescent="0.25">
      <c r="A424" s="6" t="s">
        <v>459</v>
      </c>
      <c r="B424" s="6" t="s">
        <v>14</v>
      </c>
      <c r="C424" s="6" t="s">
        <v>15</v>
      </c>
      <c r="D424" s="6" t="s">
        <v>208</v>
      </c>
      <c r="E424" s="6" t="s">
        <v>209</v>
      </c>
      <c r="F424" s="6" t="s">
        <v>210</v>
      </c>
      <c r="G424" s="6" t="s">
        <v>19</v>
      </c>
      <c r="H424" s="11">
        <v>46193</v>
      </c>
      <c r="I424" s="11">
        <v>46199</v>
      </c>
      <c r="J424" s="6" t="s">
        <v>20</v>
      </c>
      <c r="K424" s="6" t="s">
        <v>21</v>
      </c>
      <c r="L424" s="6" t="s">
        <v>37</v>
      </c>
      <c r="M424" s="6">
        <v>6</v>
      </c>
      <c r="N424">
        <f t="shared" si="36"/>
        <v>1</v>
      </c>
      <c r="O424" t="str">
        <f t="shared" si="37"/>
        <v>06-2026</v>
      </c>
      <c r="P424" t="str">
        <f t="shared" si="38"/>
        <v>06-2026</v>
      </c>
      <c r="Q424">
        <f t="shared" si="39"/>
        <v>1</v>
      </c>
      <c r="R424">
        <f t="shared" si="40"/>
        <v>0</v>
      </c>
      <c r="S424" t="str">
        <f t="shared" si="41"/>
        <v>0-90</v>
      </c>
    </row>
    <row r="425" spans="1:19" x14ac:dyDescent="0.25">
      <c r="A425" s="6" t="s">
        <v>460</v>
      </c>
      <c r="B425" s="6" t="s">
        <v>14</v>
      </c>
      <c r="C425" s="6" t="s">
        <v>15</v>
      </c>
      <c r="D425" s="6" t="s">
        <v>208</v>
      </c>
      <c r="E425" s="6" t="s">
        <v>209</v>
      </c>
      <c r="F425" s="6" t="s">
        <v>210</v>
      </c>
      <c r="G425" s="6" t="s">
        <v>19</v>
      </c>
      <c r="H425" s="11">
        <v>46193</v>
      </c>
      <c r="I425" s="11"/>
      <c r="J425" s="6" t="s">
        <v>27</v>
      </c>
      <c r="K425" s="6"/>
      <c r="L425" s="6"/>
      <c r="M425" s="6">
        <v>10</v>
      </c>
      <c r="N425">
        <f t="shared" si="36"/>
        <v>0</v>
      </c>
      <c r="O425" t="str">
        <f t="shared" si="37"/>
        <v>06-2026</v>
      </c>
      <c r="P425" t="str">
        <f t="shared" si="38"/>
        <v/>
      </c>
      <c r="Q425">
        <f t="shared" si="39"/>
        <v>0</v>
      </c>
      <c r="R425">
        <f t="shared" si="40"/>
        <v>0</v>
      </c>
      <c r="S425" t="str">
        <f t="shared" si="41"/>
        <v>0-90</v>
      </c>
    </row>
    <row r="426" spans="1:19" x14ac:dyDescent="0.25">
      <c r="A426" s="6" t="s">
        <v>461</v>
      </c>
      <c r="B426" s="6" t="s">
        <v>14</v>
      </c>
      <c r="C426" s="6" t="s">
        <v>15</v>
      </c>
      <c r="D426" s="6" t="s">
        <v>208</v>
      </c>
      <c r="E426" s="6" t="s">
        <v>209</v>
      </c>
      <c r="F426" s="6" t="s">
        <v>210</v>
      </c>
      <c r="G426" s="6" t="s">
        <v>19</v>
      </c>
      <c r="H426" s="11">
        <v>46193</v>
      </c>
      <c r="I426" s="11"/>
      <c r="J426" s="6" t="s">
        <v>27</v>
      </c>
      <c r="K426" s="6"/>
      <c r="L426" s="6"/>
      <c r="M426" s="6">
        <v>10</v>
      </c>
      <c r="N426">
        <f t="shared" si="36"/>
        <v>0</v>
      </c>
      <c r="O426" t="str">
        <f t="shared" si="37"/>
        <v>06-2026</v>
      </c>
      <c r="P426" t="str">
        <f t="shared" si="38"/>
        <v/>
      </c>
      <c r="Q426">
        <f t="shared" si="39"/>
        <v>0</v>
      </c>
      <c r="R426">
        <f t="shared" si="40"/>
        <v>0</v>
      </c>
      <c r="S426" t="str">
        <f t="shared" si="41"/>
        <v>0-90</v>
      </c>
    </row>
    <row r="427" spans="1:19" x14ac:dyDescent="0.25">
      <c r="A427" s="6" t="s">
        <v>462</v>
      </c>
      <c r="B427" s="6" t="s">
        <v>14</v>
      </c>
      <c r="C427" s="6" t="s">
        <v>15</v>
      </c>
      <c r="D427" s="6" t="s">
        <v>208</v>
      </c>
      <c r="E427" s="6" t="s">
        <v>209</v>
      </c>
      <c r="F427" s="6" t="s">
        <v>210</v>
      </c>
      <c r="G427" s="6" t="s">
        <v>19</v>
      </c>
      <c r="H427" s="11">
        <v>45736</v>
      </c>
      <c r="I427" s="11"/>
      <c r="J427" s="6" t="s">
        <v>27</v>
      </c>
      <c r="K427" s="6"/>
      <c r="L427" s="6"/>
      <c r="M427" s="6">
        <v>467</v>
      </c>
      <c r="N427">
        <f t="shared" si="36"/>
        <v>0</v>
      </c>
      <c r="O427" t="str">
        <f t="shared" si="37"/>
        <v>03-2025</v>
      </c>
      <c r="P427" t="str">
        <f t="shared" si="38"/>
        <v/>
      </c>
      <c r="Q427">
        <f t="shared" si="39"/>
        <v>0</v>
      </c>
      <c r="R427">
        <f t="shared" si="40"/>
        <v>0</v>
      </c>
      <c r="S427" t="str">
        <f t="shared" si="41"/>
        <v>above 1 year</v>
      </c>
    </row>
    <row r="428" spans="1:19" x14ac:dyDescent="0.25">
      <c r="A428" s="6" t="s">
        <v>463</v>
      </c>
      <c r="B428" s="6" t="s">
        <v>14</v>
      </c>
      <c r="C428" s="6" t="s">
        <v>15</v>
      </c>
      <c r="D428" s="6" t="s">
        <v>208</v>
      </c>
      <c r="E428" s="6" t="s">
        <v>209</v>
      </c>
      <c r="F428" s="6" t="s">
        <v>210</v>
      </c>
      <c r="G428" s="6" t="s">
        <v>19</v>
      </c>
      <c r="H428" s="11">
        <v>45797</v>
      </c>
      <c r="I428" s="11">
        <v>46145</v>
      </c>
      <c r="J428" s="6" t="s">
        <v>20</v>
      </c>
      <c r="K428" s="6" t="s">
        <v>24</v>
      </c>
      <c r="L428" s="6" t="s">
        <v>25</v>
      </c>
      <c r="M428" s="6">
        <v>348</v>
      </c>
      <c r="N428">
        <f t="shared" si="36"/>
        <v>1</v>
      </c>
      <c r="O428" t="str">
        <f t="shared" si="37"/>
        <v>05-2025</v>
      </c>
      <c r="P428" t="str">
        <f t="shared" si="38"/>
        <v>05-2026</v>
      </c>
      <c r="Q428">
        <f t="shared" si="39"/>
        <v>0</v>
      </c>
      <c r="R428">
        <f t="shared" si="40"/>
        <v>1</v>
      </c>
      <c r="S428" t="str">
        <f t="shared" si="41"/>
        <v>180-365</v>
      </c>
    </row>
    <row r="429" spans="1:19" x14ac:dyDescent="0.25">
      <c r="A429" s="6" t="s">
        <v>464</v>
      </c>
      <c r="B429" s="6" t="s">
        <v>14</v>
      </c>
      <c r="C429" s="6" t="s">
        <v>15</v>
      </c>
      <c r="D429" s="6" t="s">
        <v>208</v>
      </c>
      <c r="E429" s="6" t="s">
        <v>209</v>
      </c>
      <c r="F429" s="6" t="s">
        <v>210</v>
      </c>
      <c r="G429" s="6" t="s">
        <v>19</v>
      </c>
      <c r="H429" s="11">
        <v>46162</v>
      </c>
      <c r="I429" s="11"/>
      <c r="J429" s="6" t="s">
        <v>27</v>
      </c>
      <c r="K429" s="6"/>
      <c r="L429" s="6"/>
      <c r="M429" s="6">
        <v>41</v>
      </c>
      <c r="N429">
        <f t="shared" si="36"/>
        <v>0</v>
      </c>
      <c r="O429" t="str">
        <f t="shared" si="37"/>
        <v>05-2026</v>
      </c>
      <c r="P429" t="str">
        <f t="shared" si="38"/>
        <v/>
      </c>
      <c r="Q429">
        <f t="shared" si="39"/>
        <v>0</v>
      </c>
      <c r="R429">
        <f t="shared" si="40"/>
        <v>0</v>
      </c>
      <c r="S429" t="str">
        <f t="shared" si="41"/>
        <v>0-90</v>
      </c>
    </row>
    <row r="430" spans="1:19" x14ac:dyDescent="0.25">
      <c r="A430" s="6" t="s">
        <v>465</v>
      </c>
      <c r="B430" s="6" t="s">
        <v>14</v>
      </c>
      <c r="C430" s="6" t="s">
        <v>15</v>
      </c>
      <c r="D430" s="6" t="s">
        <v>208</v>
      </c>
      <c r="E430" s="6" t="s">
        <v>209</v>
      </c>
      <c r="F430" s="6" t="s">
        <v>210</v>
      </c>
      <c r="G430" s="6" t="s">
        <v>19</v>
      </c>
      <c r="H430" s="11">
        <v>46162</v>
      </c>
      <c r="I430" s="11"/>
      <c r="J430" s="6" t="s">
        <v>27</v>
      </c>
      <c r="K430" s="6"/>
      <c r="L430" s="6"/>
      <c r="M430" s="6">
        <v>41</v>
      </c>
      <c r="N430">
        <f t="shared" si="36"/>
        <v>0</v>
      </c>
      <c r="O430" t="str">
        <f t="shared" si="37"/>
        <v>05-2026</v>
      </c>
      <c r="P430" t="str">
        <f t="shared" si="38"/>
        <v/>
      </c>
      <c r="Q430">
        <f t="shared" si="39"/>
        <v>0</v>
      </c>
      <c r="R430">
        <f t="shared" si="40"/>
        <v>0</v>
      </c>
      <c r="S430" t="str">
        <f t="shared" si="41"/>
        <v>0-90</v>
      </c>
    </row>
    <row r="431" spans="1:19" x14ac:dyDescent="0.25">
      <c r="A431" s="6" t="s">
        <v>466</v>
      </c>
      <c r="B431" s="6" t="s">
        <v>14</v>
      </c>
      <c r="C431" s="6" t="s">
        <v>15</v>
      </c>
      <c r="D431" s="6" t="s">
        <v>208</v>
      </c>
      <c r="E431" s="6" t="s">
        <v>209</v>
      </c>
      <c r="F431" s="6" t="s">
        <v>210</v>
      </c>
      <c r="G431" s="6" t="s">
        <v>19</v>
      </c>
      <c r="H431" s="11">
        <v>46162</v>
      </c>
      <c r="I431" s="11"/>
      <c r="J431" s="6" t="s">
        <v>27</v>
      </c>
      <c r="K431" s="6"/>
      <c r="L431" s="6"/>
      <c r="M431" s="6">
        <v>41</v>
      </c>
      <c r="N431">
        <f t="shared" si="36"/>
        <v>0</v>
      </c>
      <c r="O431" t="str">
        <f t="shared" si="37"/>
        <v>05-2026</v>
      </c>
      <c r="P431" t="str">
        <f t="shared" si="38"/>
        <v/>
      </c>
      <c r="Q431">
        <f t="shared" si="39"/>
        <v>0</v>
      </c>
      <c r="R431">
        <f t="shared" si="40"/>
        <v>0</v>
      </c>
      <c r="S431" t="str">
        <f t="shared" si="41"/>
        <v>0-90</v>
      </c>
    </row>
    <row r="432" spans="1:19" x14ac:dyDescent="0.25">
      <c r="A432" s="6" t="s">
        <v>467</v>
      </c>
      <c r="B432" s="6" t="s">
        <v>14</v>
      </c>
      <c r="C432" s="6" t="s">
        <v>15</v>
      </c>
      <c r="D432" s="6" t="s">
        <v>208</v>
      </c>
      <c r="E432" s="6" t="s">
        <v>209</v>
      </c>
      <c r="F432" s="6" t="s">
        <v>210</v>
      </c>
      <c r="G432" s="6" t="s">
        <v>19</v>
      </c>
      <c r="H432" s="11">
        <v>46133</v>
      </c>
      <c r="I432" s="11"/>
      <c r="J432" s="6" t="s">
        <v>27</v>
      </c>
      <c r="K432" s="6"/>
      <c r="L432" s="6"/>
      <c r="M432" s="6">
        <v>70</v>
      </c>
      <c r="N432">
        <f t="shared" si="36"/>
        <v>0</v>
      </c>
      <c r="O432" t="str">
        <f t="shared" si="37"/>
        <v>04-2026</v>
      </c>
      <c r="P432" t="str">
        <f t="shared" si="38"/>
        <v/>
      </c>
      <c r="Q432">
        <f t="shared" si="39"/>
        <v>0</v>
      </c>
      <c r="R432">
        <f t="shared" si="40"/>
        <v>0</v>
      </c>
      <c r="S432" t="str">
        <f t="shared" si="41"/>
        <v>0-90</v>
      </c>
    </row>
    <row r="433" spans="1:19" x14ac:dyDescent="0.25">
      <c r="A433" s="6" t="s">
        <v>468</v>
      </c>
      <c r="B433" s="6" t="s">
        <v>14</v>
      </c>
      <c r="C433" s="6" t="s">
        <v>15</v>
      </c>
      <c r="D433" s="6" t="s">
        <v>208</v>
      </c>
      <c r="E433" s="6" t="s">
        <v>209</v>
      </c>
      <c r="F433" s="6" t="s">
        <v>210</v>
      </c>
      <c r="G433" s="6" t="s">
        <v>19</v>
      </c>
      <c r="H433" s="11">
        <v>46133</v>
      </c>
      <c r="I433" s="11">
        <v>46158</v>
      </c>
      <c r="J433" s="6" t="s">
        <v>20</v>
      </c>
      <c r="K433" s="6" t="s">
        <v>24</v>
      </c>
      <c r="L433" s="6" t="s">
        <v>41</v>
      </c>
      <c r="M433" s="6">
        <v>25</v>
      </c>
      <c r="N433">
        <f t="shared" si="36"/>
        <v>1</v>
      </c>
      <c r="O433" t="str">
        <f t="shared" si="37"/>
        <v>04-2026</v>
      </c>
      <c r="P433" t="str">
        <f t="shared" si="38"/>
        <v>05-2026</v>
      </c>
      <c r="Q433">
        <f t="shared" si="39"/>
        <v>0</v>
      </c>
      <c r="R433">
        <f t="shared" si="40"/>
        <v>1</v>
      </c>
      <c r="S433" t="str">
        <f t="shared" si="41"/>
        <v>0-90</v>
      </c>
    </row>
    <row r="434" spans="1:19" x14ac:dyDescent="0.25">
      <c r="A434" s="6" t="s">
        <v>469</v>
      </c>
      <c r="B434" s="6" t="s">
        <v>14</v>
      </c>
      <c r="C434" s="6" t="s">
        <v>15</v>
      </c>
      <c r="D434" s="6" t="s">
        <v>208</v>
      </c>
      <c r="E434" s="6" t="s">
        <v>209</v>
      </c>
      <c r="F434" s="6" t="s">
        <v>210</v>
      </c>
      <c r="G434" s="6" t="s">
        <v>19</v>
      </c>
      <c r="H434" s="11">
        <v>46133</v>
      </c>
      <c r="I434" s="11">
        <v>46193</v>
      </c>
      <c r="J434" s="6" t="s">
        <v>20</v>
      </c>
      <c r="K434" s="6" t="s">
        <v>24</v>
      </c>
      <c r="L434" s="6" t="s">
        <v>55</v>
      </c>
      <c r="M434" s="6">
        <v>60</v>
      </c>
      <c r="N434">
        <f t="shared" si="36"/>
        <v>1</v>
      </c>
      <c r="O434" t="str">
        <f t="shared" si="37"/>
        <v>04-2026</v>
      </c>
      <c r="P434" t="str">
        <f t="shared" si="38"/>
        <v>06-2026</v>
      </c>
      <c r="Q434">
        <f t="shared" si="39"/>
        <v>0</v>
      </c>
      <c r="R434">
        <f t="shared" si="40"/>
        <v>1</v>
      </c>
      <c r="S434" t="str">
        <f t="shared" si="41"/>
        <v>0-90</v>
      </c>
    </row>
    <row r="435" spans="1:19" x14ac:dyDescent="0.25">
      <c r="A435" s="6" t="s">
        <v>470</v>
      </c>
      <c r="B435" s="6" t="s">
        <v>14</v>
      </c>
      <c r="C435" s="6" t="s">
        <v>15</v>
      </c>
      <c r="D435" s="6" t="s">
        <v>208</v>
      </c>
      <c r="E435" s="6" t="s">
        <v>209</v>
      </c>
      <c r="F435" s="6" t="s">
        <v>210</v>
      </c>
      <c r="G435" s="6" t="s">
        <v>19</v>
      </c>
      <c r="H435" s="11">
        <v>45829</v>
      </c>
      <c r="I435" s="11">
        <v>46166</v>
      </c>
      <c r="J435" s="6" t="s">
        <v>20</v>
      </c>
      <c r="K435" s="6" t="s">
        <v>24</v>
      </c>
      <c r="L435" s="6" t="s">
        <v>55</v>
      </c>
      <c r="M435" s="6">
        <v>337</v>
      </c>
      <c r="N435">
        <f t="shared" si="36"/>
        <v>1</v>
      </c>
      <c r="O435" t="str">
        <f t="shared" si="37"/>
        <v>06-2025</v>
      </c>
      <c r="P435" t="str">
        <f t="shared" si="38"/>
        <v>05-2026</v>
      </c>
      <c r="Q435">
        <f t="shared" si="39"/>
        <v>0</v>
      </c>
      <c r="R435">
        <f t="shared" si="40"/>
        <v>1</v>
      </c>
      <c r="S435" t="str">
        <f t="shared" si="41"/>
        <v>180-365</v>
      </c>
    </row>
    <row r="436" spans="1:19" x14ac:dyDescent="0.25">
      <c r="A436" s="6" t="s">
        <v>471</v>
      </c>
      <c r="B436" s="6" t="s">
        <v>14</v>
      </c>
      <c r="C436" s="6" t="s">
        <v>15</v>
      </c>
      <c r="D436" s="6" t="s">
        <v>208</v>
      </c>
      <c r="E436" s="6" t="s">
        <v>209</v>
      </c>
      <c r="F436" s="6" t="s">
        <v>210</v>
      </c>
      <c r="G436" s="6" t="s">
        <v>19</v>
      </c>
      <c r="H436" s="11">
        <v>46194</v>
      </c>
      <c r="I436" s="11">
        <v>46197</v>
      </c>
      <c r="J436" s="6" t="s">
        <v>20</v>
      </c>
      <c r="K436" s="6" t="s">
        <v>21</v>
      </c>
      <c r="L436" s="6" t="s">
        <v>37</v>
      </c>
      <c r="M436" s="6">
        <v>3</v>
      </c>
      <c r="N436">
        <f t="shared" si="36"/>
        <v>1</v>
      </c>
      <c r="O436" t="str">
        <f t="shared" si="37"/>
        <v>06-2026</v>
      </c>
      <c r="P436" t="str">
        <f t="shared" si="38"/>
        <v>06-2026</v>
      </c>
      <c r="Q436">
        <f t="shared" si="39"/>
        <v>1</v>
      </c>
      <c r="R436">
        <f t="shared" si="40"/>
        <v>0</v>
      </c>
      <c r="S436" t="str">
        <f t="shared" si="41"/>
        <v>0-90</v>
      </c>
    </row>
    <row r="437" spans="1:19" x14ac:dyDescent="0.25">
      <c r="A437" s="6" t="s">
        <v>472</v>
      </c>
      <c r="B437" s="6" t="s">
        <v>14</v>
      </c>
      <c r="C437" s="6" t="s">
        <v>15</v>
      </c>
      <c r="D437" s="6" t="s">
        <v>208</v>
      </c>
      <c r="E437" s="6" t="s">
        <v>209</v>
      </c>
      <c r="F437" s="6" t="s">
        <v>210</v>
      </c>
      <c r="G437" s="6" t="s">
        <v>19</v>
      </c>
      <c r="H437" s="11">
        <v>46194</v>
      </c>
      <c r="I437" s="11">
        <v>46194</v>
      </c>
      <c r="J437" s="6" t="s">
        <v>20</v>
      </c>
      <c r="K437" s="6" t="s">
        <v>21</v>
      </c>
      <c r="L437" s="6" t="s">
        <v>50</v>
      </c>
      <c r="M437" s="6">
        <v>0</v>
      </c>
      <c r="N437">
        <f t="shared" si="36"/>
        <v>1</v>
      </c>
      <c r="O437" t="str">
        <f t="shared" si="37"/>
        <v>06-2026</v>
      </c>
      <c r="P437" t="str">
        <f t="shared" si="38"/>
        <v>06-2026</v>
      </c>
      <c r="Q437">
        <f t="shared" si="39"/>
        <v>1</v>
      </c>
      <c r="R437">
        <f t="shared" si="40"/>
        <v>0</v>
      </c>
      <c r="S437" t="str">
        <f t="shared" si="41"/>
        <v>0-90</v>
      </c>
    </row>
    <row r="438" spans="1:19" x14ac:dyDescent="0.25">
      <c r="A438" s="6" t="s">
        <v>473</v>
      </c>
      <c r="B438" s="6" t="s">
        <v>14</v>
      </c>
      <c r="C438" s="6" t="s">
        <v>15</v>
      </c>
      <c r="D438" s="6" t="s">
        <v>208</v>
      </c>
      <c r="E438" s="6" t="s">
        <v>209</v>
      </c>
      <c r="F438" s="6" t="s">
        <v>210</v>
      </c>
      <c r="G438" s="6" t="s">
        <v>19</v>
      </c>
      <c r="H438" s="11">
        <v>45798</v>
      </c>
      <c r="I438" s="11">
        <v>46134</v>
      </c>
      <c r="J438" s="6" t="s">
        <v>20</v>
      </c>
      <c r="K438" s="6" t="s">
        <v>24</v>
      </c>
      <c r="L438" s="6" t="s">
        <v>55</v>
      </c>
      <c r="M438" s="6">
        <v>336</v>
      </c>
      <c r="N438">
        <f t="shared" si="36"/>
        <v>1</v>
      </c>
      <c r="O438" t="str">
        <f t="shared" si="37"/>
        <v>05-2025</v>
      </c>
      <c r="P438" t="str">
        <f t="shared" si="38"/>
        <v>04-2026</v>
      </c>
      <c r="Q438">
        <f t="shared" si="39"/>
        <v>0</v>
      </c>
      <c r="R438">
        <f t="shared" si="40"/>
        <v>1</v>
      </c>
      <c r="S438" t="str">
        <f t="shared" si="41"/>
        <v>180-365</v>
      </c>
    </row>
    <row r="439" spans="1:19" x14ac:dyDescent="0.25">
      <c r="A439" s="6" t="s">
        <v>474</v>
      </c>
      <c r="B439" s="6" t="s">
        <v>14</v>
      </c>
      <c r="C439" s="6" t="s">
        <v>15</v>
      </c>
      <c r="D439" s="6" t="s">
        <v>208</v>
      </c>
      <c r="E439" s="6" t="s">
        <v>209</v>
      </c>
      <c r="F439" s="6" t="s">
        <v>210</v>
      </c>
      <c r="G439" s="6" t="s">
        <v>19</v>
      </c>
      <c r="H439" s="11">
        <v>46163</v>
      </c>
      <c r="I439" s="11">
        <v>46171</v>
      </c>
      <c r="J439" s="6" t="s">
        <v>20</v>
      </c>
      <c r="K439" s="6" t="s">
        <v>21</v>
      </c>
      <c r="L439" s="6" t="s">
        <v>30</v>
      </c>
      <c r="M439" s="6">
        <v>8</v>
      </c>
      <c r="N439">
        <f t="shared" si="36"/>
        <v>1</v>
      </c>
      <c r="O439" t="str">
        <f t="shared" si="37"/>
        <v>05-2026</v>
      </c>
      <c r="P439" t="str">
        <f t="shared" si="38"/>
        <v>05-2026</v>
      </c>
      <c r="Q439">
        <f t="shared" si="39"/>
        <v>1</v>
      </c>
      <c r="R439">
        <f t="shared" si="40"/>
        <v>0</v>
      </c>
      <c r="S439" t="str">
        <f t="shared" si="41"/>
        <v>0-90</v>
      </c>
    </row>
    <row r="440" spans="1:19" x14ac:dyDescent="0.25">
      <c r="A440" s="6" t="s">
        <v>475</v>
      </c>
      <c r="B440" s="6" t="s">
        <v>14</v>
      </c>
      <c r="C440" s="6" t="s">
        <v>15</v>
      </c>
      <c r="D440" s="6" t="s">
        <v>208</v>
      </c>
      <c r="E440" s="6" t="s">
        <v>209</v>
      </c>
      <c r="F440" s="6" t="s">
        <v>210</v>
      </c>
      <c r="G440" s="6" t="s">
        <v>19</v>
      </c>
      <c r="H440" s="11">
        <v>46163</v>
      </c>
      <c r="I440" s="11">
        <v>46198</v>
      </c>
      <c r="J440" s="6" t="s">
        <v>20</v>
      </c>
      <c r="K440" s="6" t="s">
        <v>24</v>
      </c>
      <c r="L440" s="6" t="s">
        <v>44</v>
      </c>
      <c r="M440" s="6">
        <v>35</v>
      </c>
      <c r="N440">
        <f t="shared" si="36"/>
        <v>1</v>
      </c>
      <c r="O440" t="str">
        <f t="shared" si="37"/>
        <v>05-2026</v>
      </c>
      <c r="P440" t="str">
        <f t="shared" si="38"/>
        <v>06-2026</v>
      </c>
      <c r="Q440">
        <f t="shared" si="39"/>
        <v>0</v>
      </c>
      <c r="R440">
        <f t="shared" si="40"/>
        <v>1</v>
      </c>
      <c r="S440" t="str">
        <f t="shared" si="41"/>
        <v>0-90</v>
      </c>
    </row>
    <row r="441" spans="1:19" x14ac:dyDescent="0.25">
      <c r="A441" s="6" t="s">
        <v>476</v>
      </c>
      <c r="B441" s="6" t="s">
        <v>14</v>
      </c>
      <c r="C441" s="6" t="s">
        <v>15</v>
      </c>
      <c r="D441" s="6" t="s">
        <v>208</v>
      </c>
      <c r="E441" s="6" t="s">
        <v>209</v>
      </c>
      <c r="F441" s="6" t="s">
        <v>210</v>
      </c>
      <c r="G441" s="6" t="s">
        <v>19</v>
      </c>
      <c r="H441" s="11">
        <v>46163</v>
      </c>
      <c r="I441" s="11"/>
      <c r="J441" s="6" t="s">
        <v>27</v>
      </c>
      <c r="K441" s="6"/>
      <c r="L441" s="6"/>
      <c r="M441" s="6">
        <v>40</v>
      </c>
      <c r="N441">
        <f t="shared" si="36"/>
        <v>0</v>
      </c>
      <c r="O441" t="str">
        <f t="shared" si="37"/>
        <v>05-2026</v>
      </c>
      <c r="P441" t="str">
        <f t="shared" si="38"/>
        <v/>
      </c>
      <c r="Q441">
        <f t="shared" si="39"/>
        <v>0</v>
      </c>
      <c r="R441">
        <f t="shared" si="40"/>
        <v>0</v>
      </c>
      <c r="S441" t="str">
        <f t="shared" si="41"/>
        <v>0-90</v>
      </c>
    </row>
    <row r="442" spans="1:19" x14ac:dyDescent="0.25">
      <c r="A442" s="6" t="s">
        <v>477</v>
      </c>
      <c r="B442" s="6" t="s">
        <v>14</v>
      </c>
      <c r="C442" s="6" t="s">
        <v>15</v>
      </c>
      <c r="D442" s="6" t="s">
        <v>208</v>
      </c>
      <c r="E442" s="6" t="s">
        <v>209</v>
      </c>
      <c r="F442" s="6" t="s">
        <v>210</v>
      </c>
      <c r="G442" s="6" t="s">
        <v>19</v>
      </c>
      <c r="H442" s="11">
        <v>46134</v>
      </c>
      <c r="I442" s="11">
        <v>46134</v>
      </c>
      <c r="J442" s="6" t="s">
        <v>20</v>
      </c>
      <c r="K442" s="6" t="s">
        <v>21</v>
      </c>
      <c r="L442" s="6" t="s">
        <v>37</v>
      </c>
      <c r="M442" s="6">
        <v>0</v>
      </c>
      <c r="N442">
        <f t="shared" si="36"/>
        <v>1</v>
      </c>
      <c r="O442" t="str">
        <f t="shared" si="37"/>
        <v>04-2026</v>
      </c>
      <c r="P442" t="str">
        <f t="shared" si="38"/>
        <v>04-2026</v>
      </c>
      <c r="Q442">
        <f t="shared" si="39"/>
        <v>1</v>
      </c>
      <c r="R442">
        <f t="shared" si="40"/>
        <v>0</v>
      </c>
      <c r="S442" t="str">
        <f t="shared" si="41"/>
        <v>0-90</v>
      </c>
    </row>
    <row r="443" spans="1:19" x14ac:dyDescent="0.25">
      <c r="A443" s="6" t="s">
        <v>478</v>
      </c>
      <c r="B443" s="6" t="s">
        <v>14</v>
      </c>
      <c r="C443" s="6" t="s">
        <v>15</v>
      </c>
      <c r="D443" s="6" t="s">
        <v>208</v>
      </c>
      <c r="E443" s="6" t="s">
        <v>209</v>
      </c>
      <c r="F443" s="6" t="s">
        <v>210</v>
      </c>
      <c r="G443" s="6" t="s">
        <v>19</v>
      </c>
      <c r="H443" s="11">
        <v>46134</v>
      </c>
      <c r="I443" s="11">
        <v>46200</v>
      </c>
      <c r="J443" s="6" t="s">
        <v>20</v>
      </c>
      <c r="K443" s="6" t="s">
        <v>24</v>
      </c>
      <c r="L443" s="6" t="s">
        <v>41</v>
      </c>
      <c r="M443" s="6">
        <v>66</v>
      </c>
      <c r="N443">
        <f t="shared" si="36"/>
        <v>1</v>
      </c>
      <c r="O443" t="str">
        <f t="shared" si="37"/>
        <v>04-2026</v>
      </c>
      <c r="P443" t="str">
        <f t="shared" si="38"/>
        <v>06-2026</v>
      </c>
      <c r="Q443">
        <f t="shared" si="39"/>
        <v>0</v>
      </c>
      <c r="R443">
        <f t="shared" si="40"/>
        <v>1</v>
      </c>
      <c r="S443" t="str">
        <f t="shared" si="41"/>
        <v>0-90</v>
      </c>
    </row>
    <row r="444" spans="1:19" x14ac:dyDescent="0.25">
      <c r="A444" s="6" t="s">
        <v>479</v>
      </c>
      <c r="B444" s="6" t="s">
        <v>14</v>
      </c>
      <c r="C444" s="6" t="s">
        <v>15</v>
      </c>
      <c r="D444" s="6" t="s">
        <v>208</v>
      </c>
      <c r="E444" s="6" t="s">
        <v>209</v>
      </c>
      <c r="F444" s="6" t="s">
        <v>210</v>
      </c>
      <c r="G444" s="6" t="s">
        <v>19</v>
      </c>
      <c r="H444" s="11">
        <v>46134</v>
      </c>
      <c r="I444" s="11"/>
      <c r="J444" s="6" t="s">
        <v>27</v>
      </c>
      <c r="K444" s="6"/>
      <c r="L444" s="6"/>
      <c r="M444" s="6">
        <v>69</v>
      </c>
      <c r="N444">
        <f t="shared" si="36"/>
        <v>0</v>
      </c>
      <c r="O444" t="str">
        <f t="shared" si="37"/>
        <v>04-2026</v>
      </c>
      <c r="P444" t="str">
        <f t="shared" si="38"/>
        <v/>
      </c>
      <c r="Q444">
        <f t="shared" si="39"/>
        <v>0</v>
      </c>
      <c r="R444">
        <f t="shared" si="40"/>
        <v>0</v>
      </c>
      <c r="S444" t="str">
        <f t="shared" si="41"/>
        <v>0-90</v>
      </c>
    </row>
    <row r="445" spans="1:19" x14ac:dyDescent="0.25">
      <c r="A445" s="6" t="s">
        <v>480</v>
      </c>
      <c r="B445" s="6" t="s">
        <v>14</v>
      </c>
      <c r="C445" s="6" t="s">
        <v>15</v>
      </c>
      <c r="D445" s="6" t="s">
        <v>208</v>
      </c>
      <c r="E445" s="6" t="s">
        <v>209</v>
      </c>
      <c r="F445" s="6" t="s">
        <v>210</v>
      </c>
      <c r="G445" s="6" t="s">
        <v>19</v>
      </c>
      <c r="H445" s="11">
        <v>45891</v>
      </c>
      <c r="I445" s="11">
        <v>46190</v>
      </c>
      <c r="J445" s="6" t="s">
        <v>20</v>
      </c>
      <c r="K445" s="6" t="s">
        <v>24</v>
      </c>
      <c r="L445" s="6" t="s">
        <v>44</v>
      </c>
      <c r="M445" s="6">
        <v>299</v>
      </c>
      <c r="N445">
        <f t="shared" si="36"/>
        <v>1</v>
      </c>
      <c r="O445" t="str">
        <f t="shared" si="37"/>
        <v>08-2025</v>
      </c>
      <c r="P445" t="str">
        <f t="shared" si="38"/>
        <v>06-2026</v>
      </c>
      <c r="Q445">
        <f t="shared" si="39"/>
        <v>0</v>
      </c>
      <c r="R445">
        <f t="shared" si="40"/>
        <v>1</v>
      </c>
      <c r="S445" t="str">
        <f t="shared" si="41"/>
        <v>180-365</v>
      </c>
    </row>
    <row r="446" spans="1:19" x14ac:dyDescent="0.25">
      <c r="A446" s="6" t="s">
        <v>481</v>
      </c>
      <c r="B446" s="6" t="s">
        <v>14</v>
      </c>
      <c r="C446" s="6" t="s">
        <v>15</v>
      </c>
      <c r="D446" s="6" t="s">
        <v>208</v>
      </c>
      <c r="E446" s="6" t="s">
        <v>209</v>
      </c>
      <c r="F446" s="6" t="s">
        <v>210</v>
      </c>
      <c r="G446" s="6" t="s">
        <v>19</v>
      </c>
      <c r="H446" s="11">
        <v>45891</v>
      </c>
      <c r="I446" s="11"/>
      <c r="J446" s="6" t="s">
        <v>27</v>
      </c>
      <c r="K446" s="6"/>
      <c r="L446" s="6"/>
      <c r="M446" s="6">
        <v>312</v>
      </c>
      <c r="N446">
        <f t="shared" si="36"/>
        <v>0</v>
      </c>
      <c r="O446" t="str">
        <f t="shared" si="37"/>
        <v>08-2025</v>
      </c>
      <c r="P446" t="str">
        <f t="shared" si="38"/>
        <v/>
      </c>
      <c r="Q446">
        <f t="shared" si="39"/>
        <v>0</v>
      </c>
      <c r="R446">
        <f t="shared" si="40"/>
        <v>0</v>
      </c>
      <c r="S446" t="str">
        <f t="shared" si="41"/>
        <v>180-365</v>
      </c>
    </row>
    <row r="447" spans="1:19" x14ac:dyDescent="0.25">
      <c r="A447" s="6" t="s">
        <v>482</v>
      </c>
      <c r="B447" s="6" t="s">
        <v>14</v>
      </c>
      <c r="C447" s="6" t="s">
        <v>15</v>
      </c>
      <c r="D447" s="6" t="s">
        <v>208</v>
      </c>
      <c r="E447" s="6" t="s">
        <v>209</v>
      </c>
      <c r="F447" s="6" t="s">
        <v>210</v>
      </c>
      <c r="G447" s="6" t="s">
        <v>19</v>
      </c>
      <c r="H447" s="11">
        <v>46013</v>
      </c>
      <c r="I447" s="11">
        <v>46137</v>
      </c>
      <c r="J447" s="6" t="s">
        <v>20</v>
      </c>
      <c r="K447" s="6" t="s">
        <v>24</v>
      </c>
      <c r="L447" s="6" t="s">
        <v>41</v>
      </c>
      <c r="M447" s="6">
        <v>124</v>
      </c>
      <c r="N447">
        <f t="shared" si="36"/>
        <v>1</v>
      </c>
      <c r="O447" t="str">
        <f t="shared" si="37"/>
        <v>12-2025</v>
      </c>
      <c r="P447" t="str">
        <f t="shared" si="38"/>
        <v>04-2026</v>
      </c>
      <c r="Q447">
        <f t="shared" si="39"/>
        <v>0</v>
      </c>
      <c r="R447">
        <f t="shared" si="40"/>
        <v>1</v>
      </c>
      <c r="S447" t="str">
        <f t="shared" si="41"/>
        <v>90-180</v>
      </c>
    </row>
    <row r="448" spans="1:19" x14ac:dyDescent="0.25">
      <c r="A448" s="6" t="s">
        <v>483</v>
      </c>
      <c r="B448" s="6" t="s">
        <v>14</v>
      </c>
      <c r="C448" s="6" t="s">
        <v>15</v>
      </c>
      <c r="D448" s="6" t="s">
        <v>208</v>
      </c>
      <c r="E448" s="6" t="s">
        <v>209</v>
      </c>
      <c r="F448" s="6" t="s">
        <v>210</v>
      </c>
      <c r="G448" s="6" t="s">
        <v>19</v>
      </c>
      <c r="H448" s="11">
        <v>46075</v>
      </c>
      <c r="I448" s="11">
        <v>46159</v>
      </c>
      <c r="J448" s="6" t="s">
        <v>20</v>
      </c>
      <c r="K448" s="6" t="s">
        <v>24</v>
      </c>
      <c r="L448" s="6" t="s">
        <v>55</v>
      </c>
      <c r="M448" s="6">
        <v>84</v>
      </c>
      <c r="N448">
        <f t="shared" si="36"/>
        <v>1</v>
      </c>
      <c r="O448" t="str">
        <f t="shared" si="37"/>
        <v>02-2026</v>
      </c>
      <c r="P448" t="str">
        <f t="shared" si="38"/>
        <v>05-2026</v>
      </c>
      <c r="Q448">
        <f t="shared" si="39"/>
        <v>0</v>
      </c>
      <c r="R448">
        <f t="shared" si="40"/>
        <v>1</v>
      </c>
      <c r="S448" t="str">
        <f t="shared" si="41"/>
        <v>0-90</v>
      </c>
    </row>
    <row r="449" spans="1:19" x14ac:dyDescent="0.25">
      <c r="A449" s="6" t="s">
        <v>484</v>
      </c>
      <c r="B449" s="6" t="s">
        <v>14</v>
      </c>
      <c r="C449" s="6" t="s">
        <v>15</v>
      </c>
      <c r="D449" s="6" t="s">
        <v>208</v>
      </c>
      <c r="E449" s="6" t="s">
        <v>209</v>
      </c>
      <c r="F449" s="6" t="s">
        <v>210</v>
      </c>
      <c r="G449" s="6" t="s">
        <v>19</v>
      </c>
      <c r="H449" s="11">
        <v>46044</v>
      </c>
      <c r="I449" s="11">
        <v>46123</v>
      </c>
      <c r="J449" s="6" t="s">
        <v>20</v>
      </c>
      <c r="K449" s="6" t="s">
        <v>24</v>
      </c>
      <c r="L449" s="6" t="s">
        <v>55</v>
      </c>
      <c r="M449" s="6">
        <v>79</v>
      </c>
      <c r="N449">
        <f t="shared" si="36"/>
        <v>1</v>
      </c>
      <c r="O449" t="str">
        <f t="shared" si="37"/>
        <v>01-2026</v>
      </c>
      <c r="P449" t="str">
        <f t="shared" si="38"/>
        <v>04-2026</v>
      </c>
      <c r="Q449">
        <f t="shared" si="39"/>
        <v>0</v>
      </c>
      <c r="R449">
        <f t="shared" si="40"/>
        <v>1</v>
      </c>
      <c r="S449" t="str">
        <f t="shared" si="41"/>
        <v>0-90</v>
      </c>
    </row>
    <row r="450" spans="1:19" x14ac:dyDescent="0.25">
      <c r="A450" s="6" t="s">
        <v>485</v>
      </c>
      <c r="B450" s="6" t="s">
        <v>14</v>
      </c>
      <c r="C450" s="6" t="s">
        <v>15</v>
      </c>
      <c r="D450" s="6" t="s">
        <v>208</v>
      </c>
      <c r="E450" s="6" t="s">
        <v>209</v>
      </c>
      <c r="F450" s="6" t="s">
        <v>210</v>
      </c>
      <c r="G450" s="6" t="s">
        <v>19</v>
      </c>
      <c r="H450" s="11">
        <v>46195</v>
      </c>
      <c r="I450" s="11">
        <v>46200</v>
      </c>
      <c r="J450" s="6" t="s">
        <v>20</v>
      </c>
      <c r="K450" s="6" t="s">
        <v>21</v>
      </c>
      <c r="L450" s="6" t="s">
        <v>30</v>
      </c>
      <c r="M450" s="6">
        <v>5</v>
      </c>
      <c r="N450">
        <f t="shared" si="36"/>
        <v>1</v>
      </c>
      <c r="O450" t="str">
        <f t="shared" si="37"/>
        <v>06-2026</v>
      </c>
      <c r="P450" t="str">
        <f t="shared" si="38"/>
        <v>06-2026</v>
      </c>
      <c r="Q450">
        <f t="shared" si="39"/>
        <v>1</v>
      </c>
      <c r="R450">
        <f t="shared" si="40"/>
        <v>0</v>
      </c>
      <c r="S450" t="str">
        <f t="shared" si="41"/>
        <v>0-90</v>
      </c>
    </row>
    <row r="451" spans="1:19" x14ac:dyDescent="0.25">
      <c r="A451" s="6" t="s">
        <v>486</v>
      </c>
      <c r="B451" s="6" t="s">
        <v>14</v>
      </c>
      <c r="C451" s="6" t="s">
        <v>15</v>
      </c>
      <c r="D451" s="6" t="s">
        <v>208</v>
      </c>
      <c r="E451" s="6" t="s">
        <v>209</v>
      </c>
      <c r="F451" s="6" t="s">
        <v>210</v>
      </c>
      <c r="G451" s="6" t="s">
        <v>19</v>
      </c>
      <c r="H451" s="11">
        <v>46195</v>
      </c>
      <c r="I451" s="11"/>
      <c r="J451" s="6" t="s">
        <v>27</v>
      </c>
      <c r="K451" s="6"/>
      <c r="L451" s="6"/>
      <c r="M451" s="6">
        <v>8</v>
      </c>
      <c r="N451">
        <f t="shared" ref="N451:N514" si="42">IF(J451="Relieved",1,0)</f>
        <v>0</v>
      </c>
      <c r="O451" t="str">
        <f t="shared" ref="O451:O514" si="43">TEXT(H451,"mm-yyyy")</f>
        <v>06-2026</v>
      </c>
      <c r="P451" t="str">
        <f t="shared" ref="P451:P514" si="44">IF(I451="","",TEXT(I451,"mm-yyyy"))</f>
        <v/>
      </c>
      <c r="Q451">
        <f t="shared" ref="Q451:Q514" si="45">IF(K451="Voluntary",1,0)</f>
        <v>0</v>
      </c>
      <c r="R451">
        <f t="shared" ref="R451:R514" si="46">IF(K451="Involuntary",1,0)</f>
        <v>0</v>
      </c>
      <c r="S451" t="str">
        <f t="shared" ref="S451:S514" si="47">IF(M451&lt;90,"0-90",IF(M451&lt;180,"90-180",IF(M451&lt;365,"180-365","above 1 year")))</f>
        <v>0-90</v>
      </c>
    </row>
    <row r="452" spans="1:19" x14ac:dyDescent="0.25">
      <c r="A452" s="6" t="s">
        <v>487</v>
      </c>
      <c r="B452" s="6" t="s">
        <v>14</v>
      </c>
      <c r="C452" s="6" t="s">
        <v>15</v>
      </c>
      <c r="D452" s="6" t="s">
        <v>208</v>
      </c>
      <c r="E452" s="6" t="s">
        <v>209</v>
      </c>
      <c r="F452" s="6" t="s">
        <v>210</v>
      </c>
      <c r="G452" s="6" t="s">
        <v>19</v>
      </c>
      <c r="H452" s="11">
        <v>46195</v>
      </c>
      <c r="I452" s="11">
        <v>46195</v>
      </c>
      <c r="J452" s="6" t="s">
        <v>20</v>
      </c>
      <c r="K452" s="6" t="s">
        <v>21</v>
      </c>
      <c r="L452" s="6" t="s">
        <v>37</v>
      </c>
      <c r="M452" s="6">
        <v>0</v>
      </c>
      <c r="N452">
        <f t="shared" si="42"/>
        <v>1</v>
      </c>
      <c r="O452" t="str">
        <f t="shared" si="43"/>
        <v>06-2026</v>
      </c>
      <c r="P452" t="str">
        <f t="shared" si="44"/>
        <v>06-2026</v>
      </c>
      <c r="Q452">
        <f t="shared" si="45"/>
        <v>1</v>
      </c>
      <c r="R452">
        <f t="shared" si="46"/>
        <v>0</v>
      </c>
      <c r="S452" t="str">
        <f t="shared" si="47"/>
        <v>0-90</v>
      </c>
    </row>
    <row r="453" spans="1:19" x14ac:dyDescent="0.25">
      <c r="A453" s="6" t="s">
        <v>488</v>
      </c>
      <c r="B453" s="6" t="s">
        <v>14</v>
      </c>
      <c r="C453" s="6" t="s">
        <v>15</v>
      </c>
      <c r="D453" s="6" t="s">
        <v>208</v>
      </c>
      <c r="E453" s="6" t="s">
        <v>209</v>
      </c>
      <c r="F453" s="6" t="s">
        <v>210</v>
      </c>
      <c r="G453" s="6" t="s">
        <v>19</v>
      </c>
      <c r="H453" s="11">
        <v>46195</v>
      </c>
      <c r="I453" s="11">
        <v>46195</v>
      </c>
      <c r="J453" s="6" t="s">
        <v>20</v>
      </c>
      <c r="K453" s="6" t="s">
        <v>21</v>
      </c>
      <c r="L453" s="6" t="s">
        <v>50</v>
      </c>
      <c r="M453" s="6">
        <v>0</v>
      </c>
      <c r="N453">
        <f t="shared" si="42"/>
        <v>1</v>
      </c>
      <c r="O453" t="str">
        <f t="shared" si="43"/>
        <v>06-2026</v>
      </c>
      <c r="P453" t="str">
        <f t="shared" si="44"/>
        <v>06-2026</v>
      </c>
      <c r="Q453">
        <f t="shared" si="45"/>
        <v>1</v>
      </c>
      <c r="R453">
        <f t="shared" si="46"/>
        <v>0</v>
      </c>
      <c r="S453" t="str">
        <f t="shared" si="47"/>
        <v>0-90</v>
      </c>
    </row>
    <row r="454" spans="1:19" x14ac:dyDescent="0.25">
      <c r="A454" s="6" t="s">
        <v>489</v>
      </c>
      <c r="B454" s="6" t="s">
        <v>14</v>
      </c>
      <c r="C454" s="6" t="s">
        <v>15</v>
      </c>
      <c r="D454" s="6" t="s">
        <v>208</v>
      </c>
      <c r="E454" s="6" t="s">
        <v>209</v>
      </c>
      <c r="F454" s="6" t="s">
        <v>210</v>
      </c>
      <c r="G454" s="6" t="s">
        <v>19</v>
      </c>
      <c r="H454" s="11">
        <v>46195</v>
      </c>
      <c r="I454" s="11">
        <v>46195</v>
      </c>
      <c r="J454" s="6" t="s">
        <v>20</v>
      </c>
      <c r="K454" s="6" t="s">
        <v>21</v>
      </c>
      <c r="L454" s="6" t="s">
        <v>37</v>
      </c>
      <c r="M454" s="6">
        <v>0</v>
      </c>
      <c r="N454">
        <f t="shared" si="42"/>
        <v>1</v>
      </c>
      <c r="O454" t="str">
        <f t="shared" si="43"/>
        <v>06-2026</v>
      </c>
      <c r="P454" t="str">
        <f t="shared" si="44"/>
        <v>06-2026</v>
      </c>
      <c r="Q454">
        <f t="shared" si="45"/>
        <v>1</v>
      </c>
      <c r="R454">
        <f t="shared" si="46"/>
        <v>0</v>
      </c>
      <c r="S454" t="str">
        <f t="shared" si="47"/>
        <v>0-90</v>
      </c>
    </row>
    <row r="455" spans="1:19" x14ac:dyDescent="0.25">
      <c r="A455" s="6" t="s">
        <v>490</v>
      </c>
      <c r="B455" s="6" t="s">
        <v>14</v>
      </c>
      <c r="C455" s="6" t="s">
        <v>15</v>
      </c>
      <c r="D455" s="6" t="s">
        <v>208</v>
      </c>
      <c r="E455" s="6" t="s">
        <v>209</v>
      </c>
      <c r="F455" s="6" t="s">
        <v>210</v>
      </c>
      <c r="G455" s="6" t="s">
        <v>19</v>
      </c>
      <c r="H455" s="11">
        <v>46195</v>
      </c>
      <c r="I455" s="11">
        <v>46202</v>
      </c>
      <c r="J455" s="6" t="s">
        <v>20</v>
      </c>
      <c r="K455" s="6" t="s">
        <v>21</v>
      </c>
      <c r="L455" s="6" t="s">
        <v>37</v>
      </c>
      <c r="M455" s="6">
        <v>7</v>
      </c>
      <c r="N455">
        <f t="shared" si="42"/>
        <v>1</v>
      </c>
      <c r="O455" t="str">
        <f t="shared" si="43"/>
        <v>06-2026</v>
      </c>
      <c r="P455" t="str">
        <f t="shared" si="44"/>
        <v>06-2026</v>
      </c>
      <c r="Q455">
        <f t="shared" si="45"/>
        <v>1</v>
      </c>
      <c r="R455">
        <f t="shared" si="46"/>
        <v>0</v>
      </c>
      <c r="S455" t="str">
        <f t="shared" si="47"/>
        <v>0-90</v>
      </c>
    </row>
    <row r="456" spans="1:19" x14ac:dyDescent="0.25">
      <c r="A456" s="6" t="s">
        <v>491</v>
      </c>
      <c r="B456" s="6" t="s">
        <v>14</v>
      </c>
      <c r="C456" s="6" t="s">
        <v>15</v>
      </c>
      <c r="D456" s="6" t="s">
        <v>208</v>
      </c>
      <c r="E456" s="6" t="s">
        <v>209</v>
      </c>
      <c r="F456" s="6" t="s">
        <v>210</v>
      </c>
      <c r="G456" s="6" t="s">
        <v>19</v>
      </c>
      <c r="H456" s="11">
        <v>45799</v>
      </c>
      <c r="I456" s="11">
        <v>46191</v>
      </c>
      <c r="J456" s="6" t="s">
        <v>20</v>
      </c>
      <c r="K456" s="6" t="s">
        <v>24</v>
      </c>
      <c r="L456" s="6" t="s">
        <v>41</v>
      </c>
      <c r="M456" s="6">
        <v>392</v>
      </c>
      <c r="N456">
        <f t="shared" si="42"/>
        <v>1</v>
      </c>
      <c r="O456" t="str">
        <f t="shared" si="43"/>
        <v>05-2025</v>
      </c>
      <c r="P456" t="str">
        <f t="shared" si="44"/>
        <v>06-2026</v>
      </c>
      <c r="Q456">
        <f t="shared" si="45"/>
        <v>0</v>
      </c>
      <c r="R456">
        <f t="shared" si="46"/>
        <v>1</v>
      </c>
      <c r="S456" t="str">
        <f t="shared" si="47"/>
        <v>above 1 year</v>
      </c>
    </row>
    <row r="457" spans="1:19" x14ac:dyDescent="0.25">
      <c r="A457" s="6" t="s">
        <v>492</v>
      </c>
      <c r="B457" s="6" t="s">
        <v>14</v>
      </c>
      <c r="C457" s="6" t="s">
        <v>15</v>
      </c>
      <c r="D457" s="6" t="s">
        <v>208</v>
      </c>
      <c r="E457" s="6" t="s">
        <v>209</v>
      </c>
      <c r="F457" s="6" t="s">
        <v>210</v>
      </c>
      <c r="G457" s="6" t="s">
        <v>19</v>
      </c>
      <c r="H457" s="11">
        <v>46164</v>
      </c>
      <c r="I457" s="11"/>
      <c r="J457" s="6" t="s">
        <v>27</v>
      </c>
      <c r="K457" s="6"/>
      <c r="L457" s="6"/>
      <c r="M457" s="6">
        <v>39</v>
      </c>
      <c r="N457">
        <f t="shared" si="42"/>
        <v>0</v>
      </c>
      <c r="O457" t="str">
        <f t="shared" si="43"/>
        <v>05-2026</v>
      </c>
      <c r="P457" t="str">
        <f t="shared" si="44"/>
        <v/>
      </c>
      <c r="Q457">
        <f t="shared" si="45"/>
        <v>0</v>
      </c>
      <c r="R457">
        <f t="shared" si="46"/>
        <v>0</v>
      </c>
      <c r="S457" t="str">
        <f t="shared" si="47"/>
        <v>0-90</v>
      </c>
    </row>
    <row r="458" spans="1:19" x14ac:dyDescent="0.25">
      <c r="A458" s="6" t="s">
        <v>493</v>
      </c>
      <c r="B458" s="6" t="s">
        <v>14</v>
      </c>
      <c r="C458" s="6" t="s">
        <v>15</v>
      </c>
      <c r="D458" s="6" t="s">
        <v>208</v>
      </c>
      <c r="E458" s="6" t="s">
        <v>209</v>
      </c>
      <c r="F458" s="6" t="s">
        <v>210</v>
      </c>
      <c r="G458" s="6" t="s">
        <v>19</v>
      </c>
      <c r="H458" s="11">
        <v>46164</v>
      </c>
      <c r="I458" s="11"/>
      <c r="J458" s="6" t="s">
        <v>27</v>
      </c>
      <c r="K458" s="6"/>
      <c r="L458" s="6"/>
      <c r="M458" s="6">
        <v>39</v>
      </c>
      <c r="N458">
        <f t="shared" si="42"/>
        <v>0</v>
      </c>
      <c r="O458" t="str">
        <f t="shared" si="43"/>
        <v>05-2026</v>
      </c>
      <c r="P458" t="str">
        <f t="shared" si="44"/>
        <v/>
      </c>
      <c r="Q458">
        <f t="shared" si="45"/>
        <v>0</v>
      </c>
      <c r="R458">
        <f t="shared" si="46"/>
        <v>0</v>
      </c>
      <c r="S458" t="str">
        <f t="shared" si="47"/>
        <v>0-90</v>
      </c>
    </row>
    <row r="459" spans="1:19" x14ac:dyDescent="0.25">
      <c r="A459" s="6" t="s">
        <v>494</v>
      </c>
      <c r="B459" s="6" t="s">
        <v>14</v>
      </c>
      <c r="C459" s="6" t="s">
        <v>15</v>
      </c>
      <c r="D459" s="6" t="s">
        <v>208</v>
      </c>
      <c r="E459" s="6" t="s">
        <v>209</v>
      </c>
      <c r="F459" s="6" t="s">
        <v>210</v>
      </c>
      <c r="G459" s="6" t="s">
        <v>19</v>
      </c>
      <c r="H459" s="11">
        <v>45952</v>
      </c>
      <c r="I459" s="11">
        <v>46113</v>
      </c>
      <c r="J459" s="6" t="s">
        <v>20</v>
      </c>
      <c r="K459" s="6" t="s">
        <v>24</v>
      </c>
      <c r="L459" s="6" t="s">
        <v>55</v>
      </c>
      <c r="M459" s="6">
        <v>161</v>
      </c>
      <c r="N459">
        <f t="shared" si="42"/>
        <v>1</v>
      </c>
      <c r="O459" t="str">
        <f t="shared" si="43"/>
        <v>10-2025</v>
      </c>
      <c r="P459" t="str">
        <f t="shared" si="44"/>
        <v>04-2026</v>
      </c>
      <c r="Q459">
        <f t="shared" si="45"/>
        <v>0</v>
      </c>
      <c r="R459">
        <f t="shared" si="46"/>
        <v>1</v>
      </c>
      <c r="S459" t="str">
        <f t="shared" si="47"/>
        <v>90-180</v>
      </c>
    </row>
    <row r="460" spans="1:19" x14ac:dyDescent="0.25">
      <c r="A460" s="6" t="s">
        <v>495</v>
      </c>
      <c r="B460" s="6" t="s">
        <v>14</v>
      </c>
      <c r="C460" s="6" t="s">
        <v>15</v>
      </c>
      <c r="D460" s="6" t="s">
        <v>208</v>
      </c>
      <c r="E460" s="6" t="s">
        <v>209</v>
      </c>
      <c r="F460" s="6" t="s">
        <v>210</v>
      </c>
      <c r="G460" s="6" t="s">
        <v>19</v>
      </c>
      <c r="H460" s="11">
        <v>45770</v>
      </c>
      <c r="I460" s="11">
        <v>46153</v>
      </c>
      <c r="J460" s="6" t="s">
        <v>20</v>
      </c>
      <c r="K460" s="6" t="s">
        <v>24</v>
      </c>
      <c r="L460" s="6" t="s">
        <v>25</v>
      </c>
      <c r="M460" s="6">
        <v>383</v>
      </c>
      <c r="N460">
        <f t="shared" si="42"/>
        <v>1</v>
      </c>
      <c r="O460" t="str">
        <f t="shared" si="43"/>
        <v>04-2025</v>
      </c>
      <c r="P460" t="str">
        <f t="shared" si="44"/>
        <v>05-2026</v>
      </c>
      <c r="Q460">
        <f t="shared" si="45"/>
        <v>0</v>
      </c>
      <c r="R460">
        <f t="shared" si="46"/>
        <v>1</v>
      </c>
      <c r="S460" t="str">
        <f t="shared" si="47"/>
        <v>above 1 year</v>
      </c>
    </row>
    <row r="461" spans="1:19" x14ac:dyDescent="0.25">
      <c r="A461" s="6" t="s">
        <v>496</v>
      </c>
      <c r="B461" s="6" t="s">
        <v>14</v>
      </c>
      <c r="C461" s="6" t="s">
        <v>15</v>
      </c>
      <c r="D461" s="6" t="s">
        <v>208</v>
      </c>
      <c r="E461" s="6" t="s">
        <v>209</v>
      </c>
      <c r="F461" s="6" t="s">
        <v>210</v>
      </c>
      <c r="G461" s="6" t="s">
        <v>19</v>
      </c>
      <c r="H461" s="11">
        <v>46135</v>
      </c>
      <c r="I461" s="11">
        <v>46181</v>
      </c>
      <c r="J461" s="6" t="s">
        <v>20</v>
      </c>
      <c r="K461" s="6" t="s">
        <v>24</v>
      </c>
      <c r="L461" s="6" t="s">
        <v>41</v>
      </c>
      <c r="M461" s="6">
        <v>46</v>
      </c>
      <c r="N461">
        <f t="shared" si="42"/>
        <v>1</v>
      </c>
      <c r="O461" t="str">
        <f t="shared" si="43"/>
        <v>04-2026</v>
      </c>
      <c r="P461" t="str">
        <f t="shared" si="44"/>
        <v>06-2026</v>
      </c>
      <c r="Q461">
        <f t="shared" si="45"/>
        <v>0</v>
      </c>
      <c r="R461">
        <f t="shared" si="46"/>
        <v>1</v>
      </c>
      <c r="S461" t="str">
        <f t="shared" si="47"/>
        <v>0-90</v>
      </c>
    </row>
    <row r="462" spans="1:19" x14ac:dyDescent="0.25">
      <c r="A462" s="6" t="s">
        <v>497</v>
      </c>
      <c r="B462" s="6" t="s">
        <v>14</v>
      </c>
      <c r="C462" s="6" t="s">
        <v>15</v>
      </c>
      <c r="D462" s="6" t="s">
        <v>208</v>
      </c>
      <c r="E462" s="6" t="s">
        <v>209</v>
      </c>
      <c r="F462" s="6" t="s">
        <v>210</v>
      </c>
      <c r="G462" s="6" t="s">
        <v>19</v>
      </c>
      <c r="H462" s="11">
        <v>46014</v>
      </c>
      <c r="I462" s="11">
        <v>46139</v>
      </c>
      <c r="J462" s="6" t="s">
        <v>20</v>
      </c>
      <c r="K462" s="6" t="s">
        <v>24</v>
      </c>
      <c r="L462" s="6" t="s">
        <v>55</v>
      </c>
      <c r="M462" s="6">
        <v>125</v>
      </c>
      <c r="N462">
        <f t="shared" si="42"/>
        <v>1</v>
      </c>
      <c r="O462" t="str">
        <f t="shared" si="43"/>
        <v>12-2025</v>
      </c>
      <c r="P462" t="str">
        <f t="shared" si="44"/>
        <v>04-2026</v>
      </c>
      <c r="Q462">
        <f t="shared" si="45"/>
        <v>0</v>
      </c>
      <c r="R462">
        <f t="shared" si="46"/>
        <v>1</v>
      </c>
      <c r="S462" t="str">
        <f t="shared" si="47"/>
        <v>90-180</v>
      </c>
    </row>
    <row r="463" spans="1:19" x14ac:dyDescent="0.25">
      <c r="A463" s="6" t="s">
        <v>498</v>
      </c>
      <c r="B463" s="6" t="s">
        <v>14</v>
      </c>
      <c r="C463" s="6" t="s">
        <v>15</v>
      </c>
      <c r="D463" s="6" t="s">
        <v>208</v>
      </c>
      <c r="E463" s="6" t="s">
        <v>209</v>
      </c>
      <c r="F463" s="6" t="s">
        <v>210</v>
      </c>
      <c r="G463" s="6" t="s">
        <v>19</v>
      </c>
      <c r="H463" s="11">
        <v>46014</v>
      </c>
      <c r="I463" s="11"/>
      <c r="J463" s="6" t="s">
        <v>27</v>
      </c>
      <c r="K463" s="6"/>
      <c r="L463" s="6"/>
      <c r="M463" s="6">
        <v>189</v>
      </c>
      <c r="N463">
        <f t="shared" si="42"/>
        <v>0</v>
      </c>
      <c r="O463" t="str">
        <f t="shared" si="43"/>
        <v>12-2025</v>
      </c>
      <c r="P463" t="str">
        <f t="shared" si="44"/>
        <v/>
      </c>
      <c r="Q463">
        <f t="shared" si="45"/>
        <v>0</v>
      </c>
      <c r="R463">
        <f t="shared" si="46"/>
        <v>0</v>
      </c>
      <c r="S463" t="str">
        <f t="shared" si="47"/>
        <v>180-365</v>
      </c>
    </row>
    <row r="464" spans="1:19" x14ac:dyDescent="0.25">
      <c r="A464" s="6" t="s">
        <v>499</v>
      </c>
      <c r="B464" s="6" t="s">
        <v>14</v>
      </c>
      <c r="C464" s="6" t="s">
        <v>15</v>
      </c>
      <c r="D464" s="6" t="s">
        <v>208</v>
      </c>
      <c r="E464" s="6" t="s">
        <v>209</v>
      </c>
      <c r="F464" s="6" t="s">
        <v>210</v>
      </c>
      <c r="G464" s="6" t="s">
        <v>19</v>
      </c>
      <c r="H464" s="11">
        <v>46196</v>
      </c>
      <c r="I464" s="11">
        <v>46199</v>
      </c>
      <c r="J464" s="6" t="s">
        <v>20</v>
      </c>
      <c r="K464" s="6" t="s">
        <v>21</v>
      </c>
      <c r="L464" s="6" t="s">
        <v>61</v>
      </c>
      <c r="M464" s="6">
        <v>3</v>
      </c>
      <c r="N464">
        <f t="shared" si="42"/>
        <v>1</v>
      </c>
      <c r="O464" t="str">
        <f t="shared" si="43"/>
        <v>06-2026</v>
      </c>
      <c r="P464" t="str">
        <f t="shared" si="44"/>
        <v>06-2026</v>
      </c>
      <c r="Q464">
        <f t="shared" si="45"/>
        <v>1</v>
      </c>
      <c r="R464">
        <f t="shared" si="46"/>
        <v>0</v>
      </c>
      <c r="S464" t="str">
        <f t="shared" si="47"/>
        <v>0-90</v>
      </c>
    </row>
    <row r="465" spans="1:19" x14ac:dyDescent="0.25">
      <c r="A465" s="6" t="s">
        <v>500</v>
      </c>
      <c r="B465" s="6" t="s">
        <v>14</v>
      </c>
      <c r="C465" s="6" t="s">
        <v>15</v>
      </c>
      <c r="D465" s="6" t="s">
        <v>208</v>
      </c>
      <c r="E465" s="6" t="s">
        <v>209</v>
      </c>
      <c r="F465" s="6" t="s">
        <v>210</v>
      </c>
      <c r="G465" s="6" t="s">
        <v>19</v>
      </c>
      <c r="H465" s="11">
        <v>46196</v>
      </c>
      <c r="I465" s="11">
        <v>46196</v>
      </c>
      <c r="J465" s="6" t="s">
        <v>20</v>
      </c>
      <c r="K465" s="6" t="s">
        <v>21</v>
      </c>
      <c r="L465" s="6" t="s">
        <v>37</v>
      </c>
      <c r="M465" s="6">
        <v>0</v>
      </c>
      <c r="N465">
        <f t="shared" si="42"/>
        <v>1</v>
      </c>
      <c r="O465" t="str">
        <f t="shared" si="43"/>
        <v>06-2026</v>
      </c>
      <c r="P465" t="str">
        <f t="shared" si="44"/>
        <v>06-2026</v>
      </c>
      <c r="Q465">
        <f t="shared" si="45"/>
        <v>1</v>
      </c>
      <c r="R465">
        <f t="shared" si="46"/>
        <v>0</v>
      </c>
      <c r="S465" t="str">
        <f t="shared" si="47"/>
        <v>0-90</v>
      </c>
    </row>
    <row r="466" spans="1:19" x14ac:dyDescent="0.25">
      <c r="A466" s="6" t="s">
        <v>501</v>
      </c>
      <c r="B466" s="6" t="s">
        <v>14</v>
      </c>
      <c r="C466" s="6" t="s">
        <v>15</v>
      </c>
      <c r="D466" s="6" t="s">
        <v>208</v>
      </c>
      <c r="E466" s="6" t="s">
        <v>209</v>
      </c>
      <c r="F466" s="6" t="s">
        <v>210</v>
      </c>
      <c r="G466" s="6" t="s">
        <v>19</v>
      </c>
      <c r="H466" s="11">
        <v>45739</v>
      </c>
      <c r="I466" s="11"/>
      <c r="J466" s="6" t="s">
        <v>27</v>
      </c>
      <c r="K466" s="6"/>
      <c r="L466" s="6"/>
      <c r="M466" s="6">
        <v>464</v>
      </c>
      <c r="N466">
        <f t="shared" si="42"/>
        <v>0</v>
      </c>
      <c r="O466" t="str">
        <f t="shared" si="43"/>
        <v>03-2025</v>
      </c>
      <c r="P466" t="str">
        <f t="shared" si="44"/>
        <v/>
      </c>
      <c r="Q466">
        <f t="shared" si="45"/>
        <v>0</v>
      </c>
      <c r="R466">
        <f t="shared" si="46"/>
        <v>0</v>
      </c>
      <c r="S466" t="str">
        <f t="shared" si="47"/>
        <v>above 1 year</v>
      </c>
    </row>
    <row r="467" spans="1:19" x14ac:dyDescent="0.25">
      <c r="A467" s="6" t="s">
        <v>502</v>
      </c>
      <c r="B467" s="6" t="s">
        <v>14</v>
      </c>
      <c r="C467" s="6" t="s">
        <v>15</v>
      </c>
      <c r="D467" s="6" t="s">
        <v>208</v>
      </c>
      <c r="E467" s="6" t="s">
        <v>209</v>
      </c>
      <c r="F467" s="6" t="s">
        <v>210</v>
      </c>
      <c r="G467" s="6" t="s">
        <v>19</v>
      </c>
      <c r="H467" s="11">
        <v>46165</v>
      </c>
      <c r="I467" s="11"/>
      <c r="J467" s="6" t="s">
        <v>27</v>
      </c>
      <c r="K467" s="6"/>
      <c r="L467" s="6"/>
      <c r="M467" s="6">
        <v>38</v>
      </c>
      <c r="N467">
        <f t="shared" si="42"/>
        <v>0</v>
      </c>
      <c r="O467" t="str">
        <f t="shared" si="43"/>
        <v>05-2026</v>
      </c>
      <c r="P467" t="str">
        <f t="shared" si="44"/>
        <v/>
      </c>
      <c r="Q467">
        <f t="shared" si="45"/>
        <v>0</v>
      </c>
      <c r="R467">
        <f t="shared" si="46"/>
        <v>0</v>
      </c>
      <c r="S467" t="str">
        <f t="shared" si="47"/>
        <v>0-90</v>
      </c>
    </row>
    <row r="468" spans="1:19" x14ac:dyDescent="0.25">
      <c r="A468" s="6" t="s">
        <v>503</v>
      </c>
      <c r="B468" s="6" t="s">
        <v>14</v>
      </c>
      <c r="C468" s="6" t="s">
        <v>15</v>
      </c>
      <c r="D468" s="6" t="s">
        <v>208</v>
      </c>
      <c r="E468" s="6" t="s">
        <v>209</v>
      </c>
      <c r="F468" s="6" t="s">
        <v>210</v>
      </c>
      <c r="G468" s="6" t="s">
        <v>19</v>
      </c>
      <c r="H468" s="11">
        <v>46165</v>
      </c>
      <c r="I468" s="11"/>
      <c r="J468" s="6" t="s">
        <v>27</v>
      </c>
      <c r="K468" s="6"/>
      <c r="L468" s="6"/>
      <c r="M468" s="6">
        <v>38</v>
      </c>
      <c r="N468">
        <f t="shared" si="42"/>
        <v>0</v>
      </c>
      <c r="O468" t="str">
        <f t="shared" si="43"/>
        <v>05-2026</v>
      </c>
      <c r="P468" t="str">
        <f t="shared" si="44"/>
        <v/>
      </c>
      <c r="Q468">
        <f t="shared" si="45"/>
        <v>0</v>
      </c>
      <c r="R468">
        <f t="shared" si="46"/>
        <v>0</v>
      </c>
      <c r="S468" t="str">
        <f t="shared" si="47"/>
        <v>0-90</v>
      </c>
    </row>
    <row r="469" spans="1:19" x14ac:dyDescent="0.25">
      <c r="A469" s="6" t="s">
        <v>504</v>
      </c>
      <c r="B469" s="6" t="s">
        <v>14</v>
      </c>
      <c r="C469" s="6" t="s">
        <v>15</v>
      </c>
      <c r="D469" s="6" t="s">
        <v>208</v>
      </c>
      <c r="E469" s="6" t="s">
        <v>209</v>
      </c>
      <c r="F469" s="6" t="s">
        <v>210</v>
      </c>
      <c r="G469" s="6" t="s">
        <v>19</v>
      </c>
      <c r="H469" s="11">
        <v>46165</v>
      </c>
      <c r="I469" s="11">
        <v>46165</v>
      </c>
      <c r="J469" s="6" t="s">
        <v>20</v>
      </c>
      <c r="K469" s="6" t="s">
        <v>21</v>
      </c>
      <c r="L469" s="6" t="s">
        <v>30</v>
      </c>
      <c r="M469" s="6">
        <v>0</v>
      </c>
      <c r="N469">
        <f t="shared" si="42"/>
        <v>1</v>
      </c>
      <c r="O469" t="str">
        <f t="shared" si="43"/>
        <v>05-2026</v>
      </c>
      <c r="P469" t="str">
        <f t="shared" si="44"/>
        <v>05-2026</v>
      </c>
      <c r="Q469">
        <f t="shared" si="45"/>
        <v>1</v>
      </c>
      <c r="R469">
        <f t="shared" si="46"/>
        <v>0</v>
      </c>
      <c r="S469" t="str">
        <f t="shared" si="47"/>
        <v>0-90</v>
      </c>
    </row>
    <row r="470" spans="1:19" x14ac:dyDescent="0.25">
      <c r="A470" s="6" t="s">
        <v>505</v>
      </c>
      <c r="B470" s="6" t="s">
        <v>14</v>
      </c>
      <c r="C470" s="6" t="s">
        <v>15</v>
      </c>
      <c r="D470" s="6" t="s">
        <v>208</v>
      </c>
      <c r="E470" s="6" t="s">
        <v>209</v>
      </c>
      <c r="F470" s="6" t="s">
        <v>210</v>
      </c>
      <c r="G470" s="6" t="s">
        <v>19</v>
      </c>
      <c r="H470" s="11">
        <v>46165</v>
      </c>
      <c r="I470" s="11">
        <v>46165</v>
      </c>
      <c r="J470" s="6" t="s">
        <v>20</v>
      </c>
      <c r="K470" s="6" t="s">
        <v>21</v>
      </c>
      <c r="L470" s="6" t="s">
        <v>37</v>
      </c>
      <c r="M470" s="6">
        <v>0</v>
      </c>
      <c r="N470">
        <f t="shared" si="42"/>
        <v>1</v>
      </c>
      <c r="O470" t="str">
        <f t="shared" si="43"/>
        <v>05-2026</v>
      </c>
      <c r="P470" t="str">
        <f t="shared" si="44"/>
        <v>05-2026</v>
      </c>
      <c r="Q470">
        <f t="shared" si="45"/>
        <v>1</v>
      </c>
      <c r="R470">
        <f t="shared" si="46"/>
        <v>0</v>
      </c>
      <c r="S470" t="str">
        <f t="shared" si="47"/>
        <v>0-90</v>
      </c>
    </row>
    <row r="471" spans="1:19" x14ac:dyDescent="0.25">
      <c r="A471" s="6" t="s">
        <v>506</v>
      </c>
      <c r="B471" s="6" t="s">
        <v>14</v>
      </c>
      <c r="C471" s="6" t="s">
        <v>15</v>
      </c>
      <c r="D471" s="6" t="s">
        <v>208</v>
      </c>
      <c r="E471" s="6" t="s">
        <v>209</v>
      </c>
      <c r="F471" s="6" t="s">
        <v>210</v>
      </c>
      <c r="G471" s="6" t="s">
        <v>19</v>
      </c>
      <c r="H471" s="11">
        <v>45984</v>
      </c>
      <c r="I471" s="11"/>
      <c r="J471" s="6" t="s">
        <v>27</v>
      </c>
      <c r="K471" s="6"/>
      <c r="L471" s="6"/>
      <c r="M471" s="6">
        <v>219</v>
      </c>
      <c r="N471">
        <f t="shared" si="42"/>
        <v>0</v>
      </c>
      <c r="O471" t="str">
        <f t="shared" si="43"/>
        <v>11-2025</v>
      </c>
      <c r="P471" t="str">
        <f t="shared" si="44"/>
        <v/>
      </c>
      <c r="Q471">
        <f t="shared" si="45"/>
        <v>0</v>
      </c>
      <c r="R471">
        <f t="shared" si="46"/>
        <v>0</v>
      </c>
      <c r="S471" t="str">
        <f t="shared" si="47"/>
        <v>180-365</v>
      </c>
    </row>
    <row r="472" spans="1:19" x14ac:dyDescent="0.25">
      <c r="A472" s="6" t="s">
        <v>507</v>
      </c>
      <c r="B472" s="6" t="s">
        <v>14</v>
      </c>
      <c r="C472" s="6" t="s">
        <v>15</v>
      </c>
      <c r="D472" s="6" t="s">
        <v>208</v>
      </c>
      <c r="E472" s="6" t="s">
        <v>209</v>
      </c>
      <c r="F472" s="6" t="s">
        <v>210</v>
      </c>
      <c r="G472" s="6" t="s">
        <v>19</v>
      </c>
      <c r="H472" s="11">
        <v>45923</v>
      </c>
      <c r="I472" s="11">
        <v>46179</v>
      </c>
      <c r="J472" s="6" t="s">
        <v>20</v>
      </c>
      <c r="K472" s="6" t="s">
        <v>24</v>
      </c>
      <c r="L472" s="6" t="s">
        <v>55</v>
      </c>
      <c r="M472" s="6">
        <v>256</v>
      </c>
      <c r="N472">
        <f t="shared" si="42"/>
        <v>1</v>
      </c>
      <c r="O472" t="str">
        <f t="shared" si="43"/>
        <v>09-2025</v>
      </c>
      <c r="P472" t="str">
        <f t="shared" si="44"/>
        <v>06-2026</v>
      </c>
      <c r="Q472">
        <f t="shared" si="45"/>
        <v>0</v>
      </c>
      <c r="R472">
        <f t="shared" si="46"/>
        <v>1</v>
      </c>
      <c r="S472" t="str">
        <f t="shared" si="47"/>
        <v>180-365</v>
      </c>
    </row>
    <row r="473" spans="1:19" x14ac:dyDescent="0.25">
      <c r="A473" s="6" t="s">
        <v>508</v>
      </c>
      <c r="B473" s="6" t="s">
        <v>14</v>
      </c>
      <c r="C473" s="6" t="s">
        <v>15</v>
      </c>
      <c r="D473" s="6" t="s">
        <v>208</v>
      </c>
      <c r="E473" s="6" t="s">
        <v>209</v>
      </c>
      <c r="F473" s="6" t="s">
        <v>210</v>
      </c>
      <c r="G473" s="6" t="s">
        <v>19</v>
      </c>
      <c r="H473" s="11">
        <v>46136</v>
      </c>
      <c r="I473" s="11"/>
      <c r="J473" s="6" t="s">
        <v>27</v>
      </c>
      <c r="K473" s="6"/>
      <c r="L473" s="6"/>
      <c r="M473" s="6">
        <v>67</v>
      </c>
      <c r="N473">
        <f t="shared" si="42"/>
        <v>0</v>
      </c>
      <c r="O473" t="str">
        <f t="shared" si="43"/>
        <v>04-2026</v>
      </c>
      <c r="P473" t="str">
        <f t="shared" si="44"/>
        <v/>
      </c>
      <c r="Q473">
        <f t="shared" si="45"/>
        <v>0</v>
      </c>
      <c r="R473">
        <f t="shared" si="46"/>
        <v>0</v>
      </c>
      <c r="S473" t="str">
        <f t="shared" si="47"/>
        <v>0-90</v>
      </c>
    </row>
    <row r="474" spans="1:19" x14ac:dyDescent="0.25">
      <c r="A474" s="6" t="s">
        <v>509</v>
      </c>
      <c r="B474" s="6" t="s">
        <v>14</v>
      </c>
      <c r="C474" s="6" t="s">
        <v>15</v>
      </c>
      <c r="D474" s="6" t="s">
        <v>208</v>
      </c>
      <c r="E474" s="6" t="s">
        <v>209</v>
      </c>
      <c r="F474" s="6" t="s">
        <v>210</v>
      </c>
      <c r="G474" s="6" t="s">
        <v>19</v>
      </c>
      <c r="H474" s="11">
        <v>46136</v>
      </c>
      <c r="I474" s="11">
        <v>46200</v>
      </c>
      <c r="J474" s="6" t="s">
        <v>20</v>
      </c>
      <c r="K474" s="6" t="s">
        <v>24</v>
      </c>
      <c r="L474" s="6" t="s">
        <v>44</v>
      </c>
      <c r="M474" s="6">
        <v>64</v>
      </c>
      <c r="N474">
        <f t="shared" si="42"/>
        <v>1</v>
      </c>
      <c r="O474" t="str">
        <f t="shared" si="43"/>
        <v>04-2026</v>
      </c>
      <c r="P474" t="str">
        <f t="shared" si="44"/>
        <v>06-2026</v>
      </c>
      <c r="Q474">
        <f t="shared" si="45"/>
        <v>0</v>
      </c>
      <c r="R474">
        <f t="shared" si="46"/>
        <v>1</v>
      </c>
      <c r="S474" t="str">
        <f t="shared" si="47"/>
        <v>0-90</v>
      </c>
    </row>
    <row r="475" spans="1:19" x14ac:dyDescent="0.25">
      <c r="A475" s="6" t="s">
        <v>510</v>
      </c>
      <c r="B475" s="6" t="s">
        <v>14</v>
      </c>
      <c r="C475" s="6" t="s">
        <v>15</v>
      </c>
      <c r="D475" s="6" t="s">
        <v>208</v>
      </c>
      <c r="E475" s="6" t="s">
        <v>209</v>
      </c>
      <c r="F475" s="6" t="s">
        <v>210</v>
      </c>
      <c r="G475" s="6" t="s">
        <v>19</v>
      </c>
      <c r="H475" s="11">
        <v>46136</v>
      </c>
      <c r="I475" s="11">
        <v>46136</v>
      </c>
      <c r="J475" s="6" t="s">
        <v>20</v>
      </c>
      <c r="K475" s="6" t="s">
        <v>21</v>
      </c>
      <c r="L475" s="6" t="s">
        <v>30</v>
      </c>
      <c r="M475" s="6">
        <v>0</v>
      </c>
      <c r="N475">
        <f t="shared" si="42"/>
        <v>1</v>
      </c>
      <c r="O475" t="str">
        <f t="shared" si="43"/>
        <v>04-2026</v>
      </c>
      <c r="P475" t="str">
        <f t="shared" si="44"/>
        <v>04-2026</v>
      </c>
      <c r="Q475">
        <f t="shared" si="45"/>
        <v>1</v>
      </c>
      <c r="R475">
        <f t="shared" si="46"/>
        <v>0</v>
      </c>
      <c r="S475" t="str">
        <f t="shared" si="47"/>
        <v>0-90</v>
      </c>
    </row>
    <row r="476" spans="1:19" x14ac:dyDescent="0.25">
      <c r="A476" s="6" t="s">
        <v>511</v>
      </c>
      <c r="B476" s="6" t="s">
        <v>14</v>
      </c>
      <c r="C476" s="6" t="s">
        <v>15</v>
      </c>
      <c r="D476" s="6" t="s">
        <v>208</v>
      </c>
      <c r="E476" s="6" t="s">
        <v>209</v>
      </c>
      <c r="F476" s="6" t="s">
        <v>210</v>
      </c>
      <c r="G476" s="6" t="s">
        <v>19</v>
      </c>
      <c r="H476" s="11">
        <v>46136</v>
      </c>
      <c r="I476" s="11">
        <v>46138</v>
      </c>
      <c r="J476" s="6" t="s">
        <v>20</v>
      </c>
      <c r="K476" s="6" t="s">
        <v>21</v>
      </c>
      <c r="L476" s="6" t="s">
        <v>30</v>
      </c>
      <c r="M476" s="6">
        <v>2</v>
      </c>
      <c r="N476">
        <f t="shared" si="42"/>
        <v>1</v>
      </c>
      <c r="O476" t="str">
        <f t="shared" si="43"/>
        <v>04-2026</v>
      </c>
      <c r="P476" t="str">
        <f t="shared" si="44"/>
        <v>04-2026</v>
      </c>
      <c r="Q476">
        <f t="shared" si="45"/>
        <v>1</v>
      </c>
      <c r="R476">
        <f t="shared" si="46"/>
        <v>0</v>
      </c>
      <c r="S476" t="str">
        <f t="shared" si="47"/>
        <v>0-90</v>
      </c>
    </row>
    <row r="477" spans="1:19" x14ac:dyDescent="0.25">
      <c r="A477" s="6" t="s">
        <v>512</v>
      </c>
      <c r="B477" s="6" t="s">
        <v>14</v>
      </c>
      <c r="C477" s="6" t="s">
        <v>15</v>
      </c>
      <c r="D477" s="6" t="s">
        <v>208</v>
      </c>
      <c r="E477" s="6" t="s">
        <v>209</v>
      </c>
      <c r="F477" s="6" t="s">
        <v>210</v>
      </c>
      <c r="G477" s="6" t="s">
        <v>19</v>
      </c>
      <c r="H477" s="11">
        <v>45712</v>
      </c>
      <c r="I477" s="11">
        <v>46137</v>
      </c>
      <c r="J477" s="6" t="s">
        <v>20</v>
      </c>
      <c r="K477" s="6" t="s">
        <v>24</v>
      </c>
      <c r="L477" s="6" t="s">
        <v>25</v>
      </c>
      <c r="M477" s="6">
        <v>425</v>
      </c>
      <c r="N477">
        <f t="shared" si="42"/>
        <v>1</v>
      </c>
      <c r="O477" t="str">
        <f t="shared" si="43"/>
        <v>02-2025</v>
      </c>
      <c r="P477" t="str">
        <f t="shared" si="44"/>
        <v>04-2026</v>
      </c>
      <c r="Q477">
        <f t="shared" si="45"/>
        <v>0</v>
      </c>
      <c r="R477">
        <f t="shared" si="46"/>
        <v>1</v>
      </c>
      <c r="S477" t="str">
        <f t="shared" si="47"/>
        <v>above 1 year</v>
      </c>
    </row>
    <row r="478" spans="1:19" x14ac:dyDescent="0.25">
      <c r="A478" s="6" t="s">
        <v>513</v>
      </c>
      <c r="B478" s="6" t="s">
        <v>14</v>
      </c>
      <c r="C478" s="6" t="s">
        <v>15</v>
      </c>
      <c r="D478" s="6" t="s">
        <v>208</v>
      </c>
      <c r="E478" s="6" t="s">
        <v>209</v>
      </c>
      <c r="F478" s="6" t="s">
        <v>210</v>
      </c>
      <c r="G478" s="6" t="s">
        <v>19</v>
      </c>
      <c r="H478" s="11">
        <v>45862</v>
      </c>
      <c r="I478" s="11">
        <v>46181</v>
      </c>
      <c r="J478" s="6" t="s">
        <v>20</v>
      </c>
      <c r="K478" s="6" t="s">
        <v>24</v>
      </c>
      <c r="L478" s="6" t="s">
        <v>41</v>
      </c>
      <c r="M478" s="6">
        <v>319</v>
      </c>
      <c r="N478">
        <f t="shared" si="42"/>
        <v>1</v>
      </c>
      <c r="O478" t="str">
        <f t="shared" si="43"/>
        <v>07-2025</v>
      </c>
      <c r="P478" t="str">
        <f t="shared" si="44"/>
        <v>06-2026</v>
      </c>
      <c r="Q478">
        <f t="shared" si="45"/>
        <v>0</v>
      </c>
      <c r="R478">
        <f t="shared" si="46"/>
        <v>1</v>
      </c>
      <c r="S478" t="str">
        <f t="shared" si="47"/>
        <v>180-365</v>
      </c>
    </row>
    <row r="479" spans="1:19" x14ac:dyDescent="0.25">
      <c r="A479" s="6" t="s">
        <v>514</v>
      </c>
      <c r="B479" s="6" t="s">
        <v>14</v>
      </c>
      <c r="C479" s="6" t="s">
        <v>15</v>
      </c>
      <c r="D479" s="6" t="s">
        <v>208</v>
      </c>
      <c r="E479" s="6" t="s">
        <v>209</v>
      </c>
      <c r="F479" s="6" t="s">
        <v>210</v>
      </c>
      <c r="G479" s="6" t="s">
        <v>19</v>
      </c>
      <c r="H479" s="11">
        <v>46197</v>
      </c>
      <c r="I479" s="11">
        <v>46198</v>
      </c>
      <c r="J479" s="6" t="s">
        <v>20</v>
      </c>
      <c r="K479" s="6" t="s">
        <v>21</v>
      </c>
      <c r="L479" s="6" t="s">
        <v>61</v>
      </c>
      <c r="M479" s="6">
        <v>1</v>
      </c>
      <c r="N479">
        <f t="shared" si="42"/>
        <v>1</v>
      </c>
      <c r="O479" t="str">
        <f t="shared" si="43"/>
        <v>06-2026</v>
      </c>
      <c r="P479" t="str">
        <f t="shared" si="44"/>
        <v>06-2026</v>
      </c>
      <c r="Q479">
        <f t="shared" si="45"/>
        <v>1</v>
      </c>
      <c r="R479">
        <f t="shared" si="46"/>
        <v>0</v>
      </c>
      <c r="S479" t="str">
        <f t="shared" si="47"/>
        <v>0-90</v>
      </c>
    </row>
    <row r="480" spans="1:19" x14ac:dyDescent="0.25">
      <c r="A480" s="6" t="s">
        <v>515</v>
      </c>
      <c r="B480" s="6" t="s">
        <v>14</v>
      </c>
      <c r="C480" s="6" t="s">
        <v>15</v>
      </c>
      <c r="D480" s="6" t="s">
        <v>208</v>
      </c>
      <c r="E480" s="6" t="s">
        <v>209</v>
      </c>
      <c r="F480" s="6" t="s">
        <v>210</v>
      </c>
      <c r="G480" s="6" t="s">
        <v>19</v>
      </c>
      <c r="H480" s="11">
        <v>46197</v>
      </c>
      <c r="I480" s="11">
        <v>46197</v>
      </c>
      <c r="J480" s="6" t="s">
        <v>20</v>
      </c>
      <c r="K480" s="6" t="s">
        <v>21</v>
      </c>
      <c r="L480" s="6" t="s">
        <v>33</v>
      </c>
      <c r="M480" s="6">
        <v>0</v>
      </c>
      <c r="N480">
        <f t="shared" si="42"/>
        <v>1</v>
      </c>
      <c r="O480" t="str">
        <f t="shared" si="43"/>
        <v>06-2026</v>
      </c>
      <c r="P480" t="str">
        <f t="shared" si="44"/>
        <v>06-2026</v>
      </c>
      <c r="Q480">
        <f t="shared" si="45"/>
        <v>1</v>
      </c>
      <c r="R480">
        <f t="shared" si="46"/>
        <v>0</v>
      </c>
      <c r="S480" t="str">
        <f t="shared" si="47"/>
        <v>0-90</v>
      </c>
    </row>
    <row r="481" spans="1:19" x14ac:dyDescent="0.25">
      <c r="A481" s="6" t="s">
        <v>516</v>
      </c>
      <c r="B481" s="6" t="s">
        <v>14</v>
      </c>
      <c r="C481" s="6" t="s">
        <v>15</v>
      </c>
      <c r="D481" s="6" t="s">
        <v>208</v>
      </c>
      <c r="E481" s="6" t="s">
        <v>209</v>
      </c>
      <c r="F481" s="6" t="s">
        <v>210</v>
      </c>
      <c r="G481" s="6" t="s">
        <v>19</v>
      </c>
      <c r="H481" s="11">
        <v>46197</v>
      </c>
      <c r="I481" s="11">
        <v>46197</v>
      </c>
      <c r="J481" s="6" t="s">
        <v>20</v>
      </c>
      <c r="K481" s="6" t="s">
        <v>21</v>
      </c>
      <c r="L481" s="6" t="s">
        <v>33</v>
      </c>
      <c r="M481" s="6">
        <v>0</v>
      </c>
      <c r="N481">
        <f t="shared" si="42"/>
        <v>1</v>
      </c>
      <c r="O481" t="str">
        <f t="shared" si="43"/>
        <v>06-2026</v>
      </c>
      <c r="P481" t="str">
        <f t="shared" si="44"/>
        <v>06-2026</v>
      </c>
      <c r="Q481">
        <f t="shared" si="45"/>
        <v>1</v>
      </c>
      <c r="R481">
        <f t="shared" si="46"/>
        <v>0</v>
      </c>
      <c r="S481" t="str">
        <f t="shared" si="47"/>
        <v>0-90</v>
      </c>
    </row>
    <row r="482" spans="1:19" x14ac:dyDescent="0.25">
      <c r="A482" s="6" t="s">
        <v>517</v>
      </c>
      <c r="B482" s="6" t="s">
        <v>14</v>
      </c>
      <c r="C482" s="6" t="s">
        <v>15</v>
      </c>
      <c r="D482" s="6" t="s">
        <v>208</v>
      </c>
      <c r="E482" s="6" t="s">
        <v>209</v>
      </c>
      <c r="F482" s="6" t="s">
        <v>210</v>
      </c>
      <c r="G482" s="6" t="s">
        <v>19</v>
      </c>
      <c r="H482" s="11">
        <v>46166</v>
      </c>
      <c r="I482" s="11"/>
      <c r="J482" s="6" t="s">
        <v>27</v>
      </c>
      <c r="K482" s="6"/>
      <c r="L482" s="6"/>
      <c r="M482" s="6">
        <v>37</v>
      </c>
      <c r="N482">
        <f t="shared" si="42"/>
        <v>0</v>
      </c>
      <c r="O482" t="str">
        <f t="shared" si="43"/>
        <v>05-2026</v>
      </c>
      <c r="P482" t="str">
        <f t="shared" si="44"/>
        <v/>
      </c>
      <c r="Q482">
        <f t="shared" si="45"/>
        <v>0</v>
      </c>
      <c r="R482">
        <f t="shared" si="46"/>
        <v>0</v>
      </c>
      <c r="S482" t="str">
        <f t="shared" si="47"/>
        <v>0-90</v>
      </c>
    </row>
    <row r="483" spans="1:19" x14ac:dyDescent="0.25">
      <c r="A483" s="6" t="s">
        <v>518</v>
      </c>
      <c r="B483" s="6" t="s">
        <v>14</v>
      </c>
      <c r="C483" s="6" t="s">
        <v>15</v>
      </c>
      <c r="D483" s="6" t="s">
        <v>208</v>
      </c>
      <c r="E483" s="6" t="s">
        <v>209</v>
      </c>
      <c r="F483" s="6" t="s">
        <v>210</v>
      </c>
      <c r="G483" s="6" t="s">
        <v>19</v>
      </c>
      <c r="H483" s="11">
        <v>46166</v>
      </c>
      <c r="I483" s="11"/>
      <c r="J483" s="6" t="s">
        <v>27</v>
      </c>
      <c r="K483" s="6"/>
      <c r="L483" s="6"/>
      <c r="M483" s="6">
        <v>37</v>
      </c>
      <c r="N483">
        <f t="shared" si="42"/>
        <v>0</v>
      </c>
      <c r="O483" t="str">
        <f t="shared" si="43"/>
        <v>05-2026</v>
      </c>
      <c r="P483" t="str">
        <f t="shared" si="44"/>
        <v/>
      </c>
      <c r="Q483">
        <f t="shared" si="45"/>
        <v>0</v>
      </c>
      <c r="R483">
        <f t="shared" si="46"/>
        <v>0</v>
      </c>
      <c r="S483" t="str">
        <f t="shared" si="47"/>
        <v>0-90</v>
      </c>
    </row>
    <row r="484" spans="1:19" x14ac:dyDescent="0.25">
      <c r="A484" s="6" t="s">
        <v>519</v>
      </c>
      <c r="B484" s="6" t="s">
        <v>14</v>
      </c>
      <c r="C484" s="6" t="s">
        <v>15</v>
      </c>
      <c r="D484" s="6" t="s">
        <v>208</v>
      </c>
      <c r="E484" s="6" t="s">
        <v>209</v>
      </c>
      <c r="F484" s="6" t="s">
        <v>210</v>
      </c>
      <c r="G484" s="6" t="s">
        <v>19</v>
      </c>
      <c r="H484" s="11">
        <v>45924</v>
      </c>
      <c r="I484" s="11">
        <v>46175</v>
      </c>
      <c r="J484" s="6" t="s">
        <v>20</v>
      </c>
      <c r="K484" s="6" t="s">
        <v>24</v>
      </c>
      <c r="L484" s="6" t="s">
        <v>44</v>
      </c>
      <c r="M484" s="6">
        <v>251</v>
      </c>
      <c r="N484">
        <f t="shared" si="42"/>
        <v>1</v>
      </c>
      <c r="O484" t="str">
        <f t="shared" si="43"/>
        <v>09-2025</v>
      </c>
      <c r="P484" t="str">
        <f t="shared" si="44"/>
        <v>06-2026</v>
      </c>
      <c r="Q484">
        <f t="shared" si="45"/>
        <v>0</v>
      </c>
      <c r="R484">
        <f t="shared" si="46"/>
        <v>1</v>
      </c>
      <c r="S484" t="str">
        <f t="shared" si="47"/>
        <v>180-365</v>
      </c>
    </row>
    <row r="485" spans="1:19" x14ac:dyDescent="0.25">
      <c r="A485" s="6" t="s">
        <v>520</v>
      </c>
      <c r="B485" s="6" t="s">
        <v>14</v>
      </c>
      <c r="C485" s="6" t="s">
        <v>15</v>
      </c>
      <c r="D485" s="6" t="s">
        <v>208</v>
      </c>
      <c r="E485" s="6" t="s">
        <v>209</v>
      </c>
      <c r="F485" s="6" t="s">
        <v>210</v>
      </c>
      <c r="G485" s="6" t="s">
        <v>19</v>
      </c>
      <c r="H485" s="11">
        <v>46137</v>
      </c>
      <c r="I485" s="11">
        <v>46174</v>
      </c>
      <c r="J485" s="6" t="s">
        <v>20</v>
      </c>
      <c r="K485" s="6" t="s">
        <v>24</v>
      </c>
      <c r="L485" s="6" t="s">
        <v>44</v>
      </c>
      <c r="M485" s="6">
        <v>37</v>
      </c>
      <c r="N485">
        <f t="shared" si="42"/>
        <v>1</v>
      </c>
      <c r="O485" t="str">
        <f t="shared" si="43"/>
        <v>04-2026</v>
      </c>
      <c r="P485" t="str">
        <f t="shared" si="44"/>
        <v>06-2026</v>
      </c>
      <c r="Q485">
        <f t="shared" si="45"/>
        <v>0</v>
      </c>
      <c r="R485">
        <f t="shared" si="46"/>
        <v>1</v>
      </c>
      <c r="S485" t="str">
        <f t="shared" si="47"/>
        <v>0-90</v>
      </c>
    </row>
    <row r="486" spans="1:19" x14ac:dyDescent="0.25">
      <c r="A486" s="6" t="s">
        <v>521</v>
      </c>
      <c r="B486" s="6" t="s">
        <v>14</v>
      </c>
      <c r="C486" s="6" t="s">
        <v>15</v>
      </c>
      <c r="D486" s="6" t="s">
        <v>208</v>
      </c>
      <c r="E486" s="6" t="s">
        <v>209</v>
      </c>
      <c r="F486" s="6" t="s">
        <v>210</v>
      </c>
      <c r="G486" s="6" t="s">
        <v>19</v>
      </c>
      <c r="H486" s="11">
        <v>46137</v>
      </c>
      <c r="I486" s="11">
        <v>46137</v>
      </c>
      <c r="J486" s="6" t="s">
        <v>20</v>
      </c>
      <c r="K486" s="6" t="s">
        <v>21</v>
      </c>
      <c r="L486" s="6" t="s">
        <v>50</v>
      </c>
      <c r="M486" s="6">
        <v>0</v>
      </c>
      <c r="N486">
        <f t="shared" si="42"/>
        <v>1</v>
      </c>
      <c r="O486" t="str">
        <f t="shared" si="43"/>
        <v>04-2026</v>
      </c>
      <c r="P486" t="str">
        <f t="shared" si="44"/>
        <v>04-2026</v>
      </c>
      <c r="Q486">
        <f t="shared" si="45"/>
        <v>1</v>
      </c>
      <c r="R486">
        <f t="shared" si="46"/>
        <v>0</v>
      </c>
      <c r="S486" t="str">
        <f t="shared" si="47"/>
        <v>0-90</v>
      </c>
    </row>
    <row r="487" spans="1:19" x14ac:dyDescent="0.25">
      <c r="A487" s="6" t="s">
        <v>522</v>
      </c>
      <c r="B487" s="6" t="s">
        <v>14</v>
      </c>
      <c r="C487" s="6" t="s">
        <v>15</v>
      </c>
      <c r="D487" s="6" t="s">
        <v>208</v>
      </c>
      <c r="E487" s="6" t="s">
        <v>209</v>
      </c>
      <c r="F487" s="6" t="s">
        <v>210</v>
      </c>
      <c r="G487" s="6" t="s">
        <v>19</v>
      </c>
      <c r="H487" s="11">
        <v>46137</v>
      </c>
      <c r="I487" s="11">
        <v>46142</v>
      </c>
      <c r="J487" s="6" t="s">
        <v>20</v>
      </c>
      <c r="K487" s="6" t="s">
        <v>21</v>
      </c>
      <c r="L487" s="6" t="s">
        <v>22</v>
      </c>
      <c r="M487" s="6">
        <v>5</v>
      </c>
      <c r="N487">
        <f t="shared" si="42"/>
        <v>1</v>
      </c>
      <c r="O487" t="str">
        <f t="shared" si="43"/>
        <v>04-2026</v>
      </c>
      <c r="P487" t="str">
        <f t="shared" si="44"/>
        <v>04-2026</v>
      </c>
      <c r="Q487">
        <f t="shared" si="45"/>
        <v>1</v>
      </c>
      <c r="R487">
        <f t="shared" si="46"/>
        <v>0</v>
      </c>
      <c r="S487" t="str">
        <f t="shared" si="47"/>
        <v>0-90</v>
      </c>
    </row>
    <row r="488" spans="1:19" x14ac:dyDescent="0.25">
      <c r="A488" s="6" t="s">
        <v>523</v>
      </c>
      <c r="B488" s="6" t="s">
        <v>14</v>
      </c>
      <c r="C488" s="6" t="s">
        <v>15</v>
      </c>
      <c r="D488" s="6" t="s">
        <v>208</v>
      </c>
      <c r="E488" s="6" t="s">
        <v>209</v>
      </c>
      <c r="F488" s="6" t="s">
        <v>210</v>
      </c>
      <c r="G488" s="6" t="s">
        <v>19</v>
      </c>
      <c r="H488" s="11">
        <v>46137</v>
      </c>
      <c r="I488" s="11"/>
      <c r="J488" s="6" t="s">
        <v>27</v>
      </c>
      <c r="K488" s="6"/>
      <c r="L488" s="6"/>
      <c r="M488" s="6">
        <v>66</v>
      </c>
      <c r="N488">
        <f t="shared" si="42"/>
        <v>0</v>
      </c>
      <c r="O488" t="str">
        <f t="shared" si="43"/>
        <v>04-2026</v>
      </c>
      <c r="P488" t="str">
        <f t="shared" si="44"/>
        <v/>
      </c>
      <c r="Q488">
        <f t="shared" si="45"/>
        <v>0</v>
      </c>
      <c r="R488">
        <f t="shared" si="46"/>
        <v>0</v>
      </c>
      <c r="S488" t="str">
        <f t="shared" si="47"/>
        <v>0-90</v>
      </c>
    </row>
    <row r="489" spans="1:19" x14ac:dyDescent="0.25">
      <c r="A489" s="6" t="s">
        <v>524</v>
      </c>
      <c r="B489" s="6" t="s">
        <v>14</v>
      </c>
      <c r="C489" s="6" t="s">
        <v>15</v>
      </c>
      <c r="D489" s="6" t="s">
        <v>208</v>
      </c>
      <c r="E489" s="6" t="s">
        <v>209</v>
      </c>
      <c r="F489" s="6" t="s">
        <v>210</v>
      </c>
      <c r="G489" s="6" t="s">
        <v>19</v>
      </c>
      <c r="H489" s="11">
        <v>46137</v>
      </c>
      <c r="I489" s="11">
        <v>46146</v>
      </c>
      <c r="J489" s="6" t="s">
        <v>20</v>
      </c>
      <c r="K489" s="6" t="s">
        <v>24</v>
      </c>
      <c r="L489" s="6" t="s">
        <v>55</v>
      </c>
      <c r="M489" s="6">
        <v>9</v>
      </c>
      <c r="N489">
        <f t="shared" si="42"/>
        <v>1</v>
      </c>
      <c r="O489" t="str">
        <f t="shared" si="43"/>
        <v>04-2026</v>
      </c>
      <c r="P489" t="str">
        <f t="shared" si="44"/>
        <v>05-2026</v>
      </c>
      <c r="Q489">
        <f t="shared" si="45"/>
        <v>0</v>
      </c>
      <c r="R489">
        <f t="shared" si="46"/>
        <v>1</v>
      </c>
      <c r="S489" t="str">
        <f t="shared" si="47"/>
        <v>0-90</v>
      </c>
    </row>
    <row r="490" spans="1:19" x14ac:dyDescent="0.25">
      <c r="A490" s="6" t="s">
        <v>525</v>
      </c>
      <c r="B490" s="6" t="s">
        <v>14</v>
      </c>
      <c r="C490" s="6" t="s">
        <v>15</v>
      </c>
      <c r="D490" s="6" t="s">
        <v>208</v>
      </c>
      <c r="E490" s="6" t="s">
        <v>209</v>
      </c>
      <c r="F490" s="6" t="s">
        <v>210</v>
      </c>
      <c r="G490" s="6" t="s">
        <v>19</v>
      </c>
      <c r="H490" s="11">
        <v>46137</v>
      </c>
      <c r="I490" s="11">
        <v>46170</v>
      </c>
      <c r="J490" s="6" t="s">
        <v>20</v>
      </c>
      <c r="K490" s="6" t="s">
        <v>24</v>
      </c>
      <c r="L490" s="6" t="s">
        <v>41</v>
      </c>
      <c r="M490" s="6">
        <v>33</v>
      </c>
      <c r="N490">
        <f t="shared" si="42"/>
        <v>1</v>
      </c>
      <c r="O490" t="str">
        <f t="shared" si="43"/>
        <v>04-2026</v>
      </c>
      <c r="P490" t="str">
        <f t="shared" si="44"/>
        <v>05-2026</v>
      </c>
      <c r="Q490">
        <f t="shared" si="45"/>
        <v>0</v>
      </c>
      <c r="R490">
        <f t="shared" si="46"/>
        <v>1</v>
      </c>
      <c r="S490" t="str">
        <f t="shared" si="47"/>
        <v>0-90</v>
      </c>
    </row>
    <row r="491" spans="1:19" x14ac:dyDescent="0.25">
      <c r="A491" s="6" t="s">
        <v>526</v>
      </c>
      <c r="B491" s="6" t="s">
        <v>14</v>
      </c>
      <c r="C491" s="6" t="s">
        <v>15</v>
      </c>
      <c r="D491" s="6" t="s">
        <v>208</v>
      </c>
      <c r="E491" s="6" t="s">
        <v>209</v>
      </c>
      <c r="F491" s="6" t="s">
        <v>210</v>
      </c>
      <c r="G491" s="6" t="s">
        <v>19</v>
      </c>
      <c r="H491" s="11">
        <v>46137</v>
      </c>
      <c r="I491" s="11"/>
      <c r="J491" s="6" t="s">
        <v>27</v>
      </c>
      <c r="K491" s="6"/>
      <c r="L491" s="6"/>
      <c r="M491" s="6">
        <v>66</v>
      </c>
      <c r="N491">
        <f t="shared" si="42"/>
        <v>0</v>
      </c>
      <c r="O491" t="str">
        <f t="shared" si="43"/>
        <v>04-2026</v>
      </c>
      <c r="P491" t="str">
        <f t="shared" si="44"/>
        <v/>
      </c>
      <c r="Q491">
        <f t="shared" si="45"/>
        <v>0</v>
      </c>
      <c r="R491">
        <f t="shared" si="46"/>
        <v>0</v>
      </c>
      <c r="S491" t="str">
        <f t="shared" si="47"/>
        <v>0-90</v>
      </c>
    </row>
    <row r="492" spans="1:19" x14ac:dyDescent="0.25">
      <c r="A492" s="6" t="s">
        <v>527</v>
      </c>
      <c r="B492" s="6" t="s">
        <v>14</v>
      </c>
      <c r="C492" s="6" t="s">
        <v>15</v>
      </c>
      <c r="D492" s="6" t="s">
        <v>208</v>
      </c>
      <c r="E492" s="6" t="s">
        <v>209</v>
      </c>
      <c r="F492" s="6" t="s">
        <v>210</v>
      </c>
      <c r="G492" s="6" t="s">
        <v>19</v>
      </c>
      <c r="H492" s="11">
        <v>46198</v>
      </c>
      <c r="I492" s="11"/>
      <c r="J492" s="6" t="s">
        <v>27</v>
      </c>
      <c r="K492" s="6"/>
      <c r="L492" s="6"/>
      <c r="M492" s="6">
        <v>5</v>
      </c>
      <c r="N492">
        <f t="shared" si="42"/>
        <v>0</v>
      </c>
      <c r="O492" t="str">
        <f t="shared" si="43"/>
        <v>06-2026</v>
      </c>
      <c r="P492" t="str">
        <f t="shared" si="44"/>
        <v/>
      </c>
      <c r="Q492">
        <f t="shared" si="45"/>
        <v>0</v>
      </c>
      <c r="R492">
        <f t="shared" si="46"/>
        <v>0</v>
      </c>
      <c r="S492" t="str">
        <f t="shared" si="47"/>
        <v>0-90</v>
      </c>
    </row>
    <row r="493" spans="1:19" x14ac:dyDescent="0.25">
      <c r="A493" s="6" t="s">
        <v>528</v>
      </c>
      <c r="B493" s="6" t="s">
        <v>14</v>
      </c>
      <c r="C493" s="6" t="s">
        <v>15</v>
      </c>
      <c r="D493" s="6" t="s">
        <v>208</v>
      </c>
      <c r="E493" s="6" t="s">
        <v>209</v>
      </c>
      <c r="F493" s="6" t="s">
        <v>210</v>
      </c>
      <c r="G493" s="6" t="s">
        <v>19</v>
      </c>
      <c r="H493" s="11">
        <v>46198</v>
      </c>
      <c r="I493" s="11">
        <v>46198</v>
      </c>
      <c r="J493" s="6" t="s">
        <v>20</v>
      </c>
      <c r="K493" s="6" t="s">
        <v>21</v>
      </c>
      <c r="L493" s="6" t="s">
        <v>37</v>
      </c>
      <c r="M493" s="6">
        <v>0</v>
      </c>
      <c r="N493">
        <f t="shared" si="42"/>
        <v>1</v>
      </c>
      <c r="O493" t="str">
        <f t="shared" si="43"/>
        <v>06-2026</v>
      </c>
      <c r="P493" t="str">
        <f t="shared" si="44"/>
        <v>06-2026</v>
      </c>
      <c r="Q493">
        <f t="shared" si="45"/>
        <v>1</v>
      </c>
      <c r="R493">
        <f t="shared" si="46"/>
        <v>0</v>
      </c>
      <c r="S493" t="str">
        <f t="shared" si="47"/>
        <v>0-90</v>
      </c>
    </row>
    <row r="494" spans="1:19" x14ac:dyDescent="0.25">
      <c r="A494" s="6" t="s">
        <v>529</v>
      </c>
      <c r="B494" s="6" t="s">
        <v>14</v>
      </c>
      <c r="C494" s="6" t="s">
        <v>15</v>
      </c>
      <c r="D494" s="6" t="s">
        <v>208</v>
      </c>
      <c r="E494" s="6" t="s">
        <v>209</v>
      </c>
      <c r="F494" s="6" t="s">
        <v>210</v>
      </c>
      <c r="G494" s="6" t="s">
        <v>19</v>
      </c>
      <c r="H494" s="11">
        <v>46198</v>
      </c>
      <c r="I494" s="11">
        <v>46198</v>
      </c>
      <c r="J494" s="6" t="s">
        <v>20</v>
      </c>
      <c r="K494" s="6" t="s">
        <v>21</v>
      </c>
      <c r="L494" s="6" t="s">
        <v>61</v>
      </c>
      <c r="M494" s="6">
        <v>0</v>
      </c>
      <c r="N494">
        <f t="shared" si="42"/>
        <v>1</v>
      </c>
      <c r="O494" t="str">
        <f t="shared" si="43"/>
        <v>06-2026</v>
      </c>
      <c r="P494" t="str">
        <f t="shared" si="44"/>
        <v>06-2026</v>
      </c>
      <c r="Q494">
        <f t="shared" si="45"/>
        <v>1</v>
      </c>
      <c r="R494">
        <f t="shared" si="46"/>
        <v>0</v>
      </c>
      <c r="S494" t="str">
        <f t="shared" si="47"/>
        <v>0-90</v>
      </c>
    </row>
    <row r="495" spans="1:19" x14ac:dyDescent="0.25">
      <c r="A495" s="6" t="s">
        <v>530</v>
      </c>
      <c r="B495" s="6" t="s">
        <v>14</v>
      </c>
      <c r="C495" s="6" t="s">
        <v>15</v>
      </c>
      <c r="D495" s="6" t="s">
        <v>208</v>
      </c>
      <c r="E495" s="6" t="s">
        <v>209</v>
      </c>
      <c r="F495" s="6" t="s">
        <v>210</v>
      </c>
      <c r="G495" s="6" t="s">
        <v>19</v>
      </c>
      <c r="H495" s="11">
        <v>46198</v>
      </c>
      <c r="I495" s="11">
        <v>46198</v>
      </c>
      <c r="J495" s="6" t="s">
        <v>20</v>
      </c>
      <c r="K495" s="6" t="s">
        <v>21</v>
      </c>
      <c r="L495" s="6" t="s">
        <v>33</v>
      </c>
      <c r="M495" s="6">
        <v>0</v>
      </c>
      <c r="N495">
        <f t="shared" si="42"/>
        <v>1</v>
      </c>
      <c r="O495" t="str">
        <f t="shared" si="43"/>
        <v>06-2026</v>
      </c>
      <c r="P495" t="str">
        <f t="shared" si="44"/>
        <v>06-2026</v>
      </c>
      <c r="Q495">
        <f t="shared" si="45"/>
        <v>1</v>
      </c>
      <c r="R495">
        <f t="shared" si="46"/>
        <v>0</v>
      </c>
      <c r="S495" t="str">
        <f t="shared" si="47"/>
        <v>0-90</v>
      </c>
    </row>
    <row r="496" spans="1:19" x14ac:dyDescent="0.25">
      <c r="A496" s="6" t="s">
        <v>531</v>
      </c>
      <c r="B496" s="6" t="s">
        <v>14</v>
      </c>
      <c r="C496" s="6" t="s">
        <v>15</v>
      </c>
      <c r="D496" s="6" t="s">
        <v>208</v>
      </c>
      <c r="E496" s="6" t="s">
        <v>209</v>
      </c>
      <c r="F496" s="6" t="s">
        <v>210</v>
      </c>
      <c r="G496" s="6" t="s">
        <v>19</v>
      </c>
      <c r="H496" s="11">
        <v>46167</v>
      </c>
      <c r="I496" s="11">
        <v>46168</v>
      </c>
      <c r="J496" s="6" t="s">
        <v>20</v>
      </c>
      <c r="K496" s="6" t="s">
        <v>21</v>
      </c>
      <c r="L496" s="6" t="s">
        <v>33</v>
      </c>
      <c r="M496" s="6">
        <v>1</v>
      </c>
      <c r="N496">
        <f t="shared" si="42"/>
        <v>1</v>
      </c>
      <c r="O496" t="str">
        <f t="shared" si="43"/>
        <v>05-2026</v>
      </c>
      <c r="P496" t="str">
        <f t="shared" si="44"/>
        <v>05-2026</v>
      </c>
      <c r="Q496">
        <f t="shared" si="45"/>
        <v>1</v>
      </c>
      <c r="R496">
        <f t="shared" si="46"/>
        <v>0</v>
      </c>
      <c r="S496" t="str">
        <f t="shared" si="47"/>
        <v>0-90</v>
      </c>
    </row>
    <row r="497" spans="1:19" x14ac:dyDescent="0.25">
      <c r="A497" s="6" t="s">
        <v>532</v>
      </c>
      <c r="B497" s="6" t="s">
        <v>14</v>
      </c>
      <c r="C497" s="6" t="s">
        <v>15</v>
      </c>
      <c r="D497" s="6" t="s">
        <v>208</v>
      </c>
      <c r="E497" s="6" t="s">
        <v>209</v>
      </c>
      <c r="F497" s="6" t="s">
        <v>210</v>
      </c>
      <c r="G497" s="6" t="s">
        <v>19</v>
      </c>
      <c r="H497" s="11">
        <v>46167</v>
      </c>
      <c r="I497" s="11">
        <v>46178</v>
      </c>
      <c r="J497" s="6" t="s">
        <v>20</v>
      </c>
      <c r="K497" s="6" t="s">
        <v>24</v>
      </c>
      <c r="L497" s="6" t="s">
        <v>55</v>
      </c>
      <c r="M497" s="6">
        <v>11</v>
      </c>
      <c r="N497">
        <f t="shared" si="42"/>
        <v>1</v>
      </c>
      <c r="O497" t="str">
        <f t="shared" si="43"/>
        <v>05-2026</v>
      </c>
      <c r="P497" t="str">
        <f t="shared" si="44"/>
        <v>06-2026</v>
      </c>
      <c r="Q497">
        <f t="shared" si="45"/>
        <v>0</v>
      </c>
      <c r="R497">
        <f t="shared" si="46"/>
        <v>1</v>
      </c>
      <c r="S497" t="str">
        <f t="shared" si="47"/>
        <v>0-90</v>
      </c>
    </row>
    <row r="498" spans="1:19" x14ac:dyDescent="0.25">
      <c r="A498" s="6" t="s">
        <v>533</v>
      </c>
      <c r="B498" s="6" t="s">
        <v>14</v>
      </c>
      <c r="C498" s="6" t="s">
        <v>15</v>
      </c>
      <c r="D498" s="6" t="s">
        <v>208</v>
      </c>
      <c r="E498" s="6" t="s">
        <v>209</v>
      </c>
      <c r="F498" s="6" t="s">
        <v>210</v>
      </c>
      <c r="G498" s="6" t="s">
        <v>19</v>
      </c>
      <c r="H498" s="11">
        <v>46167</v>
      </c>
      <c r="I498" s="11">
        <v>46167</v>
      </c>
      <c r="J498" s="6" t="s">
        <v>20</v>
      </c>
      <c r="K498" s="6" t="s">
        <v>21</v>
      </c>
      <c r="L498" s="6" t="s">
        <v>22</v>
      </c>
      <c r="M498" s="6">
        <v>0</v>
      </c>
      <c r="N498">
        <f t="shared" si="42"/>
        <v>1</v>
      </c>
      <c r="O498" t="str">
        <f t="shared" si="43"/>
        <v>05-2026</v>
      </c>
      <c r="P498" t="str">
        <f t="shared" si="44"/>
        <v>05-2026</v>
      </c>
      <c r="Q498">
        <f t="shared" si="45"/>
        <v>1</v>
      </c>
      <c r="R498">
        <f t="shared" si="46"/>
        <v>0</v>
      </c>
      <c r="S498" t="str">
        <f t="shared" si="47"/>
        <v>0-90</v>
      </c>
    </row>
    <row r="499" spans="1:19" x14ac:dyDescent="0.25">
      <c r="A499" s="6" t="s">
        <v>534</v>
      </c>
      <c r="B499" s="6" t="s">
        <v>14</v>
      </c>
      <c r="C499" s="6" t="s">
        <v>15</v>
      </c>
      <c r="D499" s="6" t="s">
        <v>208</v>
      </c>
      <c r="E499" s="6" t="s">
        <v>209</v>
      </c>
      <c r="F499" s="6" t="s">
        <v>210</v>
      </c>
      <c r="G499" s="6" t="s">
        <v>19</v>
      </c>
      <c r="H499" s="11">
        <v>46167</v>
      </c>
      <c r="I499" s="11">
        <v>46167</v>
      </c>
      <c r="J499" s="6" t="s">
        <v>20</v>
      </c>
      <c r="K499" s="6" t="s">
        <v>21</v>
      </c>
      <c r="L499" s="6" t="s">
        <v>33</v>
      </c>
      <c r="M499" s="6">
        <v>0</v>
      </c>
      <c r="N499">
        <f t="shared" si="42"/>
        <v>1</v>
      </c>
      <c r="O499" t="str">
        <f t="shared" si="43"/>
        <v>05-2026</v>
      </c>
      <c r="P499" t="str">
        <f t="shared" si="44"/>
        <v>05-2026</v>
      </c>
      <c r="Q499">
        <f t="shared" si="45"/>
        <v>1</v>
      </c>
      <c r="R499">
        <f t="shared" si="46"/>
        <v>0</v>
      </c>
      <c r="S499" t="str">
        <f t="shared" si="47"/>
        <v>0-90</v>
      </c>
    </row>
    <row r="500" spans="1:19" x14ac:dyDescent="0.25">
      <c r="A500" s="6" t="s">
        <v>535</v>
      </c>
      <c r="B500" s="6" t="s">
        <v>14</v>
      </c>
      <c r="C500" s="6" t="s">
        <v>15</v>
      </c>
      <c r="D500" s="6" t="s">
        <v>208</v>
      </c>
      <c r="E500" s="6" t="s">
        <v>209</v>
      </c>
      <c r="F500" s="6" t="s">
        <v>210</v>
      </c>
      <c r="G500" s="6" t="s">
        <v>19</v>
      </c>
      <c r="H500" s="11">
        <v>46138</v>
      </c>
      <c r="I500" s="11"/>
      <c r="J500" s="6" t="s">
        <v>27</v>
      </c>
      <c r="K500" s="6"/>
      <c r="L500" s="6"/>
      <c r="M500" s="6">
        <v>65</v>
      </c>
      <c r="N500">
        <f t="shared" si="42"/>
        <v>0</v>
      </c>
      <c r="O500" t="str">
        <f t="shared" si="43"/>
        <v>04-2026</v>
      </c>
      <c r="P500" t="str">
        <f t="shared" si="44"/>
        <v/>
      </c>
      <c r="Q500">
        <f t="shared" si="45"/>
        <v>0</v>
      </c>
      <c r="R500">
        <f t="shared" si="46"/>
        <v>0</v>
      </c>
      <c r="S500" t="str">
        <f t="shared" si="47"/>
        <v>0-90</v>
      </c>
    </row>
    <row r="501" spans="1:19" x14ac:dyDescent="0.25">
      <c r="A501" s="6" t="s">
        <v>536</v>
      </c>
      <c r="B501" s="6" t="s">
        <v>14</v>
      </c>
      <c r="C501" s="6" t="s">
        <v>15</v>
      </c>
      <c r="D501" s="6" t="s">
        <v>208</v>
      </c>
      <c r="E501" s="6" t="s">
        <v>209</v>
      </c>
      <c r="F501" s="6" t="s">
        <v>210</v>
      </c>
      <c r="G501" s="6" t="s">
        <v>19</v>
      </c>
      <c r="H501" s="11">
        <v>46138</v>
      </c>
      <c r="I501" s="11">
        <v>46158</v>
      </c>
      <c r="J501" s="6" t="s">
        <v>20</v>
      </c>
      <c r="K501" s="6" t="s">
        <v>24</v>
      </c>
      <c r="L501" s="6" t="s">
        <v>41</v>
      </c>
      <c r="M501" s="6">
        <v>20</v>
      </c>
      <c r="N501">
        <f t="shared" si="42"/>
        <v>1</v>
      </c>
      <c r="O501" t="str">
        <f t="shared" si="43"/>
        <v>04-2026</v>
      </c>
      <c r="P501" t="str">
        <f t="shared" si="44"/>
        <v>05-2026</v>
      </c>
      <c r="Q501">
        <f t="shared" si="45"/>
        <v>0</v>
      </c>
      <c r="R501">
        <f t="shared" si="46"/>
        <v>1</v>
      </c>
      <c r="S501" t="str">
        <f t="shared" si="47"/>
        <v>0-90</v>
      </c>
    </row>
    <row r="502" spans="1:19" x14ac:dyDescent="0.25">
      <c r="A502" s="6" t="s">
        <v>537</v>
      </c>
      <c r="B502" s="6" t="s">
        <v>14</v>
      </c>
      <c r="C502" s="6" t="s">
        <v>15</v>
      </c>
      <c r="D502" s="6" t="s">
        <v>208</v>
      </c>
      <c r="E502" s="6" t="s">
        <v>209</v>
      </c>
      <c r="F502" s="6" t="s">
        <v>210</v>
      </c>
      <c r="G502" s="6" t="s">
        <v>19</v>
      </c>
      <c r="H502" s="11">
        <v>45895</v>
      </c>
      <c r="I502" s="11">
        <v>46183</v>
      </c>
      <c r="J502" s="6" t="s">
        <v>20</v>
      </c>
      <c r="K502" s="6" t="s">
        <v>24</v>
      </c>
      <c r="L502" s="6" t="s">
        <v>41</v>
      </c>
      <c r="M502" s="6">
        <v>288</v>
      </c>
      <c r="N502">
        <f t="shared" si="42"/>
        <v>1</v>
      </c>
      <c r="O502" t="str">
        <f t="shared" si="43"/>
        <v>08-2025</v>
      </c>
      <c r="P502" t="str">
        <f t="shared" si="44"/>
        <v>06-2026</v>
      </c>
      <c r="Q502">
        <f t="shared" si="45"/>
        <v>0</v>
      </c>
      <c r="R502">
        <f t="shared" si="46"/>
        <v>1</v>
      </c>
      <c r="S502" t="str">
        <f t="shared" si="47"/>
        <v>180-365</v>
      </c>
    </row>
    <row r="503" spans="1:19" x14ac:dyDescent="0.25">
      <c r="A503" s="6" t="s">
        <v>538</v>
      </c>
      <c r="B503" s="6" t="s">
        <v>14</v>
      </c>
      <c r="C503" s="6" t="s">
        <v>15</v>
      </c>
      <c r="D503" s="6" t="s">
        <v>208</v>
      </c>
      <c r="E503" s="6" t="s">
        <v>209</v>
      </c>
      <c r="F503" s="6" t="s">
        <v>210</v>
      </c>
      <c r="G503" s="6" t="s">
        <v>19</v>
      </c>
      <c r="H503" s="11">
        <v>45895</v>
      </c>
      <c r="I503" s="11">
        <v>46166</v>
      </c>
      <c r="J503" s="6" t="s">
        <v>20</v>
      </c>
      <c r="K503" s="6" t="s">
        <v>24</v>
      </c>
      <c r="L503" s="6" t="s">
        <v>55</v>
      </c>
      <c r="M503" s="6">
        <v>271</v>
      </c>
      <c r="N503">
        <f t="shared" si="42"/>
        <v>1</v>
      </c>
      <c r="O503" t="str">
        <f t="shared" si="43"/>
        <v>08-2025</v>
      </c>
      <c r="P503" t="str">
        <f t="shared" si="44"/>
        <v>05-2026</v>
      </c>
      <c r="Q503">
        <f t="shared" si="45"/>
        <v>0</v>
      </c>
      <c r="R503">
        <f t="shared" si="46"/>
        <v>1</v>
      </c>
      <c r="S503" t="str">
        <f t="shared" si="47"/>
        <v>180-365</v>
      </c>
    </row>
    <row r="504" spans="1:19" x14ac:dyDescent="0.25">
      <c r="A504" s="6" t="s">
        <v>539</v>
      </c>
      <c r="B504" s="6" t="s">
        <v>14</v>
      </c>
      <c r="C504" s="6" t="s">
        <v>15</v>
      </c>
      <c r="D504" s="6" t="s">
        <v>208</v>
      </c>
      <c r="E504" s="6" t="s">
        <v>209</v>
      </c>
      <c r="F504" s="6" t="s">
        <v>210</v>
      </c>
      <c r="G504" s="6" t="s">
        <v>19</v>
      </c>
      <c r="H504" s="11">
        <v>45683</v>
      </c>
      <c r="I504" s="11">
        <v>46164</v>
      </c>
      <c r="J504" s="6" t="s">
        <v>20</v>
      </c>
      <c r="K504" s="6" t="s">
        <v>24</v>
      </c>
      <c r="L504" s="6" t="s">
        <v>41</v>
      </c>
      <c r="M504" s="6">
        <v>481</v>
      </c>
      <c r="N504">
        <f t="shared" si="42"/>
        <v>1</v>
      </c>
      <c r="O504" t="str">
        <f t="shared" si="43"/>
        <v>01-2025</v>
      </c>
      <c r="P504" t="str">
        <f t="shared" si="44"/>
        <v>05-2026</v>
      </c>
      <c r="Q504">
        <f t="shared" si="45"/>
        <v>0</v>
      </c>
      <c r="R504">
        <f t="shared" si="46"/>
        <v>1</v>
      </c>
      <c r="S504" t="str">
        <f t="shared" si="47"/>
        <v>above 1 year</v>
      </c>
    </row>
    <row r="505" spans="1:19" x14ac:dyDescent="0.25">
      <c r="A505" s="6" t="s">
        <v>540</v>
      </c>
      <c r="B505" s="6" t="s">
        <v>14</v>
      </c>
      <c r="C505" s="6" t="s">
        <v>15</v>
      </c>
      <c r="D505" s="6" t="s">
        <v>208</v>
      </c>
      <c r="E505" s="6" t="s">
        <v>209</v>
      </c>
      <c r="F505" s="6" t="s">
        <v>210</v>
      </c>
      <c r="G505" s="6" t="s">
        <v>19</v>
      </c>
      <c r="H505" s="11">
        <v>46199</v>
      </c>
      <c r="I505" s="11">
        <v>46199</v>
      </c>
      <c r="J505" s="6" t="s">
        <v>20</v>
      </c>
      <c r="K505" s="6" t="s">
        <v>21</v>
      </c>
      <c r="L505" s="6" t="s">
        <v>22</v>
      </c>
      <c r="M505" s="6">
        <v>0</v>
      </c>
      <c r="N505">
        <f t="shared" si="42"/>
        <v>1</v>
      </c>
      <c r="O505" t="str">
        <f t="shared" si="43"/>
        <v>06-2026</v>
      </c>
      <c r="P505" t="str">
        <f t="shared" si="44"/>
        <v>06-2026</v>
      </c>
      <c r="Q505">
        <f t="shared" si="45"/>
        <v>1</v>
      </c>
      <c r="R505">
        <f t="shared" si="46"/>
        <v>0</v>
      </c>
      <c r="S505" t="str">
        <f t="shared" si="47"/>
        <v>0-90</v>
      </c>
    </row>
    <row r="506" spans="1:19" x14ac:dyDescent="0.25">
      <c r="A506" s="6" t="s">
        <v>541</v>
      </c>
      <c r="B506" s="6" t="s">
        <v>14</v>
      </c>
      <c r="C506" s="6" t="s">
        <v>15</v>
      </c>
      <c r="D506" s="6" t="s">
        <v>208</v>
      </c>
      <c r="E506" s="6" t="s">
        <v>209</v>
      </c>
      <c r="F506" s="6" t="s">
        <v>210</v>
      </c>
      <c r="G506" s="6" t="s">
        <v>19</v>
      </c>
      <c r="H506" s="11">
        <v>46168</v>
      </c>
      <c r="I506" s="11">
        <v>46203</v>
      </c>
      <c r="J506" s="6" t="s">
        <v>20</v>
      </c>
      <c r="K506" s="6" t="s">
        <v>24</v>
      </c>
      <c r="L506" s="6" t="s">
        <v>55</v>
      </c>
      <c r="M506" s="6">
        <v>35</v>
      </c>
      <c r="N506">
        <f t="shared" si="42"/>
        <v>1</v>
      </c>
      <c r="O506" t="str">
        <f t="shared" si="43"/>
        <v>05-2026</v>
      </c>
      <c r="P506" t="str">
        <f t="shared" si="44"/>
        <v>06-2026</v>
      </c>
      <c r="Q506">
        <f t="shared" si="45"/>
        <v>0</v>
      </c>
      <c r="R506">
        <f t="shared" si="46"/>
        <v>1</v>
      </c>
      <c r="S506" t="str">
        <f t="shared" si="47"/>
        <v>0-90</v>
      </c>
    </row>
    <row r="507" spans="1:19" x14ac:dyDescent="0.25">
      <c r="A507" s="6" t="s">
        <v>542</v>
      </c>
      <c r="B507" s="6" t="s">
        <v>14</v>
      </c>
      <c r="C507" s="6" t="s">
        <v>15</v>
      </c>
      <c r="D507" s="6" t="s">
        <v>208</v>
      </c>
      <c r="E507" s="6" t="s">
        <v>209</v>
      </c>
      <c r="F507" s="6" t="s">
        <v>210</v>
      </c>
      <c r="G507" s="6" t="s">
        <v>19</v>
      </c>
      <c r="H507" s="11">
        <v>46168</v>
      </c>
      <c r="I507" s="11">
        <v>46170</v>
      </c>
      <c r="J507" s="6" t="s">
        <v>20</v>
      </c>
      <c r="K507" s="6" t="s">
        <v>21</v>
      </c>
      <c r="L507" s="6" t="s">
        <v>22</v>
      </c>
      <c r="M507" s="6">
        <v>2</v>
      </c>
      <c r="N507">
        <f t="shared" si="42"/>
        <v>1</v>
      </c>
      <c r="O507" t="str">
        <f t="shared" si="43"/>
        <v>05-2026</v>
      </c>
      <c r="P507" t="str">
        <f t="shared" si="44"/>
        <v>05-2026</v>
      </c>
      <c r="Q507">
        <f t="shared" si="45"/>
        <v>1</v>
      </c>
      <c r="R507">
        <f t="shared" si="46"/>
        <v>0</v>
      </c>
      <c r="S507" t="str">
        <f t="shared" si="47"/>
        <v>0-90</v>
      </c>
    </row>
    <row r="508" spans="1:19" x14ac:dyDescent="0.25">
      <c r="A508" s="6" t="s">
        <v>543</v>
      </c>
      <c r="B508" s="6" t="s">
        <v>14</v>
      </c>
      <c r="C508" s="6" t="s">
        <v>15</v>
      </c>
      <c r="D508" s="6" t="s">
        <v>208</v>
      </c>
      <c r="E508" s="6" t="s">
        <v>209</v>
      </c>
      <c r="F508" s="6" t="s">
        <v>210</v>
      </c>
      <c r="G508" s="6" t="s">
        <v>19</v>
      </c>
      <c r="H508" s="11">
        <v>46168</v>
      </c>
      <c r="I508" s="11"/>
      <c r="J508" s="6" t="s">
        <v>27</v>
      </c>
      <c r="K508" s="6"/>
      <c r="L508" s="6"/>
      <c r="M508" s="6">
        <v>35</v>
      </c>
      <c r="N508">
        <f t="shared" si="42"/>
        <v>0</v>
      </c>
      <c r="O508" t="str">
        <f t="shared" si="43"/>
        <v>05-2026</v>
      </c>
      <c r="P508" t="str">
        <f t="shared" si="44"/>
        <v/>
      </c>
      <c r="Q508">
        <f t="shared" si="45"/>
        <v>0</v>
      </c>
      <c r="R508">
        <f t="shared" si="46"/>
        <v>0</v>
      </c>
      <c r="S508" t="str">
        <f t="shared" si="47"/>
        <v>0-90</v>
      </c>
    </row>
    <row r="509" spans="1:19" x14ac:dyDescent="0.25">
      <c r="A509" s="6" t="s">
        <v>544</v>
      </c>
      <c r="B509" s="6" t="s">
        <v>14</v>
      </c>
      <c r="C509" s="6" t="s">
        <v>15</v>
      </c>
      <c r="D509" s="6" t="s">
        <v>208</v>
      </c>
      <c r="E509" s="6" t="s">
        <v>209</v>
      </c>
      <c r="F509" s="6" t="s">
        <v>210</v>
      </c>
      <c r="G509" s="6" t="s">
        <v>19</v>
      </c>
      <c r="H509" s="11">
        <v>46139</v>
      </c>
      <c r="I509" s="11">
        <v>46139</v>
      </c>
      <c r="J509" s="6" t="s">
        <v>20</v>
      </c>
      <c r="K509" s="6" t="s">
        <v>21</v>
      </c>
      <c r="L509" s="6" t="s">
        <v>61</v>
      </c>
      <c r="M509" s="6">
        <v>0</v>
      </c>
      <c r="N509">
        <f t="shared" si="42"/>
        <v>1</v>
      </c>
      <c r="O509" t="str">
        <f t="shared" si="43"/>
        <v>04-2026</v>
      </c>
      <c r="P509" t="str">
        <f t="shared" si="44"/>
        <v>04-2026</v>
      </c>
      <c r="Q509">
        <f t="shared" si="45"/>
        <v>1</v>
      </c>
      <c r="R509">
        <f t="shared" si="46"/>
        <v>0</v>
      </c>
      <c r="S509" t="str">
        <f t="shared" si="47"/>
        <v>0-90</v>
      </c>
    </row>
    <row r="510" spans="1:19" x14ac:dyDescent="0.25">
      <c r="A510" s="6" t="s">
        <v>545</v>
      </c>
      <c r="B510" s="6" t="s">
        <v>14</v>
      </c>
      <c r="C510" s="6" t="s">
        <v>15</v>
      </c>
      <c r="D510" s="6" t="s">
        <v>208</v>
      </c>
      <c r="E510" s="6" t="s">
        <v>209</v>
      </c>
      <c r="F510" s="6" t="s">
        <v>210</v>
      </c>
      <c r="G510" s="6" t="s">
        <v>19</v>
      </c>
      <c r="H510" s="11">
        <v>46139</v>
      </c>
      <c r="I510" s="11">
        <v>46139</v>
      </c>
      <c r="J510" s="6" t="s">
        <v>20</v>
      </c>
      <c r="K510" s="6" t="s">
        <v>21</v>
      </c>
      <c r="L510" s="6" t="s">
        <v>22</v>
      </c>
      <c r="M510" s="6">
        <v>0</v>
      </c>
      <c r="N510">
        <f t="shared" si="42"/>
        <v>1</v>
      </c>
      <c r="O510" t="str">
        <f t="shared" si="43"/>
        <v>04-2026</v>
      </c>
      <c r="P510" t="str">
        <f t="shared" si="44"/>
        <v>04-2026</v>
      </c>
      <c r="Q510">
        <f t="shared" si="45"/>
        <v>1</v>
      </c>
      <c r="R510">
        <f t="shared" si="46"/>
        <v>0</v>
      </c>
      <c r="S510" t="str">
        <f t="shared" si="47"/>
        <v>0-90</v>
      </c>
    </row>
    <row r="511" spans="1:19" x14ac:dyDescent="0.25">
      <c r="A511" s="6" t="s">
        <v>546</v>
      </c>
      <c r="B511" s="6" t="s">
        <v>14</v>
      </c>
      <c r="C511" s="6" t="s">
        <v>15</v>
      </c>
      <c r="D511" s="6" t="s">
        <v>208</v>
      </c>
      <c r="E511" s="6" t="s">
        <v>209</v>
      </c>
      <c r="F511" s="6" t="s">
        <v>210</v>
      </c>
      <c r="G511" s="6" t="s">
        <v>19</v>
      </c>
      <c r="H511" s="11">
        <v>46139</v>
      </c>
      <c r="I511" s="11">
        <v>46151</v>
      </c>
      <c r="J511" s="6" t="s">
        <v>20</v>
      </c>
      <c r="K511" s="6" t="s">
        <v>24</v>
      </c>
      <c r="L511" s="6" t="s">
        <v>55</v>
      </c>
      <c r="M511" s="6">
        <v>12</v>
      </c>
      <c r="N511">
        <f t="shared" si="42"/>
        <v>1</v>
      </c>
      <c r="O511" t="str">
        <f t="shared" si="43"/>
        <v>04-2026</v>
      </c>
      <c r="P511" t="str">
        <f t="shared" si="44"/>
        <v>05-2026</v>
      </c>
      <c r="Q511">
        <f t="shared" si="45"/>
        <v>0</v>
      </c>
      <c r="R511">
        <f t="shared" si="46"/>
        <v>1</v>
      </c>
      <c r="S511" t="str">
        <f t="shared" si="47"/>
        <v>0-90</v>
      </c>
    </row>
    <row r="512" spans="1:19" x14ac:dyDescent="0.25">
      <c r="A512" s="6" t="s">
        <v>547</v>
      </c>
      <c r="B512" s="6" t="s">
        <v>14</v>
      </c>
      <c r="C512" s="6" t="s">
        <v>15</v>
      </c>
      <c r="D512" s="6" t="s">
        <v>208</v>
      </c>
      <c r="E512" s="6" t="s">
        <v>209</v>
      </c>
      <c r="F512" s="6" t="s">
        <v>210</v>
      </c>
      <c r="G512" s="6" t="s">
        <v>19</v>
      </c>
      <c r="H512" s="11">
        <v>46139</v>
      </c>
      <c r="I512" s="11">
        <v>46139</v>
      </c>
      <c r="J512" s="6" t="s">
        <v>20</v>
      </c>
      <c r="K512" s="6" t="s">
        <v>21</v>
      </c>
      <c r="L512" s="6" t="s">
        <v>33</v>
      </c>
      <c r="M512" s="6">
        <v>0</v>
      </c>
      <c r="N512">
        <f t="shared" si="42"/>
        <v>1</v>
      </c>
      <c r="O512" t="str">
        <f t="shared" si="43"/>
        <v>04-2026</v>
      </c>
      <c r="P512" t="str">
        <f t="shared" si="44"/>
        <v>04-2026</v>
      </c>
      <c r="Q512">
        <f t="shared" si="45"/>
        <v>1</v>
      </c>
      <c r="R512">
        <f t="shared" si="46"/>
        <v>0</v>
      </c>
      <c r="S512" t="str">
        <f t="shared" si="47"/>
        <v>0-90</v>
      </c>
    </row>
    <row r="513" spans="1:19" x14ac:dyDescent="0.25">
      <c r="A513" s="6" t="s">
        <v>548</v>
      </c>
      <c r="B513" s="6" t="s">
        <v>14</v>
      </c>
      <c r="C513" s="6" t="s">
        <v>15</v>
      </c>
      <c r="D513" s="6" t="s">
        <v>208</v>
      </c>
      <c r="E513" s="6" t="s">
        <v>209</v>
      </c>
      <c r="F513" s="6" t="s">
        <v>210</v>
      </c>
      <c r="G513" s="6" t="s">
        <v>19</v>
      </c>
      <c r="H513" s="11">
        <v>46139</v>
      </c>
      <c r="I513" s="11"/>
      <c r="J513" s="6" t="s">
        <v>27</v>
      </c>
      <c r="K513" s="6"/>
      <c r="L513" s="6"/>
      <c r="M513" s="6">
        <v>64</v>
      </c>
      <c r="N513">
        <f t="shared" si="42"/>
        <v>0</v>
      </c>
      <c r="O513" t="str">
        <f t="shared" si="43"/>
        <v>04-2026</v>
      </c>
      <c r="P513" t="str">
        <f t="shared" si="44"/>
        <v/>
      </c>
      <c r="Q513">
        <f t="shared" si="45"/>
        <v>0</v>
      </c>
      <c r="R513">
        <f t="shared" si="46"/>
        <v>0</v>
      </c>
      <c r="S513" t="str">
        <f t="shared" si="47"/>
        <v>0-90</v>
      </c>
    </row>
    <row r="514" spans="1:19" x14ac:dyDescent="0.25">
      <c r="A514" s="6" t="s">
        <v>549</v>
      </c>
      <c r="B514" s="6" t="s">
        <v>14</v>
      </c>
      <c r="C514" s="6" t="s">
        <v>15</v>
      </c>
      <c r="D514" s="6" t="s">
        <v>208</v>
      </c>
      <c r="E514" s="6" t="s">
        <v>209</v>
      </c>
      <c r="F514" s="6" t="s">
        <v>210</v>
      </c>
      <c r="G514" s="6" t="s">
        <v>19</v>
      </c>
      <c r="H514" s="11">
        <v>45896</v>
      </c>
      <c r="I514" s="11">
        <v>46180</v>
      </c>
      <c r="J514" s="6" t="s">
        <v>20</v>
      </c>
      <c r="K514" s="6" t="s">
        <v>24</v>
      </c>
      <c r="L514" s="6" t="s">
        <v>55</v>
      </c>
      <c r="M514" s="6">
        <v>284</v>
      </c>
      <c r="N514">
        <f t="shared" si="42"/>
        <v>1</v>
      </c>
      <c r="O514" t="str">
        <f t="shared" si="43"/>
        <v>08-2025</v>
      </c>
      <c r="P514" t="str">
        <f t="shared" si="44"/>
        <v>06-2026</v>
      </c>
      <c r="Q514">
        <f t="shared" si="45"/>
        <v>0</v>
      </c>
      <c r="R514">
        <f t="shared" si="46"/>
        <v>1</v>
      </c>
      <c r="S514" t="str">
        <f t="shared" si="47"/>
        <v>180-365</v>
      </c>
    </row>
    <row r="515" spans="1:19" x14ac:dyDescent="0.25">
      <c r="A515" s="6" t="s">
        <v>550</v>
      </c>
      <c r="B515" s="6" t="s">
        <v>14</v>
      </c>
      <c r="C515" s="6" t="s">
        <v>15</v>
      </c>
      <c r="D515" s="6" t="s">
        <v>208</v>
      </c>
      <c r="E515" s="6" t="s">
        <v>209</v>
      </c>
      <c r="F515" s="6" t="s">
        <v>210</v>
      </c>
      <c r="G515" s="6" t="s">
        <v>19</v>
      </c>
      <c r="H515" s="11">
        <v>46200</v>
      </c>
      <c r="I515" s="11"/>
      <c r="J515" s="6" t="s">
        <v>27</v>
      </c>
      <c r="K515" s="6"/>
      <c r="L515" s="6"/>
      <c r="M515" s="6">
        <v>3</v>
      </c>
      <c r="N515">
        <f t="shared" ref="N515:N578" si="48">IF(J515="Relieved",1,0)</f>
        <v>0</v>
      </c>
      <c r="O515" t="str">
        <f t="shared" ref="O515:O578" si="49">TEXT(H515,"mm-yyyy")</f>
        <v>06-2026</v>
      </c>
      <c r="P515" t="str">
        <f t="shared" ref="P515:P578" si="50">IF(I515="","",TEXT(I515,"mm-yyyy"))</f>
        <v/>
      </c>
      <c r="Q515">
        <f t="shared" ref="Q515:Q578" si="51">IF(K515="Voluntary",1,0)</f>
        <v>0</v>
      </c>
      <c r="R515">
        <f t="shared" ref="R515:R578" si="52">IF(K515="Involuntary",1,0)</f>
        <v>0</v>
      </c>
      <c r="S515" t="str">
        <f t="shared" ref="S515:S578" si="53">IF(M515&lt;90,"0-90",IF(M515&lt;180,"90-180",IF(M515&lt;365,"180-365","above 1 year")))</f>
        <v>0-90</v>
      </c>
    </row>
    <row r="516" spans="1:19" x14ac:dyDescent="0.25">
      <c r="A516" s="6" t="s">
        <v>551</v>
      </c>
      <c r="B516" s="6" t="s">
        <v>14</v>
      </c>
      <c r="C516" s="6" t="s">
        <v>15</v>
      </c>
      <c r="D516" s="6" t="s">
        <v>208</v>
      </c>
      <c r="E516" s="6" t="s">
        <v>209</v>
      </c>
      <c r="F516" s="6" t="s">
        <v>210</v>
      </c>
      <c r="G516" s="6" t="s">
        <v>19</v>
      </c>
      <c r="H516" s="11">
        <v>46200</v>
      </c>
      <c r="I516" s="11">
        <v>46200</v>
      </c>
      <c r="J516" s="6" t="s">
        <v>20</v>
      </c>
      <c r="K516" s="6" t="s">
        <v>21</v>
      </c>
      <c r="L516" s="6" t="s">
        <v>37</v>
      </c>
      <c r="M516" s="6">
        <v>0</v>
      </c>
      <c r="N516">
        <f t="shared" si="48"/>
        <v>1</v>
      </c>
      <c r="O516" t="str">
        <f t="shared" si="49"/>
        <v>06-2026</v>
      </c>
      <c r="P516" t="str">
        <f t="shared" si="50"/>
        <v>06-2026</v>
      </c>
      <c r="Q516">
        <f t="shared" si="51"/>
        <v>1</v>
      </c>
      <c r="R516">
        <f t="shared" si="52"/>
        <v>0</v>
      </c>
      <c r="S516" t="str">
        <f t="shared" si="53"/>
        <v>0-90</v>
      </c>
    </row>
    <row r="517" spans="1:19" x14ac:dyDescent="0.25">
      <c r="A517" s="6" t="s">
        <v>552</v>
      </c>
      <c r="B517" s="6" t="s">
        <v>14</v>
      </c>
      <c r="C517" s="6" t="s">
        <v>15</v>
      </c>
      <c r="D517" s="6" t="s">
        <v>208</v>
      </c>
      <c r="E517" s="6" t="s">
        <v>209</v>
      </c>
      <c r="F517" s="6" t="s">
        <v>210</v>
      </c>
      <c r="G517" s="6" t="s">
        <v>19</v>
      </c>
      <c r="H517" s="11">
        <v>45804</v>
      </c>
      <c r="I517" s="11">
        <v>46168</v>
      </c>
      <c r="J517" s="6" t="s">
        <v>20</v>
      </c>
      <c r="K517" s="6" t="s">
        <v>24</v>
      </c>
      <c r="L517" s="6" t="s">
        <v>25</v>
      </c>
      <c r="M517" s="6">
        <v>364</v>
      </c>
      <c r="N517">
        <f t="shared" si="48"/>
        <v>1</v>
      </c>
      <c r="O517" t="str">
        <f t="shared" si="49"/>
        <v>05-2025</v>
      </c>
      <c r="P517" t="str">
        <f t="shared" si="50"/>
        <v>05-2026</v>
      </c>
      <c r="Q517">
        <f t="shared" si="51"/>
        <v>0</v>
      </c>
      <c r="R517">
        <f t="shared" si="52"/>
        <v>1</v>
      </c>
      <c r="S517" t="str">
        <f t="shared" si="53"/>
        <v>180-365</v>
      </c>
    </row>
    <row r="518" spans="1:19" x14ac:dyDescent="0.25">
      <c r="A518" s="6" t="s">
        <v>553</v>
      </c>
      <c r="B518" s="6" t="s">
        <v>14</v>
      </c>
      <c r="C518" s="6" t="s">
        <v>15</v>
      </c>
      <c r="D518" s="6" t="s">
        <v>208</v>
      </c>
      <c r="E518" s="6" t="s">
        <v>209</v>
      </c>
      <c r="F518" s="6" t="s">
        <v>210</v>
      </c>
      <c r="G518" s="6" t="s">
        <v>19</v>
      </c>
      <c r="H518" s="11">
        <v>46169</v>
      </c>
      <c r="I518" s="11"/>
      <c r="J518" s="6" t="s">
        <v>27</v>
      </c>
      <c r="K518" s="6"/>
      <c r="L518" s="6"/>
      <c r="M518" s="6">
        <v>34</v>
      </c>
      <c r="N518">
        <f t="shared" si="48"/>
        <v>0</v>
      </c>
      <c r="O518" t="str">
        <f t="shared" si="49"/>
        <v>05-2026</v>
      </c>
      <c r="P518" t="str">
        <f t="shared" si="50"/>
        <v/>
      </c>
      <c r="Q518">
        <f t="shared" si="51"/>
        <v>0</v>
      </c>
      <c r="R518">
        <f t="shared" si="52"/>
        <v>0</v>
      </c>
      <c r="S518" t="str">
        <f t="shared" si="53"/>
        <v>0-90</v>
      </c>
    </row>
    <row r="519" spans="1:19" x14ac:dyDescent="0.25">
      <c r="A519" s="6" t="s">
        <v>554</v>
      </c>
      <c r="B519" s="6" t="s">
        <v>14</v>
      </c>
      <c r="C519" s="6" t="s">
        <v>15</v>
      </c>
      <c r="D519" s="6" t="s">
        <v>208</v>
      </c>
      <c r="E519" s="6" t="s">
        <v>209</v>
      </c>
      <c r="F519" s="6" t="s">
        <v>210</v>
      </c>
      <c r="G519" s="6" t="s">
        <v>19</v>
      </c>
      <c r="H519" s="11">
        <v>46169</v>
      </c>
      <c r="I519" s="11">
        <v>46196</v>
      </c>
      <c r="J519" s="6" t="s">
        <v>20</v>
      </c>
      <c r="K519" s="6" t="s">
        <v>24</v>
      </c>
      <c r="L519" s="6" t="s">
        <v>25</v>
      </c>
      <c r="M519" s="6">
        <v>27</v>
      </c>
      <c r="N519">
        <f t="shared" si="48"/>
        <v>1</v>
      </c>
      <c r="O519" t="str">
        <f t="shared" si="49"/>
        <v>05-2026</v>
      </c>
      <c r="P519" t="str">
        <f t="shared" si="50"/>
        <v>06-2026</v>
      </c>
      <c r="Q519">
        <f t="shared" si="51"/>
        <v>0</v>
      </c>
      <c r="R519">
        <f t="shared" si="52"/>
        <v>1</v>
      </c>
      <c r="S519" t="str">
        <f t="shared" si="53"/>
        <v>0-90</v>
      </c>
    </row>
    <row r="520" spans="1:19" x14ac:dyDescent="0.25">
      <c r="A520" s="6" t="s">
        <v>555</v>
      </c>
      <c r="B520" s="6" t="s">
        <v>14</v>
      </c>
      <c r="C520" s="6" t="s">
        <v>15</v>
      </c>
      <c r="D520" s="6" t="s">
        <v>208</v>
      </c>
      <c r="E520" s="6" t="s">
        <v>209</v>
      </c>
      <c r="F520" s="6" t="s">
        <v>210</v>
      </c>
      <c r="G520" s="6" t="s">
        <v>19</v>
      </c>
      <c r="H520" s="11">
        <v>46169</v>
      </c>
      <c r="I520" s="11">
        <v>46169</v>
      </c>
      <c r="J520" s="6" t="s">
        <v>20</v>
      </c>
      <c r="K520" s="6" t="s">
        <v>21</v>
      </c>
      <c r="L520" s="6" t="s">
        <v>30</v>
      </c>
      <c r="M520" s="6">
        <v>0</v>
      </c>
      <c r="N520">
        <f t="shared" si="48"/>
        <v>1</v>
      </c>
      <c r="O520" t="str">
        <f t="shared" si="49"/>
        <v>05-2026</v>
      </c>
      <c r="P520" t="str">
        <f t="shared" si="50"/>
        <v>05-2026</v>
      </c>
      <c r="Q520">
        <f t="shared" si="51"/>
        <v>1</v>
      </c>
      <c r="R520">
        <f t="shared" si="52"/>
        <v>0</v>
      </c>
      <c r="S520" t="str">
        <f t="shared" si="53"/>
        <v>0-90</v>
      </c>
    </row>
    <row r="521" spans="1:19" x14ac:dyDescent="0.25">
      <c r="A521" s="6" t="s">
        <v>556</v>
      </c>
      <c r="B521" s="6" t="s">
        <v>14</v>
      </c>
      <c r="C521" s="6" t="s">
        <v>15</v>
      </c>
      <c r="D521" s="6" t="s">
        <v>208</v>
      </c>
      <c r="E521" s="6" t="s">
        <v>209</v>
      </c>
      <c r="F521" s="6" t="s">
        <v>210</v>
      </c>
      <c r="G521" s="6" t="s">
        <v>19</v>
      </c>
      <c r="H521" s="11">
        <v>46169</v>
      </c>
      <c r="I521" s="11"/>
      <c r="J521" s="6" t="s">
        <v>27</v>
      </c>
      <c r="K521" s="6"/>
      <c r="L521" s="6"/>
      <c r="M521" s="6">
        <v>34</v>
      </c>
      <c r="N521">
        <f t="shared" si="48"/>
        <v>0</v>
      </c>
      <c r="O521" t="str">
        <f t="shared" si="49"/>
        <v>05-2026</v>
      </c>
      <c r="P521" t="str">
        <f t="shared" si="50"/>
        <v/>
      </c>
      <c r="Q521">
        <f t="shared" si="51"/>
        <v>0</v>
      </c>
      <c r="R521">
        <f t="shared" si="52"/>
        <v>0</v>
      </c>
      <c r="S521" t="str">
        <f t="shared" si="53"/>
        <v>0-90</v>
      </c>
    </row>
    <row r="522" spans="1:19" x14ac:dyDescent="0.25">
      <c r="A522" s="6" t="s">
        <v>557</v>
      </c>
      <c r="B522" s="6" t="s">
        <v>14</v>
      </c>
      <c r="C522" s="6" t="s">
        <v>15</v>
      </c>
      <c r="D522" s="6" t="s">
        <v>208</v>
      </c>
      <c r="E522" s="6" t="s">
        <v>209</v>
      </c>
      <c r="F522" s="6" t="s">
        <v>210</v>
      </c>
      <c r="G522" s="6" t="s">
        <v>19</v>
      </c>
      <c r="H522" s="11">
        <v>46169</v>
      </c>
      <c r="I522" s="11">
        <v>46177</v>
      </c>
      <c r="J522" s="6" t="s">
        <v>20</v>
      </c>
      <c r="K522" s="6" t="s">
        <v>24</v>
      </c>
      <c r="L522" s="6" t="s">
        <v>44</v>
      </c>
      <c r="M522" s="6">
        <v>8</v>
      </c>
      <c r="N522">
        <f t="shared" si="48"/>
        <v>1</v>
      </c>
      <c r="O522" t="str">
        <f t="shared" si="49"/>
        <v>05-2026</v>
      </c>
      <c r="P522" t="str">
        <f t="shared" si="50"/>
        <v>06-2026</v>
      </c>
      <c r="Q522">
        <f t="shared" si="51"/>
        <v>0</v>
      </c>
      <c r="R522">
        <f t="shared" si="52"/>
        <v>1</v>
      </c>
      <c r="S522" t="str">
        <f t="shared" si="53"/>
        <v>0-90</v>
      </c>
    </row>
    <row r="523" spans="1:19" x14ac:dyDescent="0.25">
      <c r="A523" s="6" t="s">
        <v>558</v>
      </c>
      <c r="B523" s="6" t="s">
        <v>14</v>
      </c>
      <c r="C523" s="6" t="s">
        <v>15</v>
      </c>
      <c r="D523" s="6" t="s">
        <v>208</v>
      </c>
      <c r="E523" s="6" t="s">
        <v>209</v>
      </c>
      <c r="F523" s="6" t="s">
        <v>210</v>
      </c>
      <c r="G523" s="6" t="s">
        <v>19</v>
      </c>
      <c r="H523" s="11">
        <v>46140</v>
      </c>
      <c r="I523" s="11"/>
      <c r="J523" s="6" t="s">
        <v>27</v>
      </c>
      <c r="K523" s="6"/>
      <c r="L523" s="6"/>
      <c r="M523" s="6">
        <v>63</v>
      </c>
      <c r="N523">
        <f t="shared" si="48"/>
        <v>0</v>
      </c>
      <c r="O523" t="str">
        <f t="shared" si="49"/>
        <v>04-2026</v>
      </c>
      <c r="P523" t="str">
        <f t="shared" si="50"/>
        <v/>
      </c>
      <c r="Q523">
        <f t="shared" si="51"/>
        <v>0</v>
      </c>
      <c r="R523">
        <f t="shared" si="52"/>
        <v>0</v>
      </c>
      <c r="S523" t="str">
        <f t="shared" si="53"/>
        <v>0-90</v>
      </c>
    </row>
    <row r="524" spans="1:19" x14ac:dyDescent="0.25">
      <c r="A524" s="6" t="s">
        <v>559</v>
      </c>
      <c r="B524" s="6" t="s">
        <v>14</v>
      </c>
      <c r="C524" s="6" t="s">
        <v>15</v>
      </c>
      <c r="D524" s="6" t="s">
        <v>208</v>
      </c>
      <c r="E524" s="6" t="s">
        <v>209</v>
      </c>
      <c r="F524" s="6" t="s">
        <v>210</v>
      </c>
      <c r="G524" s="6" t="s">
        <v>19</v>
      </c>
      <c r="H524" s="11">
        <v>46140</v>
      </c>
      <c r="I524" s="11"/>
      <c r="J524" s="6" t="s">
        <v>27</v>
      </c>
      <c r="K524" s="6"/>
      <c r="L524" s="6"/>
      <c r="M524" s="6">
        <v>63</v>
      </c>
      <c r="N524">
        <f t="shared" si="48"/>
        <v>0</v>
      </c>
      <c r="O524" t="str">
        <f t="shared" si="49"/>
        <v>04-2026</v>
      </c>
      <c r="P524" t="str">
        <f t="shared" si="50"/>
        <v/>
      </c>
      <c r="Q524">
        <f t="shared" si="51"/>
        <v>0</v>
      </c>
      <c r="R524">
        <f t="shared" si="52"/>
        <v>0</v>
      </c>
      <c r="S524" t="str">
        <f t="shared" si="53"/>
        <v>0-90</v>
      </c>
    </row>
    <row r="525" spans="1:19" x14ac:dyDescent="0.25">
      <c r="A525" s="6" t="s">
        <v>560</v>
      </c>
      <c r="B525" s="6" t="s">
        <v>14</v>
      </c>
      <c r="C525" s="6" t="s">
        <v>15</v>
      </c>
      <c r="D525" s="6" t="s">
        <v>208</v>
      </c>
      <c r="E525" s="6" t="s">
        <v>209</v>
      </c>
      <c r="F525" s="6" t="s">
        <v>210</v>
      </c>
      <c r="G525" s="6" t="s">
        <v>19</v>
      </c>
      <c r="H525" s="11">
        <v>46140</v>
      </c>
      <c r="I525" s="11">
        <v>46140</v>
      </c>
      <c r="J525" s="6" t="s">
        <v>20</v>
      </c>
      <c r="K525" s="6" t="s">
        <v>21</v>
      </c>
      <c r="L525" s="6" t="s">
        <v>37</v>
      </c>
      <c r="M525" s="6">
        <v>0</v>
      </c>
      <c r="N525">
        <f t="shared" si="48"/>
        <v>1</v>
      </c>
      <c r="O525" t="str">
        <f t="shared" si="49"/>
        <v>04-2026</v>
      </c>
      <c r="P525" t="str">
        <f t="shared" si="50"/>
        <v>04-2026</v>
      </c>
      <c r="Q525">
        <f t="shared" si="51"/>
        <v>1</v>
      </c>
      <c r="R525">
        <f t="shared" si="52"/>
        <v>0</v>
      </c>
      <c r="S525" t="str">
        <f t="shared" si="53"/>
        <v>0-90</v>
      </c>
    </row>
    <row r="526" spans="1:19" x14ac:dyDescent="0.25">
      <c r="A526" s="6" t="s">
        <v>561</v>
      </c>
      <c r="B526" s="6" t="s">
        <v>14</v>
      </c>
      <c r="C526" s="6" t="s">
        <v>15</v>
      </c>
      <c r="D526" s="6" t="s">
        <v>208</v>
      </c>
      <c r="E526" s="6" t="s">
        <v>209</v>
      </c>
      <c r="F526" s="6" t="s">
        <v>210</v>
      </c>
      <c r="G526" s="6" t="s">
        <v>19</v>
      </c>
      <c r="H526" s="11">
        <v>46019</v>
      </c>
      <c r="I526" s="11"/>
      <c r="J526" s="6" t="s">
        <v>27</v>
      </c>
      <c r="K526" s="6"/>
      <c r="L526" s="6"/>
      <c r="M526" s="6">
        <v>184</v>
      </c>
      <c r="N526">
        <f t="shared" si="48"/>
        <v>0</v>
      </c>
      <c r="O526" t="str">
        <f t="shared" si="49"/>
        <v>12-2025</v>
      </c>
      <c r="P526" t="str">
        <f t="shared" si="50"/>
        <v/>
      </c>
      <c r="Q526">
        <f t="shared" si="51"/>
        <v>0</v>
      </c>
      <c r="R526">
        <f t="shared" si="52"/>
        <v>0</v>
      </c>
      <c r="S526" t="str">
        <f t="shared" si="53"/>
        <v>180-365</v>
      </c>
    </row>
    <row r="527" spans="1:19" x14ac:dyDescent="0.25">
      <c r="A527" s="6" t="s">
        <v>562</v>
      </c>
      <c r="B527" s="6" t="s">
        <v>14</v>
      </c>
      <c r="C527" s="6" t="s">
        <v>15</v>
      </c>
      <c r="D527" s="6" t="s">
        <v>208</v>
      </c>
      <c r="E527" s="6" t="s">
        <v>209</v>
      </c>
      <c r="F527" s="6" t="s">
        <v>210</v>
      </c>
      <c r="G527" s="6" t="s">
        <v>19</v>
      </c>
      <c r="H527" s="11">
        <v>46050</v>
      </c>
      <c r="I527" s="11">
        <v>46153</v>
      </c>
      <c r="J527" s="6" t="s">
        <v>20</v>
      </c>
      <c r="K527" s="6" t="s">
        <v>24</v>
      </c>
      <c r="L527" s="6" t="s">
        <v>41</v>
      </c>
      <c r="M527" s="6">
        <v>103</v>
      </c>
      <c r="N527">
        <f t="shared" si="48"/>
        <v>1</v>
      </c>
      <c r="O527" t="str">
        <f t="shared" si="49"/>
        <v>01-2026</v>
      </c>
      <c r="P527" t="str">
        <f t="shared" si="50"/>
        <v>05-2026</v>
      </c>
      <c r="Q527">
        <f t="shared" si="51"/>
        <v>0</v>
      </c>
      <c r="R527">
        <f t="shared" si="52"/>
        <v>1</v>
      </c>
      <c r="S527" t="str">
        <f t="shared" si="53"/>
        <v>90-180</v>
      </c>
    </row>
    <row r="528" spans="1:19" x14ac:dyDescent="0.25">
      <c r="A528" s="6" t="s">
        <v>563</v>
      </c>
      <c r="B528" s="6" t="s">
        <v>14</v>
      </c>
      <c r="C528" s="6" t="s">
        <v>15</v>
      </c>
      <c r="D528" s="6" t="s">
        <v>208</v>
      </c>
      <c r="E528" s="6" t="s">
        <v>209</v>
      </c>
      <c r="F528" s="6" t="s">
        <v>210</v>
      </c>
      <c r="G528" s="6" t="s">
        <v>19</v>
      </c>
      <c r="H528" s="11">
        <v>45866</v>
      </c>
      <c r="I528" s="11">
        <v>46176</v>
      </c>
      <c r="J528" s="6" t="s">
        <v>20</v>
      </c>
      <c r="K528" s="6" t="s">
        <v>24</v>
      </c>
      <c r="L528" s="6" t="s">
        <v>55</v>
      </c>
      <c r="M528" s="6">
        <v>310</v>
      </c>
      <c r="N528">
        <f t="shared" si="48"/>
        <v>1</v>
      </c>
      <c r="O528" t="str">
        <f t="shared" si="49"/>
        <v>07-2025</v>
      </c>
      <c r="P528" t="str">
        <f t="shared" si="50"/>
        <v>06-2026</v>
      </c>
      <c r="Q528">
        <f t="shared" si="51"/>
        <v>0</v>
      </c>
      <c r="R528">
        <f t="shared" si="52"/>
        <v>1</v>
      </c>
      <c r="S528" t="str">
        <f t="shared" si="53"/>
        <v>180-365</v>
      </c>
    </row>
    <row r="529" spans="1:19" x14ac:dyDescent="0.25">
      <c r="A529" s="6" t="s">
        <v>564</v>
      </c>
      <c r="B529" s="6" t="s">
        <v>14</v>
      </c>
      <c r="C529" s="6" t="s">
        <v>15</v>
      </c>
      <c r="D529" s="6" t="s">
        <v>208</v>
      </c>
      <c r="E529" s="6" t="s">
        <v>209</v>
      </c>
      <c r="F529" s="6" t="s">
        <v>210</v>
      </c>
      <c r="G529" s="6" t="s">
        <v>19</v>
      </c>
      <c r="H529" s="11">
        <v>46201</v>
      </c>
      <c r="I529" s="11"/>
      <c r="J529" s="6" t="s">
        <v>27</v>
      </c>
      <c r="K529" s="6"/>
      <c r="L529" s="6"/>
      <c r="M529" s="6">
        <v>2</v>
      </c>
      <c r="N529">
        <f t="shared" si="48"/>
        <v>0</v>
      </c>
      <c r="O529" t="str">
        <f t="shared" si="49"/>
        <v>06-2026</v>
      </c>
      <c r="P529" t="str">
        <f t="shared" si="50"/>
        <v/>
      </c>
      <c r="Q529">
        <f t="shared" si="51"/>
        <v>0</v>
      </c>
      <c r="R529">
        <f t="shared" si="52"/>
        <v>0</v>
      </c>
      <c r="S529" t="str">
        <f t="shared" si="53"/>
        <v>0-90</v>
      </c>
    </row>
    <row r="530" spans="1:19" x14ac:dyDescent="0.25">
      <c r="A530" s="6" t="s">
        <v>565</v>
      </c>
      <c r="B530" s="6" t="s">
        <v>14</v>
      </c>
      <c r="C530" s="6" t="s">
        <v>15</v>
      </c>
      <c r="D530" s="6" t="s">
        <v>208</v>
      </c>
      <c r="E530" s="6" t="s">
        <v>209</v>
      </c>
      <c r="F530" s="6" t="s">
        <v>210</v>
      </c>
      <c r="G530" s="6" t="s">
        <v>19</v>
      </c>
      <c r="H530" s="11">
        <v>46201</v>
      </c>
      <c r="I530" s="11"/>
      <c r="J530" s="6" t="s">
        <v>27</v>
      </c>
      <c r="K530" s="6"/>
      <c r="L530" s="6"/>
      <c r="M530" s="6">
        <v>2</v>
      </c>
      <c r="N530">
        <f t="shared" si="48"/>
        <v>0</v>
      </c>
      <c r="O530" t="str">
        <f t="shared" si="49"/>
        <v>06-2026</v>
      </c>
      <c r="P530" t="str">
        <f t="shared" si="50"/>
        <v/>
      </c>
      <c r="Q530">
        <f t="shared" si="51"/>
        <v>0</v>
      </c>
      <c r="R530">
        <f t="shared" si="52"/>
        <v>0</v>
      </c>
      <c r="S530" t="str">
        <f t="shared" si="53"/>
        <v>0-90</v>
      </c>
    </row>
    <row r="531" spans="1:19" x14ac:dyDescent="0.25">
      <c r="A531" s="6" t="s">
        <v>566</v>
      </c>
      <c r="B531" s="6" t="s">
        <v>14</v>
      </c>
      <c r="C531" s="6" t="s">
        <v>15</v>
      </c>
      <c r="D531" s="6" t="s">
        <v>208</v>
      </c>
      <c r="E531" s="6" t="s">
        <v>209</v>
      </c>
      <c r="F531" s="6" t="s">
        <v>210</v>
      </c>
      <c r="G531" s="6" t="s">
        <v>19</v>
      </c>
      <c r="H531" s="11">
        <v>46201</v>
      </c>
      <c r="I531" s="11"/>
      <c r="J531" s="6" t="s">
        <v>27</v>
      </c>
      <c r="K531" s="6"/>
      <c r="L531" s="6"/>
      <c r="M531" s="6">
        <v>2</v>
      </c>
      <c r="N531">
        <f t="shared" si="48"/>
        <v>0</v>
      </c>
      <c r="O531" t="str">
        <f t="shared" si="49"/>
        <v>06-2026</v>
      </c>
      <c r="P531" t="str">
        <f t="shared" si="50"/>
        <v/>
      </c>
      <c r="Q531">
        <f t="shared" si="51"/>
        <v>0</v>
      </c>
      <c r="R531">
        <f t="shared" si="52"/>
        <v>0</v>
      </c>
      <c r="S531" t="str">
        <f t="shared" si="53"/>
        <v>0-90</v>
      </c>
    </row>
    <row r="532" spans="1:19" x14ac:dyDescent="0.25">
      <c r="A532" s="6" t="s">
        <v>567</v>
      </c>
      <c r="B532" s="6" t="s">
        <v>14</v>
      </c>
      <c r="C532" s="6" t="s">
        <v>15</v>
      </c>
      <c r="D532" s="6" t="s">
        <v>208</v>
      </c>
      <c r="E532" s="6" t="s">
        <v>209</v>
      </c>
      <c r="F532" s="6" t="s">
        <v>210</v>
      </c>
      <c r="G532" s="6" t="s">
        <v>19</v>
      </c>
      <c r="H532" s="11">
        <v>46201</v>
      </c>
      <c r="I532" s="11">
        <v>46201</v>
      </c>
      <c r="J532" s="6" t="s">
        <v>20</v>
      </c>
      <c r="K532" s="6" t="s">
        <v>21</v>
      </c>
      <c r="L532" s="6" t="s">
        <v>30</v>
      </c>
      <c r="M532" s="6">
        <v>0</v>
      </c>
      <c r="N532">
        <f t="shared" si="48"/>
        <v>1</v>
      </c>
      <c r="O532" t="str">
        <f t="shared" si="49"/>
        <v>06-2026</v>
      </c>
      <c r="P532" t="str">
        <f t="shared" si="50"/>
        <v>06-2026</v>
      </c>
      <c r="Q532">
        <f t="shared" si="51"/>
        <v>1</v>
      </c>
      <c r="R532">
        <f t="shared" si="52"/>
        <v>0</v>
      </c>
      <c r="S532" t="str">
        <f t="shared" si="53"/>
        <v>0-90</v>
      </c>
    </row>
    <row r="533" spans="1:19" x14ac:dyDescent="0.25">
      <c r="A533" s="6" t="s">
        <v>568</v>
      </c>
      <c r="B533" s="6" t="s">
        <v>14</v>
      </c>
      <c r="C533" s="6" t="s">
        <v>15</v>
      </c>
      <c r="D533" s="6" t="s">
        <v>208</v>
      </c>
      <c r="E533" s="6" t="s">
        <v>209</v>
      </c>
      <c r="F533" s="6" t="s">
        <v>210</v>
      </c>
      <c r="G533" s="6" t="s">
        <v>19</v>
      </c>
      <c r="H533" s="11">
        <v>46201</v>
      </c>
      <c r="I533" s="11"/>
      <c r="J533" s="6" t="s">
        <v>27</v>
      </c>
      <c r="K533" s="6"/>
      <c r="L533" s="6"/>
      <c r="M533" s="6">
        <v>2</v>
      </c>
      <c r="N533">
        <f t="shared" si="48"/>
        <v>0</v>
      </c>
      <c r="O533" t="str">
        <f t="shared" si="49"/>
        <v>06-2026</v>
      </c>
      <c r="P533" t="str">
        <f t="shared" si="50"/>
        <v/>
      </c>
      <c r="Q533">
        <f t="shared" si="51"/>
        <v>0</v>
      </c>
      <c r="R533">
        <f t="shared" si="52"/>
        <v>0</v>
      </c>
      <c r="S533" t="str">
        <f t="shared" si="53"/>
        <v>0-90</v>
      </c>
    </row>
    <row r="534" spans="1:19" x14ac:dyDescent="0.25">
      <c r="A534" s="6" t="s">
        <v>569</v>
      </c>
      <c r="B534" s="6" t="s">
        <v>14</v>
      </c>
      <c r="C534" s="6" t="s">
        <v>15</v>
      </c>
      <c r="D534" s="6" t="s">
        <v>208</v>
      </c>
      <c r="E534" s="6" t="s">
        <v>209</v>
      </c>
      <c r="F534" s="6" t="s">
        <v>210</v>
      </c>
      <c r="G534" s="6" t="s">
        <v>19</v>
      </c>
      <c r="H534" s="11">
        <v>46201</v>
      </c>
      <c r="I534" s="11"/>
      <c r="J534" s="6" t="s">
        <v>27</v>
      </c>
      <c r="K534" s="6"/>
      <c r="L534" s="6"/>
      <c r="M534" s="6">
        <v>2</v>
      </c>
      <c r="N534">
        <f t="shared" si="48"/>
        <v>0</v>
      </c>
      <c r="O534" t="str">
        <f t="shared" si="49"/>
        <v>06-2026</v>
      </c>
      <c r="P534" t="str">
        <f t="shared" si="50"/>
        <v/>
      </c>
      <c r="Q534">
        <f t="shared" si="51"/>
        <v>0</v>
      </c>
      <c r="R534">
        <f t="shared" si="52"/>
        <v>0</v>
      </c>
      <c r="S534" t="str">
        <f t="shared" si="53"/>
        <v>0-90</v>
      </c>
    </row>
    <row r="535" spans="1:19" x14ac:dyDescent="0.25">
      <c r="A535" s="6" t="s">
        <v>570</v>
      </c>
      <c r="B535" s="6" t="s">
        <v>14</v>
      </c>
      <c r="C535" s="6" t="s">
        <v>15</v>
      </c>
      <c r="D535" s="6" t="s">
        <v>208</v>
      </c>
      <c r="E535" s="6" t="s">
        <v>209</v>
      </c>
      <c r="F535" s="6" t="s">
        <v>210</v>
      </c>
      <c r="G535" s="6" t="s">
        <v>19</v>
      </c>
      <c r="H535" s="11">
        <v>46170</v>
      </c>
      <c r="I535" s="11"/>
      <c r="J535" s="6" t="s">
        <v>27</v>
      </c>
      <c r="K535" s="6"/>
      <c r="L535" s="6"/>
      <c r="M535" s="6">
        <v>33</v>
      </c>
      <c r="N535">
        <f t="shared" si="48"/>
        <v>0</v>
      </c>
      <c r="O535" t="str">
        <f t="shared" si="49"/>
        <v>05-2026</v>
      </c>
      <c r="P535" t="str">
        <f t="shared" si="50"/>
        <v/>
      </c>
      <c r="Q535">
        <f t="shared" si="51"/>
        <v>0</v>
      </c>
      <c r="R535">
        <f t="shared" si="52"/>
        <v>0</v>
      </c>
      <c r="S535" t="str">
        <f t="shared" si="53"/>
        <v>0-90</v>
      </c>
    </row>
    <row r="536" spans="1:19" x14ac:dyDescent="0.25">
      <c r="A536" s="6" t="s">
        <v>571</v>
      </c>
      <c r="B536" s="6" t="s">
        <v>14</v>
      </c>
      <c r="C536" s="6" t="s">
        <v>15</v>
      </c>
      <c r="D536" s="6" t="s">
        <v>208</v>
      </c>
      <c r="E536" s="6" t="s">
        <v>209</v>
      </c>
      <c r="F536" s="6" t="s">
        <v>210</v>
      </c>
      <c r="G536" s="6" t="s">
        <v>19</v>
      </c>
      <c r="H536" s="11">
        <v>46170</v>
      </c>
      <c r="I536" s="11">
        <v>46181</v>
      </c>
      <c r="J536" s="6" t="s">
        <v>20</v>
      </c>
      <c r="K536" s="6" t="s">
        <v>24</v>
      </c>
      <c r="L536" s="6" t="s">
        <v>44</v>
      </c>
      <c r="M536" s="6">
        <v>11</v>
      </c>
      <c r="N536">
        <f t="shared" si="48"/>
        <v>1</v>
      </c>
      <c r="O536" t="str">
        <f t="shared" si="49"/>
        <v>05-2026</v>
      </c>
      <c r="P536" t="str">
        <f t="shared" si="50"/>
        <v>06-2026</v>
      </c>
      <c r="Q536">
        <f t="shared" si="51"/>
        <v>0</v>
      </c>
      <c r="R536">
        <f t="shared" si="52"/>
        <v>1</v>
      </c>
      <c r="S536" t="str">
        <f t="shared" si="53"/>
        <v>0-90</v>
      </c>
    </row>
    <row r="537" spans="1:19" x14ac:dyDescent="0.25">
      <c r="A537" s="6" t="s">
        <v>572</v>
      </c>
      <c r="B537" s="6" t="s">
        <v>14</v>
      </c>
      <c r="C537" s="6" t="s">
        <v>15</v>
      </c>
      <c r="D537" s="6" t="s">
        <v>208</v>
      </c>
      <c r="E537" s="6" t="s">
        <v>209</v>
      </c>
      <c r="F537" s="6" t="s">
        <v>210</v>
      </c>
      <c r="G537" s="6" t="s">
        <v>19</v>
      </c>
      <c r="H537" s="11">
        <v>46170</v>
      </c>
      <c r="I537" s="11">
        <v>46183</v>
      </c>
      <c r="J537" s="6" t="s">
        <v>20</v>
      </c>
      <c r="K537" s="6" t="s">
        <v>24</v>
      </c>
      <c r="L537" s="6" t="s">
        <v>41</v>
      </c>
      <c r="M537" s="6">
        <v>13</v>
      </c>
      <c r="N537">
        <f t="shared" si="48"/>
        <v>1</v>
      </c>
      <c r="O537" t="str">
        <f t="shared" si="49"/>
        <v>05-2026</v>
      </c>
      <c r="P537" t="str">
        <f t="shared" si="50"/>
        <v>06-2026</v>
      </c>
      <c r="Q537">
        <f t="shared" si="51"/>
        <v>0</v>
      </c>
      <c r="R537">
        <f t="shared" si="52"/>
        <v>1</v>
      </c>
      <c r="S537" t="str">
        <f t="shared" si="53"/>
        <v>0-90</v>
      </c>
    </row>
    <row r="538" spans="1:19" x14ac:dyDescent="0.25">
      <c r="A538" s="6" t="s">
        <v>573</v>
      </c>
      <c r="B538" s="6" t="s">
        <v>14</v>
      </c>
      <c r="C538" s="6" t="s">
        <v>15</v>
      </c>
      <c r="D538" s="6" t="s">
        <v>208</v>
      </c>
      <c r="E538" s="6" t="s">
        <v>209</v>
      </c>
      <c r="F538" s="6" t="s">
        <v>210</v>
      </c>
      <c r="G538" s="6" t="s">
        <v>19</v>
      </c>
      <c r="H538" s="11">
        <v>46170</v>
      </c>
      <c r="I538" s="11">
        <v>46186</v>
      </c>
      <c r="J538" s="6" t="s">
        <v>20</v>
      </c>
      <c r="K538" s="6" t="s">
        <v>24</v>
      </c>
      <c r="L538" s="6" t="s">
        <v>55</v>
      </c>
      <c r="M538" s="6">
        <v>16</v>
      </c>
      <c r="N538">
        <f t="shared" si="48"/>
        <v>1</v>
      </c>
      <c r="O538" t="str">
        <f t="shared" si="49"/>
        <v>05-2026</v>
      </c>
      <c r="P538" t="str">
        <f t="shared" si="50"/>
        <v>06-2026</v>
      </c>
      <c r="Q538">
        <f t="shared" si="51"/>
        <v>0</v>
      </c>
      <c r="R538">
        <f t="shared" si="52"/>
        <v>1</v>
      </c>
      <c r="S538" t="str">
        <f t="shared" si="53"/>
        <v>0-90</v>
      </c>
    </row>
    <row r="539" spans="1:19" x14ac:dyDescent="0.25">
      <c r="A539" s="6" t="s">
        <v>574</v>
      </c>
      <c r="B539" s="6" t="s">
        <v>14</v>
      </c>
      <c r="C539" s="6" t="s">
        <v>15</v>
      </c>
      <c r="D539" s="6" t="s">
        <v>208</v>
      </c>
      <c r="E539" s="6" t="s">
        <v>209</v>
      </c>
      <c r="F539" s="6" t="s">
        <v>210</v>
      </c>
      <c r="G539" s="6" t="s">
        <v>19</v>
      </c>
      <c r="H539" s="11">
        <v>45776</v>
      </c>
      <c r="I539" s="11"/>
      <c r="J539" s="6" t="s">
        <v>27</v>
      </c>
      <c r="K539" s="6"/>
      <c r="L539" s="6"/>
      <c r="M539" s="6">
        <v>427</v>
      </c>
      <c r="N539">
        <f t="shared" si="48"/>
        <v>0</v>
      </c>
      <c r="O539" t="str">
        <f t="shared" si="49"/>
        <v>04-2025</v>
      </c>
      <c r="P539" t="str">
        <f t="shared" si="50"/>
        <v/>
      </c>
      <c r="Q539">
        <f t="shared" si="51"/>
        <v>0</v>
      </c>
      <c r="R539">
        <f t="shared" si="52"/>
        <v>0</v>
      </c>
      <c r="S539" t="str">
        <f t="shared" si="53"/>
        <v>above 1 year</v>
      </c>
    </row>
    <row r="540" spans="1:19" x14ac:dyDescent="0.25">
      <c r="A540" s="6" t="s">
        <v>575</v>
      </c>
      <c r="B540" s="6" t="s">
        <v>14</v>
      </c>
      <c r="C540" s="6" t="s">
        <v>15</v>
      </c>
      <c r="D540" s="6" t="s">
        <v>208</v>
      </c>
      <c r="E540" s="6" t="s">
        <v>209</v>
      </c>
      <c r="F540" s="6" t="s">
        <v>210</v>
      </c>
      <c r="G540" s="6" t="s">
        <v>19</v>
      </c>
      <c r="H540" s="11">
        <v>46141</v>
      </c>
      <c r="I540" s="11">
        <v>46141</v>
      </c>
      <c r="J540" s="6" t="s">
        <v>20</v>
      </c>
      <c r="K540" s="6" t="s">
        <v>21</v>
      </c>
      <c r="L540" s="6" t="s">
        <v>30</v>
      </c>
      <c r="M540" s="6">
        <v>0</v>
      </c>
      <c r="N540">
        <f t="shared" si="48"/>
        <v>1</v>
      </c>
      <c r="O540" t="str">
        <f t="shared" si="49"/>
        <v>04-2026</v>
      </c>
      <c r="P540" t="str">
        <f t="shared" si="50"/>
        <v>04-2026</v>
      </c>
      <c r="Q540">
        <f t="shared" si="51"/>
        <v>1</v>
      </c>
      <c r="R540">
        <f t="shared" si="52"/>
        <v>0</v>
      </c>
      <c r="S540" t="str">
        <f t="shared" si="53"/>
        <v>0-90</v>
      </c>
    </row>
    <row r="541" spans="1:19" x14ac:dyDescent="0.25">
      <c r="A541" s="6" t="s">
        <v>576</v>
      </c>
      <c r="B541" s="6" t="s">
        <v>14</v>
      </c>
      <c r="C541" s="6" t="s">
        <v>15</v>
      </c>
      <c r="D541" s="6" t="s">
        <v>208</v>
      </c>
      <c r="E541" s="6" t="s">
        <v>209</v>
      </c>
      <c r="F541" s="6" t="s">
        <v>210</v>
      </c>
      <c r="G541" s="6" t="s">
        <v>19</v>
      </c>
      <c r="H541" s="11">
        <v>46141</v>
      </c>
      <c r="I541" s="11">
        <v>46186</v>
      </c>
      <c r="J541" s="6" t="s">
        <v>20</v>
      </c>
      <c r="K541" s="6" t="s">
        <v>24</v>
      </c>
      <c r="L541" s="6" t="s">
        <v>41</v>
      </c>
      <c r="M541" s="6">
        <v>45</v>
      </c>
      <c r="N541">
        <f t="shared" si="48"/>
        <v>1</v>
      </c>
      <c r="O541" t="str">
        <f t="shared" si="49"/>
        <v>04-2026</v>
      </c>
      <c r="P541" t="str">
        <f t="shared" si="50"/>
        <v>06-2026</v>
      </c>
      <c r="Q541">
        <f t="shared" si="51"/>
        <v>0</v>
      </c>
      <c r="R541">
        <f t="shared" si="52"/>
        <v>1</v>
      </c>
      <c r="S541" t="str">
        <f t="shared" si="53"/>
        <v>0-90</v>
      </c>
    </row>
    <row r="542" spans="1:19" x14ac:dyDescent="0.25">
      <c r="A542" s="6" t="s">
        <v>577</v>
      </c>
      <c r="B542" s="6" t="s">
        <v>14</v>
      </c>
      <c r="C542" s="6" t="s">
        <v>15</v>
      </c>
      <c r="D542" s="6" t="s">
        <v>208</v>
      </c>
      <c r="E542" s="6" t="s">
        <v>209</v>
      </c>
      <c r="F542" s="6" t="s">
        <v>210</v>
      </c>
      <c r="G542" s="6" t="s">
        <v>19</v>
      </c>
      <c r="H542" s="11">
        <v>46141</v>
      </c>
      <c r="I542" s="11"/>
      <c r="J542" s="6" t="s">
        <v>27</v>
      </c>
      <c r="K542" s="6"/>
      <c r="L542" s="6"/>
      <c r="M542" s="6">
        <v>62</v>
      </c>
      <c r="N542">
        <f t="shared" si="48"/>
        <v>0</v>
      </c>
      <c r="O542" t="str">
        <f t="shared" si="49"/>
        <v>04-2026</v>
      </c>
      <c r="P542" t="str">
        <f t="shared" si="50"/>
        <v/>
      </c>
      <c r="Q542">
        <f t="shared" si="51"/>
        <v>0</v>
      </c>
      <c r="R542">
        <f t="shared" si="52"/>
        <v>0</v>
      </c>
      <c r="S542" t="str">
        <f t="shared" si="53"/>
        <v>0-90</v>
      </c>
    </row>
    <row r="543" spans="1:19" x14ac:dyDescent="0.25">
      <c r="A543" s="6" t="s">
        <v>578</v>
      </c>
      <c r="B543" s="6" t="s">
        <v>14</v>
      </c>
      <c r="C543" s="6" t="s">
        <v>15</v>
      </c>
      <c r="D543" s="6" t="s">
        <v>208</v>
      </c>
      <c r="E543" s="6" t="s">
        <v>209</v>
      </c>
      <c r="F543" s="6" t="s">
        <v>210</v>
      </c>
      <c r="G543" s="6" t="s">
        <v>19</v>
      </c>
      <c r="H543" s="11">
        <v>46141</v>
      </c>
      <c r="I543" s="11"/>
      <c r="J543" s="6" t="s">
        <v>27</v>
      </c>
      <c r="K543" s="6"/>
      <c r="L543" s="6"/>
      <c r="M543" s="6">
        <v>62</v>
      </c>
      <c r="N543">
        <f t="shared" si="48"/>
        <v>0</v>
      </c>
      <c r="O543" t="str">
        <f t="shared" si="49"/>
        <v>04-2026</v>
      </c>
      <c r="P543" t="str">
        <f t="shared" si="50"/>
        <v/>
      </c>
      <c r="Q543">
        <f t="shared" si="51"/>
        <v>0</v>
      </c>
      <c r="R543">
        <f t="shared" si="52"/>
        <v>0</v>
      </c>
      <c r="S543" t="str">
        <f t="shared" si="53"/>
        <v>0-90</v>
      </c>
    </row>
    <row r="544" spans="1:19" x14ac:dyDescent="0.25">
      <c r="A544" s="6" t="s">
        <v>579</v>
      </c>
      <c r="B544" s="6" t="s">
        <v>14</v>
      </c>
      <c r="C544" s="6" t="s">
        <v>15</v>
      </c>
      <c r="D544" s="6" t="s">
        <v>208</v>
      </c>
      <c r="E544" s="6" t="s">
        <v>209</v>
      </c>
      <c r="F544" s="6" t="s">
        <v>210</v>
      </c>
      <c r="G544" s="6" t="s">
        <v>19</v>
      </c>
      <c r="H544" s="11">
        <v>46141</v>
      </c>
      <c r="I544" s="11"/>
      <c r="J544" s="6" t="s">
        <v>27</v>
      </c>
      <c r="K544" s="6"/>
      <c r="L544" s="6"/>
      <c r="M544" s="6">
        <v>62</v>
      </c>
      <c r="N544">
        <f t="shared" si="48"/>
        <v>0</v>
      </c>
      <c r="O544" t="str">
        <f t="shared" si="49"/>
        <v>04-2026</v>
      </c>
      <c r="P544" t="str">
        <f t="shared" si="50"/>
        <v/>
      </c>
      <c r="Q544">
        <f t="shared" si="51"/>
        <v>0</v>
      </c>
      <c r="R544">
        <f t="shared" si="52"/>
        <v>0</v>
      </c>
      <c r="S544" t="str">
        <f t="shared" si="53"/>
        <v>0-90</v>
      </c>
    </row>
    <row r="545" spans="1:19" x14ac:dyDescent="0.25">
      <c r="A545" s="6" t="s">
        <v>580</v>
      </c>
      <c r="B545" s="6" t="s">
        <v>14</v>
      </c>
      <c r="C545" s="6" t="s">
        <v>15</v>
      </c>
      <c r="D545" s="6" t="s">
        <v>208</v>
      </c>
      <c r="E545" s="6" t="s">
        <v>209</v>
      </c>
      <c r="F545" s="6" t="s">
        <v>210</v>
      </c>
      <c r="G545" s="6" t="s">
        <v>19</v>
      </c>
      <c r="H545" s="11">
        <v>46051</v>
      </c>
      <c r="I545" s="11"/>
      <c r="J545" s="6" t="s">
        <v>27</v>
      </c>
      <c r="K545" s="6"/>
      <c r="L545" s="6"/>
      <c r="M545" s="6">
        <v>152</v>
      </c>
      <c r="N545">
        <f t="shared" si="48"/>
        <v>0</v>
      </c>
      <c r="O545" t="str">
        <f t="shared" si="49"/>
        <v>01-2026</v>
      </c>
      <c r="P545" t="str">
        <f t="shared" si="50"/>
        <v/>
      </c>
      <c r="Q545">
        <f t="shared" si="51"/>
        <v>0</v>
      </c>
      <c r="R545">
        <f t="shared" si="52"/>
        <v>0</v>
      </c>
      <c r="S545" t="str">
        <f t="shared" si="53"/>
        <v>90-180</v>
      </c>
    </row>
    <row r="546" spans="1:19" x14ac:dyDescent="0.25">
      <c r="A546" s="6" t="s">
        <v>581</v>
      </c>
      <c r="B546" s="6" t="s">
        <v>14</v>
      </c>
      <c r="C546" s="6" t="s">
        <v>15</v>
      </c>
      <c r="D546" s="6" t="s">
        <v>208</v>
      </c>
      <c r="E546" s="6" t="s">
        <v>209</v>
      </c>
      <c r="F546" s="6" t="s">
        <v>210</v>
      </c>
      <c r="G546" s="6" t="s">
        <v>19</v>
      </c>
      <c r="H546" s="11">
        <v>46171</v>
      </c>
      <c r="I546" s="11"/>
      <c r="J546" s="6" t="s">
        <v>27</v>
      </c>
      <c r="K546" s="6"/>
      <c r="L546" s="6"/>
      <c r="M546" s="6">
        <v>32</v>
      </c>
      <c r="N546">
        <f t="shared" si="48"/>
        <v>0</v>
      </c>
      <c r="O546" t="str">
        <f t="shared" si="49"/>
        <v>05-2026</v>
      </c>
      <c r="P546" t="str">
        <f t="shared" si="50"/>
        <v/>
      </c>
      <c r="Q546">
        <f t="shared" si="51"/>
        <v>0</v>
      </c>
      <c r="R546">
        <f t="shared" si="52"/>
        <v>0</v>
      </c>
      <c r="S546" t="str">
        <f t="shared" si="53"/>
        <v>0-90</v>
      </c>
    </row>
    <row r="547" spans="1:19" x14ac:dyDescent="0.25">
      <c r="A547" s="6" t="s">
        <v>582</v>
      </c>
      <c r="B547" s="6" t="s">
        <v>14</v>
      </c>
      <c r="C547" s="6" t="s">
        <v>15</v>
      </c>
      <c r="D547" s="6" t="s">
        <v>208</v>
      </c>
      <c r="E547" s="6" t="s">
        <v>209</v>
      </c>
      <c r="F547" s="6" t="s">
        <v>210</v>
      </c>
      <c r="G547" s="6" t="s">
        <v>19</v>
      </c>
      <c r="H547" s="11">
        <v>46171</v>
      </c>
      <c r="I547" s="11"/>
      <c r="J547" s="6" t="s">
        <v>27</v>
      </c>
      <c r="K547" s="6"/>
      <c r="L547" s="6"/>
      <c r="M547" s="6">
        <v>32</v>
      </c>
      <c r="N547">
        <f t="shared" si="48"/>
        <v>0</v>
      </c>
      <c r="O547" t="str">
        <f t="shared" si="49"/>
        <v>05-2026</v>
      </c>
      <c r="P547" t="str">
        <f t="shared" si="50"/>
        <v/>
      </c>
      <c r="Q547">
        <f t="shared" si="51"/>
        <v>0</v>
      </c>
      <c r="R547">
        <f t="shared" si="52"/>
        <v>0</v>
      </c>
      <c r="S547" t="str">
        <f t="shared" si="53"/>
        <v>0-90</v>
      </c>
    </row>
    <row r="548" spans="1:19" x14ac:dyDescent="0.25">
      <c r="A548" s="6" t="s">
        <v>583</v>
      </c>
      <c r="B548" s="6" t="s">
        <v>14</v>
      </c>
      <c r="C548" s="6" t="s">
        <v>15</v>
      </c>
      <c r="D548" s="6" t="s">
        <v>208</v>
      </c>
      <c r="E548" s="6" t="s">
        <v>209</v>
      </c>
      <c r="F548" s="6" t="s">
        <v>210</v>
      </c>
      <c r="G548" s="6" t="s">
        <v>19</v>
      </c>
      <c r="H548" s="11">
        <v>45929</v>
      </c>
      <c r="I548" s="11"/>
      <c r="J548" s="6" t="s">
        <v>27</v>
      </c>
      <c r="K548" s="6"/>
      <c r="L548" s="6"/>
      <c r="M548" s="6">
        <v>274</v>
      </c>
      <c r="N548">
        <f t="shared" si="48"/>
        <v>0</v>
      </c>
      <c r="O548" t="str">
        <f t="shared" si="49"/>
        <v>09-2025</v>
      </c>
      <c r="P548" t="str">
        <f t="shared" si="50"/>
        <v/>
      </c>
      <c r="Q548">
        <f t="shared" si="51"/>
        <v>0</v>
      </c>
      <c r="R548">
        <f t="shared" si="52"/>
        <v>0</v>
      </c>
      <c r="S548" t="str">
        <f t="shared" si="53"/>
        <v>180-365</v>
      </c>
    </row>
    <row r="549" spans="1:19" x14ac:dyDescent="0.25">
      <c r="A549" s="6" t="s">
        <v>584</v>
      </c>
      <c r="B549" s="6" t="s">
        <v>14</v>
      </c>
      <c r="C549" s="6" t="s">
        <v>15</v>
      </c>
      <c r="D549" s="6" t="s">
        <v>208</v>
      </c>
      <c r="E549" s="6" t="s">
        <v>209</v>
      </c>
      <c r="F549" s="6" t="s">
        <v>210</v>
      </c>
      <c r="G549" s="6" t="s">
        <v>19</v>
      </c>
      <c r="H549" s="11">
        <v>46142</v>
      </c>
      <c r="I549" s="11">
        <v>46142</v>
      </c>
      <c r="J549" s="6" t="s">
        <v>20</v>
      </c>
      <c r="K549" s="6" t="s">
        <v>21</v>
      </c>
      <c r="L549" s="6" t="s">
        <v>50</v>
      </c>
      <c r="M549" s="6">
        <v>0</v>
      </c>
      <c r="N549">
        <f t="shared" si="48"/>
        <v>1</v>
      </c>
      <c r="O549" t="str">
        <f t="shared" si="49"/>
        <v>04-2026</v>
      </c>
      <c r="P549" t="str">
        <f t="shared" si="50"/>
        <v>04-2026</v>
      </c>
      <c r="Q549">
        <f t="shared" si="51"/>
        <v>1</v>
      </c>
      <c r="R549">
        <f t="shared" si="52"/>
        <v>0</v>
      </c>
      <c r="S549" t="str">
        <f t="shared" si="53"/>
        <v>0-90</v>
      </c>
    </row>
    <row r="550" spans="1:19" x14ac:dyDescent="0.25">
      <c r="A550" s="6" t="s">
        <v>585</v>
      </c>
      <c r="B550" s="6" t="s">
        <v>14</v>
      </c>
      <c r="C550" s="6" t="s">
        <v>15</v>
      </c>
      <c r="D550" s="6" t="s">
        <v>208</v>
      </c>
      <c r="E550" s="6" t="s">
        <v>209</v>
      </c>
      <c r="F550" s="6" t="s">
        <v>210</v>
      </c>
      <c r="G550" s="6" t="s">
        <v>19</v>
      </c>
      <c r="H550" s="11">
        <v>46142</v>
      </c>
      <c r="I550" s="11"/>
      <c r="J550" s="6" t="s">
        <v>27</v>
      </c>
      <c r="K550" s="6"/>
      <c r="L550" s="6"/>
      <c r="M550" s="6">
        <v>61</v>
      </c>
      <c r="N550">
        <f t="shared" si="48"/>
        <v>0</v>
      </c>
      <c r="O550" t="str">
        <f t="shared" si="49"/>
        <v>04-2026</v>
      </c>
      <c r="P550" t="str">
        <f t="shared" si="50"/>
        <v/>
      </c>
      <c r="Q550">
        <f t="shared" si="51"/>
        <v>0</v>
      </c>
      <c r="R550">
        <f t="shared" si="52"/>
        <v>0</v>
      </c>
      <c r="S550" t="str">
        <f t="shared" si="53"/>
        <v>0-90</v>
      </c>
    </row>
    <row r="551" spans="1:19" x14ac:dyDescent="0.25">
      <c r="A551" s="6" t="s">
        <v>586</v>
      </c>
      <c r="B551" s="6" t="s">
        <v>14</v>
      </c>
      <c r="C551" s="6" t="s">
        <v>15</v>
      </c>
      <c r="D551" s="6" t="s">
        <v>208</v>
      </c>
      <c r="E551" s="6" t="s">
        <v>209</v>
      </c>
      <c r="F551" s="6" t="s">
        <v>210</v>
      </c>
      <c r="G551" s="6" t="s">
        <v>19</v>
      </c>
      <c r="H551" s="11">
        <v>46052</v>
      </c>
      <c r="I551" s="11"/>
      <c r="J551" s="6" t="s">
        <v>27</v>
      </c>
      <c r="K551" s="6"/>
      <c r="L551" s="6"/>
      <c r="M551" s="6">
        <v>151</v>
      </c>
      <c r="N551">
        <f t="shared" si="48"/>
        <v>0</v>
      </c>
      <c r="O551" t="str">
        <f t="shared" si="49"/>
        <v>01-2026</v>
      </c>
      <c r="P551" t="str">
        <f t="shared" si="50"/>
        <v/>
      </c>
      <c r="Q551">
        <f t="shared" si="51"/>
        <v>0</v>
      </c>
      <c r="R551">
        <f t="shared" si="52"/>
        <v>0</v>
      </c>
      <c r="S551" t="str">
        <f t="shared" si="53"/>
        <v>90-180</v>
      </c>
    </row>
    <row r="552" spans="1:19" x14ac:dyDescent="0.25">
      <c r="A552" s="6" t="s">
        <v>587</v>
      </c>
      <c r="B552" s="6" t="s">
        <v>14</v>
      </c>
      <c r="C552" s="6" t="s">
        <v>15</v>
      </c>
      <c r="D552" s="6" t="s">
        <v>208</v>
      </c>
      <c r="E552" s="6" t="s">
        <v>209</v>
      </c>
      <c r="F552" s="6" t="s">
        <v>210</v>
      </c>
      <c r="G552" s="6" t="s">
        <v>19</v>
      </c>
      <c r="H552" s="11">
        <v>46203</v>
      </c>
      <c r="I552" s="11"/>
      <c r="J552" s="6" t="s">
        <v>27</v>
      </c>
      <c r="K552" s="6"/>
      <c r="L552" s="6"/>
      <c r="M552" s="6">
        <v>0</v>
      </c>
      <c r="N552">
        <f t="shared" si="48"/>
        <v>0</v>
      </c>
      <c r="O552" t="str">
        <f t="shared" si="49"/>
        <v>06-2026</v>
      </c>
      <c r="P552" t="str">
        <f t="shared" si="50"/>
        <v/>
      </c>
      <c r="Q552">
        <f t="shared" si="51"/>
        <v>0</v>
      </c>
      <c r="R552">
        <f t="shared" si="52"/>
        <v>0</v>
      </c>
      <c r="S552" t="str">
        <f t="shared" si="53"/>
        <v>0-90</v>
      </c>
    </row>
    <row r="553" spans="1:19" x14ac:dyDescent="0.25">
      <c r="A553" s="6" t="s">
        <v>588</v>
      </c>
      <c r="B553" s="6" t="s">
        <v>14</v>
      </c>
      <c r="C553" s="6" t="s">
        <v>15</v>
      </c>
      <c r="D553" s="6" t="s">
        <v>208</v>
      </c>
      <c r="E553" s="6" t="s">
        <v>209</v>
      </c>
      <c r="F553" s="6" t="s">
        <v>210</v>
      </c>
      <c r="G553" s="6" t="s">
        <v>19</v>
      </c>
      <c r="H553" s="11">
        <v>46203</v>
      </c>
      <c r="I553" s="11">
        <v>46203</v>
      </c>
      <c r="J553" s="6" t="s">
        <v>20</v>
      </c>
      <c r="K553" s="6" t="s">
        <v>21</v>
      </c>
      <c r="L553" s="6" t="s">
        <v>22</v>
      </c>
      <c r="M553" s="6">
        <v>0</v>
      </c>
      <c r="N553">
        <f t="shared" si="48"/>
        <v>1</v>
      </c>
      <c r="O553" t="str">
        <f t="shared" si="49"/>
        <v>06-2026</v>
      </c>
      <c r="P553" t="str">
        <f t="shared" si="50"/>
        <v>06-2026</v>
      </c>
      <c r="Q553">
        <f t="shared" si="51"/>
        <v>1</v>
      </c>
      <c r="R553">
        <f t="shared" si="52"/>
        <v>0</v>
      </c>
      <c r="S553" t="str">
        <f t="shared" si="53"/>
        <v>0-90</v>
      </c>
    </row>
    <row r="554" spans="1:19" x14ac:dyDescent="0.25">
      <c r="A554" s="6" t="s">
        <v>589</v>
      </c>
      <c r="B554" s="6" t="s">
        <v>14</v>
      </c>
      <c r="C554" s="6" t="s">
        <v>15</v>
      </c>
      <c r="D554" s="6" t="s">
        <v>208</v>
      </c>
      <c r="E554" s="6" t="s">
        <v>209</v>
      </c>
      <c r="F554" s="6" t="s">
        <v>210</v>
      </c>
      <c r="G554" s="6" t="s">
        <v>19</v>
      </c>
      <c r="H554" s="11">
        <v>46203</v>
      </c>
      <c r="I554" s="11"/>
      <c r="J554" s="6" t="s">
        <v>27</v>
      </c>
      <c r="K554" s="6"/>
      <c r="L554" s="6"/>
      <c r="M554" s="6">
        <v>0</v>
      </c>
      <c r="N554">
        <f t="shared" si="48"/>
        <v>0</v>
      </c>
      <c r="O554" t="str">
        <f t="shared" si="49"/>
        <v>06-2026</v>
      </c>
      <c r="P554" t="str">
        <f t="shared" si="50"/>
        <v/>
      </c>
      <c r="Q554">
        <f t="shared" si="51"/>
        <v>0</v>
      </c>
      <c r="R554">
        <f t="shared" si="52"/>
        <v>0</v>
      </c>
      <c r="S554" t="str">
        <f t="shared" si="53"/>
        <v>0-90</v>
      </c>
    </row>
    <row r="555" spans="1:19" x14ac:dyDescent="0.25">
      <c r="A555" s="6" t="s">
        <v>590</v>
      </c>
      <c r="B555" s="6" t="s">
        <v>14</v>
      </c>
      <c r="C555" s="6" t="s">
        <v>15</v>
      </c>
      <c r="D555" s="6" t="s">
        <v>208</v>
      </c>
      <c r="E555" s="6" t="s">
        <v>209</v>
      </c>
      <c r="F555" s="6" t="s">
        <v>210</v>
      </c>
      <c r="G555" s="6" t="s">
        <v>19</v>
      </c>
      <c r="H555" s="11">
        <v>46111</v>
      </c>
      <c r="I555" s="11">
        <v>46125</v>
      </c>
      <c r="J555" s="6" t="s">
        <v>20</v>
      </c>
      <c r="K555" s="6" t="s">
        <v>21</v>
      </c>
      <c r="L555" s="6" t="s">
        <v>22</v>
      </c>
      <c r="M555" s="6">
        <v>14</v>
      </c>
      <c r="N555">
        <f t="shared" si="48"/>
        <v>1</v>
      </c>
      <c r="O555" t="str">
        <f t="shared" si="49"/>
        <v>03-2026</v>
      </c>
      <c r="P555" t="str">
        <f t="shared" si="50"/>
        <v>04-2026</v>
      </c>
      <c r="Q555">
        <f t="shared" si="51"/>
        <v>1</v>
      </c>
      <c r="R555">
        <f t="shared" si="52"/>
        <v>0</v>
      </c>
      <c r="S555" t="str">
        <f t="shared" si="53"/>
        <v>0-90</v>
      </c>
    </row>
    <row r="556" spans="1:19" x14ac:dyDescent="0.25">
      <c r="A556" s="6" t="s">
        <v>591</v>
      </c>
      <c r="B556" s="6" t="s">
        <v>14</v>
      </c>
      <c r="C556" s="6" t="s">
        <v>15</v>
      </c>
      <c r="D556" s="6" t="s">
        <v>208</v>
      </c>
      <c r="E556" s="6" t="s">
        <v>209</v>
      </c>
      <c r="F556" s="6" t="s">
        <v>210</v>
      </c>
      <c r="G556" s="6" t="s">
        <v>19</v>
      </c>
      <c r="H556" s="11">
        <v>46111</v>
      </c>
      <c r="I556" s="11"/>
      <c r="J556" s="6" t="s">
        <v>27</v>
      </c>
      <c r="K556" s="6"/>
      <c r="L556" s="6"/>
      <c r="M556" s="6">
        <v>92</v>
      </c>
      <c r="N556">
        <f t="shared" si="48"/>
        <v>0</v>
      </c>
      <c r="O556" t="str">
        <f t="shared" si="49"/>
        <v>03-2026</v>
      </c>
      <c r="P556" t="str">
        <f t="shared" si="50"/>
        <v/>
      </c>
      <c r="Q556">
        <f t="shared" si="51"/>
        <v>0</v>
      </c>
      <c r="R556">
        <f t="shared" si="52"/>
        <v>0</v>
      </c>
      <c r="S556" t="str">
        <f t="shared" si="53"/>
        <v>90-180</v>
      </c>
    </row>
    <row r="557" spans="1:19" x14ac:dyDescent="0.25">
      <c r="A557" s="6" t="s">
        <v>592</v>
      </c>
      <c r="B557" s="6" t="s">
        <v>14</v>
      </c>
      <c r="C557" s="6" t="s">
        <v>15</v>
      </c>
      <c r="D557" s="6" t="s">
        <v>208</v>
      </c>
      <c r="E557" s="6" t="s">
        <v>209</v>
      </c>
      <c r="F557" s="6" t="s">
        <v>210</v>
      </c>
      <c r="G557" s="6" t="s">
        <v>19</v>
      </c>
      <c r="H557" s="11">
        <v>46172</v>
      </c>
      <c r="I557" s="11">
        <v>46172</v>
      </c>
      <c r="J557" s="6" t="s">
        <v>20</v>
      </c>
      <c r="K557" s="6" t="s">
        <v>21</v>
      </c>
      <c r="L557" s="6" t="s">
        <v>50</v>
      </c>
      <c r="M557" s="6">
        <v>0</v>
      </c>
      <c r="N557">
        <f t="shared" si="48"/>
        <v>1</v>
      </c>
      <c r="O557" t="str">
        <f t="shared" si="49"/>
        <v>05-2026</v>
      </c>
      <c r="P557" t="str">
        <f t="shared" si="50"/>
        <v>05-2026</v>
      </c>
      <c r="Q557">
        <f t="shared" si="51"/>
        <v>1</v>
      </c>
      <c r="R557">
        <f t="shared" si="52"/>
        <v>0</v>
      </c>
      <c r="S557" t="str">
        <f t="shared" si="53"/>
        <v>0-90</v>
      </c>
    </row>
    <row r="558" spans="1:19" x14ac:dyDescent="0.25">
      <c r="A558" s="6" t="s">
        <v>593</v>
      </c>
      <c r="B558" s="6" t="s">
        <v>14</v>
      </c>
      <c r="C558" s="6" t="s">
        <v>15</v>
      </c>
      <c r="D558" s="6" t="s">
        <v>208</v>
      </c>
      <c r="E558" s="6" t="s">
        <v>209</v>
      </c>
      <c r="F558" s="6" t="s">
        <v>210</v>
      </c>
      <c r="G558" s="6" t="s">
        <v>19</v>
      </c>
      <c r="H558" s="11">
        <v>46172</v>
      </c>
      <c r="I558" s="11">
        <v>46172</v>
      </c>
      <c r="J558" s="6" t="s">
        <v>20</v>
      </c>
      <c r="K558" s="6" t="s">
        <v>21</v>
      </c>
      <c r="L558" s="6" t="s">
        <v>33</v>
      </c>
      <c r="M558" s="6">
        <v>0</v>
      </c>
      <c r="N558">
        <f t="shared" si="48"/>
        <v>1</v>
      </c>
      <c r="O558" t="str">
        <f t="shared" si="49"/>
        <v>05-2026</v>
      </c>
      <c r="P558" t="str">
        <f t="shared" si="50"/>
        <v>05-2026</v>
      </c>
      <c r="Q558">
        <f t="shared" si="51"/>
        <v>1</v>
      </c>
      <c r="R558">
        <f t="shared" si="52"/>
        <v>0</v>
      </c>
      <c r="S558" t="str">
        <f t="shared" si="53"/>
        <v>0-90</v>
      </c>
    </row>
    <row r="559" spans="1:19" x14ac:dyDescent="0.25">
      <c r="A559" s="6" t="s">
        <v>594</v>
      </c>
      <c r="B559" s="6" t="s">
        <v>14</v>
      </c>
      <c r="C559" s="6" t="s">
        <v>15</v>
      </c>
      <c r="D559" s="6" t="s">
        <v>208</v>
      </c>
      <c r="E559" s="6" t="s">
        <v>209</v>
      </c>
      <c r="F559" s="6" t="s">
        <v>210</v>
      </c>
      <c r="G559" s="6" t="s">
        <v>19</v>
      </c>
      <c r="H559" s="11">
        <v>46172</v>
      </c>
      <c r="I559" s="11"/>
      <c r="J559" s="6" t="s">
        <v>27</v>
      </c>
      <c r="K559" s="6"/>
      <c r="L559" s="6"/>
      <c r="M559" s="6">
        <v>31</v>
      </c>
      <c r="N559">
        <f t="shared" si="48"/>
        <v>0</v>
      </c>
      <c r="O559" t="str">
        <f t="shared" si="49"/>
        <v>05-2026</v>
      </c>
      <c r="P559" t="str">
        <f t="shared" si="50"/>
        <v/>
      </c>
      <c r="Q559">
        <f t="shared" si="51"/>
        <v>0</v>
      </c>
      <c r="R559">
        <f t="shared" si="52"/>
        <v>0</v>
      </c>
      <c r="S559" t="str">
        <f t="shared" si="53"/>
        <v>0-90</v>
      </c>
    </row>
    <row r="560" spans="1:19" x14ac:dyDescent="0.25">
      <c r="A560" s="6" t="s">
        <v>595</v>
      </c>
      <c r="B560" s="6" t="s">
        <v>14</v>
      </c>
      <c r="C560" s="6" t="s">
        <v>15</v>
      </c>
      <c r="D560" s="6" t="s">
        <v>208</v>
      </c>
      <c r="E560" s="6" t="s">
        <v>209</v>
      </c>
      <c r="F560" s="6" t="s">
        <v>210</v>
      </c>
      <c r="G560" s="6" t="s">
        <v>19</v>
      </c>
      <c r="H560" s="11">
        <v>46172</v>
      </c>
      <c r="I560" s="11">
        <v>46172</v>
      </c>
      <c r="J560" s="6" t="s">
        <v>20</v>
      </c>
      <c r="K560" s="6" t="s">
        <v>21</v>
      </c>
      <c r="L560" s="6" t="s">
        <v>33</v>
      </c>
      <c r="M560" s="6">
        <v>0</v>
      </c>
      <c r="N560">
        <f t="shared" si="48"/>
        <v>1</v>
      </c>
      <c r="O560" t="str">
        <f t="shared" si="49"/>
        <v>05-2026</v>
      </c>
      <c r="P560" t="str">
        <f t="shared" si="50"/>
        <v>05-2026</v>
      </c>
      <c r="Q560">
        <f t="shared" si="51"/>
        <v>1</v>
      </c>
      <c r="R560">
        <f t="shared" si="52"/>
        <v>0</v>
      </c>
      <c r="S560" t="str">
        <f t="shared" si="53"/>
        <v>0-90</v>
      </c>
    </row>
    <row r="561" spans="1:19" x14ac:dyDescent="0.25">
      <c r="A561" s="6" t="s">
        <v>596</v>
      </c>
      <c r="B561" s="6" t="s">
        <v>14</v>
      </c>
      <c r="C561" s="6" t="s">
        <v>15</v>
      </c>
      <c r="D561" s="6" t="s">
        <v>208</v>
      </c>
      <c r="E561" s="6" t="s">
        <v>209</v>
      </c>
      <c r="F561" s="6" t="s">
        <v>210</v>
      </c>
      <c r="G561" s="6" t="s">
        <v>19</v>
      </c>
      <c r="H561" s="11">
        <v>46172</v>
      </c>
      <c r="I561" s="11">
        <v>46172</v>
      </c>
      <c r="J561" s="6" t="s">
        <v>20</v>
      </c>
      <c r="K561" s="6" t="s">
        <v>21</v>
      </c>
      <c r="L561" s="6" t="s">
        <v>50</v>
      </c>
      <c r="M561" s="6">
        <v>0</v>
      </c>
      <c r="N561">
        <f t="shared" si="48"/>
        <v>1</v>
      </c>
      <c r="O561" t="str">
        <f t="shared" si="49"/>
        <v>05-2026</v>
      </c>
      <c r="P561" t="str">
        <f t="shared" si="50"/>
        <v>05-2026</v>
      </c>
      <c r="Q561">
        <f t="shared" si="51"/>
        <v>1</v>
      </c>
      <c r="R561">
        <f t="shared" si="52"/>
        <v>0</v>
      </c>
      <c r="S561" t="str">
        <f t="shared" si="53"/>
        <v>0-90</v>
      </c>
    </row>
    <row r="562" spans="1:19" x14ac:dyDescent="0.25">
      <c r="A562" s="6" t="s">
        <v>597</v>
      </c>
      <c r="B562" s="6" t="s">
        <v>14</v>
      </c>
      <c r="C562" s="6" t="s">
        <v>15</v>
      </c>
      <c r="D562" s="6" t="s">
        <v>208</v>
      </c>
      <c r="E562" s="6" t="s">
        <v>209</v>
      </c>
      <c r="F562" s="6" t="s">
        <v>210</v>
      </c>
      <c r="G562" s="6" t="s">
        <v>19</v>
      </c>
      <c r="H562" s="11">
        <v>46173</v>
      </c>
      <c r="I562" s="11">
        <v>46173</v>
      </c>
      <c r="J562" s="6" t="s">
        <v>20</v>
      </c>
      <c r="K562" s="6" t="s">
        <v>21</v>
      </c>
      <c r="L562" s="6" t="s">
        <v>37</v>
      </c>
      <c r="M562" s="6">
        <v>0</v>
      </c>
      <c r="N562">
        <f t="shared" si="48"/>
        <v>1</v>
      </c>
      <c r="O562" t="str">
        <f t="shared" si="49"/>
        <v>05-2026</v>
      </c>
      <c r="P562" t="str">
        <f t="shared" si="50"/>
        <v>05-2026</v>
      </c>
      <c r="Q562">
        <f t="shared" si="51"/>
        <v>1</v>
      </c>
      <c r="R562">
        <f t="shared" si="52"/>
        <v>0</v>
      </c>
      <c r="S562" t="str">
        <f t="shared" si="53"/>
        <v>0-90</v>
      </c>
    </row>
    <row r="563" spans="1:19" x14ac:dyDescent="0.25">
      <c r="A563" s="6" t="s">
        <v>598</v>
      </c>
      <c r="B563" s="6" t="s">
        <v>14</v>
      </c>
      <c r="C563" s="6" t="s">
        <v>15</v>
      </c>
      <c r="D563" s="6" t="s">
        <v>208</v>
      </c>
      <c r="E563" s="6" t="s">
        <v>209</v>
      </c>
      <c r="F563" s="6" t="s">
        <v>210</v>
      </c>
      <c r="G563" s="6" t="s">
        <v>142</v>
      </c>
      <c r="H563" s="11">
        <v>46174</v>
      </c>
      <c r="I563" s="11"/>
      <c r="J563" s="6" t="s">
        <v>27</v>
      </c>
      <c r="K563" s="6"/>
      <c r="L563" s="6"/>
      <c r="M563" s="6">
        <v>29</v>
      </c>
      <c r="N563">
        <f t="shared" si="48"/>
        <v>0</v>
      </c>
      <c r="O563" t="str">
        <f t="shared" si="49"/>
        <v>06-2026</v>
      </c>
      <c r="P563" t="str">
        <f t="shared" si="50"/>
        <v/>
      </c>
      <c r="Q563">
        <f t="shared" si="51"/>
        <v>0</v>
      </c>
      <c r="R563">
        <f t="shared" si="52"/>
        <v>0</v>
      </c>
      <c r="S563" t="str">
        <f t="shared" si="53"/>
        <v>0-90</v>
      </c>
    </row>
    <row r="564" spans="1:19" x14ac:dyDescent="0.25">
      <c r="A564" s="6" t="s">
        <v>599</v>
      </c>
      <c r="B564" s="6" t="s">
        <v>14</v>
      </c>
      <c r="C564" s="6" t="s">
        <v>15</v>
      </c>
      <c r="D564" s="6" t="s">
        <v>208</v>
      </c>
      <c r="E564" s="6" t="s">
        <v>209</v>
      </c>
      <c r="F564" s="6" t="s">
        <v>210</v>
      </c>
      <c r="G564" s="6" t="s">
        <v>142</v>
      </c>
      <c r="H564" s="11">
        <v>46082</v>
      </c>
      <c r="I564" s="11"/>
      <c r="J564" s="6" t="s">
        <v>27</v>
      </c>
      <c r="K564" s="6"/>
      <c r="L564" s="6"/>
      <c r="M564" s="6">
        <v>121</v>
      </c>
      <c r="N564">
        <f t="shared" si="48"/>
        <v>0</v>
      </c>
      <c r="O564" t="str">
        <f t="shared" si="49"/>
        <v>03-2026</v>
      </c>
      <c r="P564" t="str">
        <f t="shared" si="50"/>
        <v/>
      </c>
      <c r="Q564">
        <f t="shared" si="51"/>
        <v>0</v>
      </c>
      <c r="R564">
        <f t="shared" si="52"/>
        <v>0</v>
      </c>
      <c r="S564" t="str">
        <f t="shared" si="53"/>
        <v>90-180</v>
      </c>
    </row>
    <row r="565" spans="1:19" x14ac:dyDescent="0.25">
      <c r="A565" s="6" t="s">
        <v>600</v>
      </c>
      <c r="B565" s="6" t="s">
        <v>14</v>
      </c>
      <c r="C565" s="6" t="s">
        <v>15</v>
      </c>
      <c r="D565" s="6" t="s">
        <v>208</v>
      </c>
      <c r="E565" s="6" t="s">
        <v>209</v>
      </c>
      <c r="F565" s="6" t="s">
        <v>210</v>
      </c>
      <c r="G565" s="6" t="s">
        <v>142</v>
      </c>
      <c r="H565" s="11">
        <v>46114</v>
      </c>
      <c r="I565" s="11">
        <v>46126</v>
      </c>
      <c r="J565" s="6" t="s">
        <v>20</v>
      </c>
      <c r="K565" s="6" t="s">
        <v>21</v>
      </c>
      <c r="L565" s="6" t="s">
        <v>37</v>
      </c>
      <c r="M565" s="6">
        <v>12</v>
      </c>
      <c r="N565">
        <f t="shared" si="48"/>
        <v>1</v>
      </c>
      <c r="O565" t="str">
        <f t="shared" si="49"/>
        <v>04-2026</v>
      </c>
      <c r="P565" t="str">
        <f t="shared" si="50"/>
        <v>04-2026</v>
      </c>
      <c r="Q565">
        <f t="shared" si="51"/>
        <v>1</v>
      </c>
      <c r="R565">
        <f t="shared" si="52"/>
        <v>0</v>
      </c>
      <c r="S565" t="str">
        <f t="shared" si="53"/>
        <v>0-90</v>
      </c>
    </row>
    <row r="566" spans="1:19" x14ac:dyDescent="0.25">
      <c r="A566" s="6" t="s">
        <v>601</v>
      </c>
      <c r="B566" s="6" t="s">
        <v>14</v>
      </c>
      <c r="C566" s="6" t="s">
        <v>15</v>
      </c>
      <c r="D566" s="6" t="s">
        <v>208</v>
      </c>
      <c r="E566" s="6" t="s">
        <v>209</v>
      </c>
      <c r="F566" s="6" t="s">
        <v>210</v>
      </c>
      <c r="G566" s="6" t="s">
        <v>142</v>
      </c>
      <c r="H566" s="11">
        <v>46024</v>
      </c>
      <c r="I566" s="11">
        <v>46141</v>
      </c>
      <c r="J566" s="6" t="s">
        <v>20</v>
      </c>
      <c r="K566" s="6" t="s">
        <v>24</v>
      </c>
      <c r="L566" s="6" t="s">
        <v>55</v>
      </c>
      <c r="M566" s="6">
        <v>117</v>
      </c>
      <c r="N566">
        <f t="shared" si="48"/>
        <v>1</v>
      </c>
      <c r="O566" t="str">
        <f t="shared" si="49"/>
        <v>01-2026</v>
      </c>
      <c r="P566" t="str">
        <f t="shared" si="50"/>
        <v>04-2026</v>
      </c>
      <c r="Q566">
        <f t="shared" si="51"/>
        <v>0</v>
      </c>
      <c r="R566">
        <f t="shared" si="52"/>
        <v>1</v>
      </c>
      <c r="S566" t="str">
        <f t="shared" si="53"/>
        <v>90-180</v>
      </c>
    </row>
    <row r="567" spans="1:19" x14ac:dyDescent="0.25">
      <c r="A567" s="6" t="s">
        <v>602</v>
      </c>
      <c r="B567" s="6" t="s">
        <v>14</v>
      </c>
      <c r="C567" s="6" t="s">
        <v>15</v>
      </c>
      <c r="D567" s="6" t="s">
        <v>208</v>
      </c>
      <c r="E567" s="6" t="s">
        <v>209</v>
      </c>
      <c r="F567" s="6" t="s">
        <v>210</v>
      </c>
      <c r="G567" s="6" t="s">
        <v>142</v>
      </c>
      <c r="H567" s="11">
        <v>46175</v>
      </c>
      <c r="I567" s="11"/>
      <c r="J567" s="6" t="s">
        <v>27</v>
      </c>
      <c r="K567" s="6"/>
      <c r="L567" s="6"/>
      <c r="M567" s="6">
        <v>28</v>
      </c>
      <c r="N567">
        <f t="shared" si="48"/>
        <v>0</v>
      </c>
      <c r="O567" t="str">
        <f t="shared" si="49"/>
        <v>06-2026</v>
      </c>
      <c r="P567" t="str">
        <f t="shared" si="50"/>
        <v/>
      </c>
      <c r="Q567">
        <f t="shared" si="51"/>
        <v>0</v>
      </c>
      <c r="R567">
        <f t="shared" si="52"/>
        <v>0</v>
      </c>
      <c r="S567" t="str">
        <f t="shared" si="53"/>
        <v>0-90</v>
      </c>
    </row>
    <row r="568" spans="1:19" x14ac:dyDescent="0.25">
      <c r="A568" s="6" t="s">
        <v>603</v>
      </c>
      <c r="B568" s="6" t="s">
        <v>14</v>
      </c>
      <c r="C568" s="6" t="s">
        <v>15</v>
      </c>
      <c r="D568" s="6" t="s">
        <v>208</v>
      </c>
      <c r="E568" s="6" t="s">
        <v>209</v>
      </c>
      <c r="F568" s="6" t="s">
        <v>210</v>
      </c>
      <c r="G568" s="6" t="s">
        <v>142</v>
      </c>
      <c r="H568" s="11">
        <v>46175</v>
      </c>
      <c r="I568" s="11">
        <v>46195</v>
      </c>
      <c r="J568" s="6" t="s">
        <v>20</v>
      </c>
      <c r="K568" s="6" t="s">
        <v>21</v>
      </c>
      <c r="L568" s="6" t="s">
        <v>61</v>
      </c>
      <c r="M568" s="6">
        <v>20</v>
      </c>
      <c r="N568">
        <f t="shared" si="48"/>
        <v>1</v>
      </c>
      <c r="O568" t="str">
        <f t="shared" si="49"/>
        <v>06-2026</v>
      </c>
      <c r="P568" t="str">
        <f t="shared" si="50"/>
        <v>06-2026</v>
      </c>
      <c r="Q568">
        <f t="shared" si="51"/>
        <v>1</v>
      </c>
      <c r="R568">
        <f t="shared" si="52"/>
        <v>0</v>
      </c>
      <c r="S568" t="str">
        <f t="shared" si="53"/>
        <v>0-90</v>
      </c>
    </row>
    <row r="569" spans="1:19" x14ac:dyDescent="0.25">
      <c r="A569" s="6" t="s">
        <v>604</v>
      </c>
      <c r="B569" s="6" t="s">
        <v>14</v>
      </c>
      <c r="C569" s="6" t="s">
        <v>15</v>
      </c>
      <c r="D569" s="6" t="s">
        <v>208</v>
      </c>
      <c r="E569" s="6" t="s">
        <v>209</v>
      </c>
      <c r="F569" s="6" t="s">
        <v>210</v>
      </c>
      <c r="G569" s="6" t="s">
        <v>142</v>
      </c>
      <c r="H569" s="11">
        <v>45932</v>
      </c>
      <c r="I569" s="11">
        <v>46135</v>
      </c>
      <c r="J569" s="6" t="s">
        <v>20</v>
      </c>
      <c r="K569" s="6" t="s">
        <v>21</v>
      </c>
      <c r="L569" s="6" t="s">
        <v>37</v>
      </c>
      <c r="M569" s="6">
        <v>203</v>
      </c>
      <c r="N569">
        <f t="shared" si="48"/>
        <v>1</v>
      </c>
      <c r="O569" t="str">
        <f t="shared" si="49"/>
        <v>10-2025</v>
      </c>
      <c r="P569" t="str">
        <f t="shared" si="50"/>
        <v>04-2026</v>
      </c>
      <c r="Q569">
        <f t="shared" si="51"/>
        <v>1</v>
      </c>
      <c r="R569">
        <f t="shared" si="52"/>
        <v>0</v>
      </c>
      <c r="S569" t="str">
        <f t="shared" si="53"/>
        <v>180-365</v>
      </c>
    </row>
    <row r="570" spans="1:19" x14ac:dyDescent="0.25">
      <c r="A570" s="6" t="s">
        <v>605</v>
      </c>
      <c r="B570" s="6" t="s">
        <v>14</v>
      </c>
      <c r="C570" s="6" t="s">
        <v>15</v>
      </c>
      <c r="D570" s="6" t="s">
        <v>208</v>
      </c>
      <c r="E570" s="6" t="s">
        <v>209</v>
      </c>
      <c r="F570" s="6" t="s">
        <v>210</v>
      </c>
      <c r="G570" s="6" t="s">
        <v>142</v>
      </c>
      <c r="H570" s="11">
        <v>46115</v>
      </c>
      <c r="I570" s="11"/>
      <c r="J570" s="6" t="s">
        <v>27</v>
      </c>
      <c r="K570" s="6"/>
      <c r="L570" s="6"/>
      <c r="M570" s="6">
        <v>88</v>
      </c>
      <c r="N570">
        <f t="shared" si="48"/>
        <v>0</v>
      </c>
      <c r="O570" t="str">
        <f t="shared" si="49"/>
        <v>04-2026</v>
      </c>
      <c r="P570" t="str">
        <f t="shared" si="50"/>
        <v/>
      </c>
      <c r="Q570">
        <f t="shared" si="51"/>
        <v>0</v>
      </c>
      <c r="R570">
        <f t="shared" si="52"/>
        <v>0</v>
      </c>
      <c r="S570" t="str">
        <f t="shared" si="53"/>
        <v>0-90</v>
      </c>
    </row>
    <row r="571" spans="1:19" x14ac:dyDescent="0.25">
      <c r="A571" s="6" t="s">
        <v>606</v>
      </c>
      <c r="B571" s="6" t="s">
        <v>14</v>
      </c>
      <c r="C571" s="6" t="s">
        <v>15</v>
      </c>
      <c r="D571" s="6" t="s">
        <v>208</v>
      </c>
      <c r="E571" s="6" t="s">
        <v>209</v>
      </c>
      <c r="F571" s="6" t="s">
        <v>210</v>
      </c>
      <c r="G571" s="6" t="s">
        <v>142</v>
      </c>
      <c r="H571" s="11">
        <v>46115</v>
      </c>
      <c r="I571" s="11"/>
      <c r="J571" s="6" t="s">
        <v>27</v>
      </c>
      <c r="K571" s="6"/>
      <c r="L571" s="6"/>
      <c r="M571" s="6">
        <v>88</v>
      </c>
      <c r="N571">
        <f t="shared" si="48"/>
        <v>0</v>
      </c>
      <c r="O571" t="str">
        <f t="shared" si="49"/>
        <v>04-2026</v>
      </c>
      <c r="P571" t="str">
        <f t="shared" si="50"/>
        <v/>
      </c>
      <c r="Q571">
        <f t="shared" si="51"/>
        <v>0</v>
      </c>
      <c r="R571">
        <f t="shared" si="52"/>
        <v>0</v>
      </c>
      <c r="S571" t="str">
        <f t="shared" si="53"/>
        <v>0-90</v>
      </c>
    </row>
    <row r="572" spans="1:19" x14ac:dyDescent="0.25">
      <c r="A572" s="6" t="s">
        <v>607</v>
      </c>
      <c r="B572" s="6" t="s">
        <v>14</v>
      </c>
      <c r="C572" s="6" t="s">
        <v>15</v>
      </c>
      <c r="D572" s="6" t="s">
        <v>208</v>
      </c>
      <c r="E572" s="6" t="s">
        <v>209</v>
      </c>
      <c r="F572" s="6" t="s">
        <v>210</v>
      </c>
      <c r="G572" s="6" t="s">
        <v>142</v>
      </c>
      <c r="H572" s="11">
        <v>45872</v>
      </c>
      <c r="I572" s="11">
        <v>46145</v>
      </c>
      <c r="J572" s="6" t="s">
        <v>20</v>
      </c>
      <c r="K572" s="6" t="s">
        <v>24</v>
      </c>
      <c r="L572" s="6" t="s">
        <v>41</v>
      </c>
      <c r="M572" s="6">
        <v>273</v>
      </c>
      <c r="N572">
        <f t="shared" si="48"/>
        <v>1</v>
      </c>
      <c r="O572" t="str">
        <f t="shared" si="49"/>
        <v>08-2025</v>
      </c>
      <c r="P572" t="str">
        <f t="shared" si="50"/>
        <v>05-2026</v>
      </c>
      <c r="Q572">
        <f t="shared" si="51"/>
        <v>0</v>
      </c>
      <c r="R572">
        <f t="shared" si="52"/>
        <v>1</v>
      </c>
      <c r="S572" t="str">
        <f t="shared" si="53"/>
        <v>180-365</v>
      </c>
    </row>
    <row r="573" spans="1:19" x14ac:dyDescent="0.25">
      <c r="A573" s="6" t="s">
        <v>608</v>
      </c>
      <c r="B573" s="6" t="s">
        <v>14</v>
      </c>
      <c r="C573" s="6" t="s">
        <v>15</v>
      </c>
      <c r="D573" s="6" t="s">
        <v>208</v>
      </c>
      <c r="E573" s="6" t="s">
        <v>209</v>
      </c>
      <c r="F573" s="6" t="s">
        <v>210</v>
      </c>
      <c r="G573" s="6" t="s">
        <v>142</v>
      </c>
      <c r="H573" s="11">
        <v>45841</v>
      </c>
      <c r="I573" s="11">
        <v>46120</v>
      </c>
      <c r="J573" s="6" t="s">
        <v>20</v>
      </c>
      <c r="K573" s="6" t="s">
        <v>24</v>
      </c>
      <c r="L573" s="6" t="s">
        <v>55</v>
      </c>
      <c r="M573" s="6">
        <v>279</v>
      </c>
      <c r="N573">
        <f t="shared" si="48"/>
        <v>1</v>
      </c>
      <c r="O573" t="str">
        <f t="shared" si="49"/>
        <v>07-2025</v>
      </c>
      <c r="P573" t="str">
        <f t="shared" si="50"/>
        <v>04-2026</v>
      </c>
      <c r="Q573">
        <f t="shared" si="51"/>
        <v>0</v>
      </c>
      <c r="R573">
        <f t="shared" si="52"/>
        <v>1</v>
      </c>
      <c r="S573" t="str">
        <f t="shared" si="53"/>
        <v>180-365</v>
      </c>
    </row>
    <row r="574" spans="1:19" x14ac:dyDescent="0.25">
      <c r="A574" s="6" t="s">
        <v>609</v>
      </c>
      <c r="B574" s="6" t="s">
        <v>14</v>
      </c>
      <c r="C574" s="6" t="s">
        <v>15</v>
      </c>
      <c r="D574" s="6" t="s">
        <v>208</v>
      </c>
      <c r="E574" s="6" t="s">
        <v>209</v>
      </c>
      <c r="F574" s="6" t="s">
        <v>210</v>
      </c>
      <c r="G574" s="6" t="s">
        <v>142</v>
      </c>
      <c r="H574" s="11">
        <v>46176</v>
      </c>
      <c r="I574" s="11"/>
      <c r="J574" s="6" t="s">
        <v>27</v>
      </c>
      <c r="K574" s="6"/>
      <c r="L574" s="6"/>
      <c r="M574" s="6">
        <v>27</v>
      </c>
      <c r="N574">
        <f t="shared" si="48"/>
        <v>0</v>
      </c>
      <c r="O574" t="str">
        <f t="shared" si="49"/>
        <v>06-2026</v>
      </c>
      <c r="P574" t="str">
        <f t="shared" si="50"/>
        <v/>
      </c>
      <c r="Q574">
        <f t="shared" si="51"/>
        <v>0</v>
      </c>
      <c r="R574">
        <f t="shared" si="52"/>
        <v>0</v>
      </c>
      <c r="S574" t="str">
        <f t="shared" si="53"/>
        <v>0-90</v>
      </c>
    </row>
    <row r="575" spans="1:19" x14ac:dyDescent="0.25">
      <c r="A575" s="6" t="s">
        <v>610</v>
      </c>
      <c r="B575" s="6" t="s">
        <v>14</v>
      </c>
      <c r="C575" s="6" t="s">
        <v>15</v>
      </c>
      <c r="D575" s="6" t="s">
        <v>208</v>
      </c>
      <c r="E575" s="6" t="s">
        <v>209</v>
      </c>
      <c r="F575" s="6" t="s">
        <v>210</v>
      </c>
      <c r="G575" s="6" t="s">
        <v>142</v>
      </c>
      <c r="H575" s="11">
        <v>46145</v>
      </c>
      <c r="I575" s="11">
        <v>46171</v>
      </c>
      <c r="J575" s="6" t="s">
        <v>20</v>
      </c>
      <c r="K575" s="6" t="s">
        <v>21</v>
      </c>
      <c r="L575" s="6" t="s">
        <v>50</v>
      </c>
      <c r="M575" s="6">
        <v>26</v>
      </c>
      <c r="N575">
        <f t="shared" si="48"/>
        <v>1</v>
      </c>
      <c r="O575" t="str">
        <f t="shared" si="49"/>
        <v>05-2026</v>
      </c>
      <c r="P575" t="str">
        <f t="shared" si="50"/>
        <v>05-2026</v>
      </c>
      <c r="Q575">
        <f t="shared" si="51"/>
        <v>1</v>
      </c>
      <c r="R575">
        <f t="shared" si="52"/>
        <v>0</v>
      </c>
      <c r="S575" t="str">
        <f t="shared" si="53"/>
        <v>0-90</v>
      </c>
    </row>
    <row r="576" spans="1:19" x14ac:dyDescent="0.25">
      <c r="A576" s="6" t="s">
        <v>611</v>
      </c>
      <c r="B576" s="6" t="s">
        <v>14</v>
      </c>
      <c r="C576" s="6" t="s">
        <v>15</v>
      </c>
      <c r="D576" s="6" t="s">
        <v>208</v>
      </c>
      <c r="E576" s="6" t="s">
        <v>209</v>
      </c>
      <c r="F576" s="6" t="s">
        <v>210</v>
      </c>
      <c r="G576" s="6" t="s">
        <v>142</v>
      </c>
      <c r="H576" s="11">
        <v>46116</v>
      </c>
      <c r="I576" s="11">
        <v>46166</v>
      </c>
      <c r="J576" s="6" t="s">
        <v>20</v>
      </c>
      <c r="K576" s="6" t="s">
        <v>24</v>
      </c>
      <c r="L576" s="6" t="s">
        <v>25</v>
      </c>
      <c r="M576" s="6">
        <v>50</v>
      </c>
      <c r="N576">
        <f t="shared" si="48"/>
        <v>1</v>
      </c>
      <c r="O576" t="str">
        <f t="shared" si="49"/>
        <v>04-2026</v>
      </c>
      <c r="P576" t="str">
        <f t="shared" si="50"/>
        <v>05-2026</v>
      </c>
      <c r="Q576">
        <f t="shared" si="51"/>
        <v>0</v>
      </c>
      <c r="R576">
        <f t="shared" si="52"/>
        <v>1</v>
      </c>
      <c r="S576" t="str">
        <f t="shared" si="53"/>
        <v>0-90</v>
      </c>
    </row>
    <row r="577" spans="1:19" x14ac:dyDescent="0.25">
      <c r="A577" s="6" t="s">
        <v>612</v>
      </c>
      <c r="B577" s="6" t="s">
        <v>14</v>
      </c>
      <c r="C577" s="6" t="s">
        <v>15</v>
      </c>
      <c r="D577" s="6" t="s">
        <v>208</v>
      </c>
      <c r="E577" s="6" t="s">
        <v>209</v>
      </c>
      <c r="F577" s="6" t="s">
        <v>210</v>
      </c>
      <c r="G577" s="6" t="s">
        <v>142</v>
      </c>
      <c r="H577" s="11">
        <v>45661</v>
      </c>
      <c r="I577" s="11"/>
      <c r="J577" s="6" t="s">
        <v>27</v>
      </c>
      <c r="K577" s="6"/>
      <c r="L577" s="6"/>
      <c r="M577" s="6">
        <v>542</v>
      </c>
      <c r="N577">
        <f t="shared" si="48"/>
        <v>0</v>
      </c>
      <c r="O577" t="str">
        <f t="shared" si="49"/>
        <v>01-2025</v>
      </c>
      <c r="P577" t="str">
        <f t="shared" si="50"/>
        <v/>
      </c>
      <c r="Q577">
        <f t="shared" si="51"/>
        <v>0</v>
      </c>
      <c r="R577">
        <f t="shared" si="52"/>
        <v>0</v>
      </c>
      <c r="S577" t="str">
        <f t="shared" si="53"/>
        <v>above 1 year</v>
      </c>
    </row>
    <row r="578" spans="1:19" x14ac:dyDescent="0.25">
      <c r="A578" s="6" t="s">
        <v>613</v>
      </c>
      <c r="B578" s="6" t="s">
        <v>14</v>
      </c>
      <c r="C578" s="6" t="s">
        <v>15</v>
      </c>
      <c r="D578" s="6" t="s">
        <v>208</v>
      </c>
      <c r="E578" s="6" t="s">
        <v>209</v>
      </c>
      <c r="F578" s="6" t="s">
        <v>210</v>
      </c>
      <c r="G578" s="6" t="s">
        <v>142</v>
      </c>
      <c r="H578" s="11">
        <v>46177</v>
      </c>
      <c r="I578" s="11"/>
      <c r="J578" s="6" t="s">
        <v>27</v>
      </c>
      <c r="K578" s="6"/>
      <c r="L578" s="6"/>
      <c r="M578" s="6">
        <v>26</v>
      </c>
      <c r="N578">
        <f t="shared" si="48"/>
        <v>0</v>
      </c>
      <c r="O578" t="str">
        <f t="shared" si="49"/>
        <v>06-2026</v>
      </c>
      <c r="P578" t="str">
        <f t="shared" si="50"/>
        <v/>
      </c>
      <c r="Q578">
        <f t="shared" si="51"/>
        <v>0</v>
      </c>
      <c r="R578">
        <f t="shared" si="52"/>
        <v>0</v>
      </c>
      <c r="S578" t="str">
        <f t="shared" si="53"/>
        <v>0-90</v>
      </c>
    </row>
    <row r="579" spans="1:19" x14ac:dyDescent="0.25">
      <c r="A579" s="6" t="s">
        <v>614</v>
      </c>
      <c r="B579" s="6" t="s">
        <v>14</v>
      </c>
      <c r="C579" s="6" t="s">
        <v>15</v>
      </c>
      <c r="D579" s="6" t="s">
        <v>208</v>
      </c>
      <c r="E579" s="6" t="s">
        <v>209</v>
      </c>
      <c r="F579" s="6" t="s">
        <v>210</v>
      </c>
      <c r="G579" s="6" t="s">
        <v>142</v>
      </c>
      <c r="H579" s="11">
        <v>46146</v>
      </c>
      <c r="I579" s="11"/>
      <c r="J579" s="6" t="s">
        <v>27</v>
      </c>
      <c r="K579" s="6"/>
      <c r="L579" s="6"/>
      <c r="M579" s="6">
        <v>57</v>
      </c>
      <c r="N579">
        <f t="shared" ref="N579:N642" si="54">IF(J579="Relieved",1,0)</f>
        <v>0</v>
      </c>
      <c r="O579" t="str">
        <f t="shared" ref="O579:O642" si="55">TEXT(H579,"mm-yyyy")</f>
        <v>05-2026</v>
      </c>
      <c r="P579" t="str">
        <f t="shared" ref="P579:P642" si="56">IF(I579="","",TEXT(I579,"mm-yyyy"))</f>
        <v/>
      </c>
      <c r="Q579">
        <f t="shared" ref="Q579:Q642" si="57">IF(K579="Voluntary",1,0)</f>
        <v>0</v>
      </c>
      <c r="R579">
        <f t="shared" ref="R579:R642" si="58">IF(K579="Involuntary",1,0)</f>
        <v>0</v>
      </c>
      <c r="S579" t="str">
        <f t="shared" ref="S579:S642" si="59">IF(M579&lt;90,"0-90",IF(M579&lt;180,"90-180",IF(M579&lt;365,"180-365","above 1 year")))</f>
        <v>0-90</v>
      </c>
    </row>
    <row r="580" spans="1:19" x14ac:dyDescent="0.25">
      <c r="A580" s="6" t="s">
        <v>615</v>
      </c>
      <c r="B580" s="6" t="s">
        <v>14</v>
      </c>
      <c r="C580" s="6" t="s">
        <v>15</v>
      </c>
      <c r="D580" s="6" t="s">
        <v>208</v>
      </c>
      <c r="E580" s="6" t="s">
        <v>209</v>
      </c>
      <c r="F580" s="6" t="s">
        <v>210</v>
      </c>
      <c r="G580" s="6" t="s">
        <v>142</v>
      </c>
      <c r="H580" s="11">
        <v>46146</v>
      </c>
      <c r="I580" s="11">
        <v>46157</v>
      </c>
      <c r="J580" s="6" t="s">
        <v>20</v>
      </c>
      <c r="K580" s="6" t="s">
        <v>21</v>
      </c>
      <c r="L580" s="6" t="s">
        <v>22</v>
      </c>
      <c r="M580" s="6">
        <v>11</v>
      </c>
      <c r="N580">
        <f t="shared" si="54"/>
        <v>1</v>
      </c>
      <c r="O580" t="str">
        <f t="shared" si="55"/>
        <v>05-2026</v>
      </c>
      <c r="P580" t="str">
        <f t="shared" si="56"/>
        <v>05-2026</v>
      </c>
      <c r="Q580">
        <f t="shared" si="57"/>
        <v>1</v>
      </c>
      <c r="R580">
        <f t="shared" si="58"/>
        <v>0</v>
      </c>
      <c r="S580" t="str">
        <f t="shared" si="59"/>
        <v>0-90</v>
      </c>
    </row>
    <row r="581" spans="1:19" x14ac:dyDescent="0.25">
      <c r="A581" s="6" t="s">
        <v>616</v>
      </c>
      <c r="B581" s="6" t="s">
        <v>14</v>
      </c>
      <c r="C581" s="6" t="s">
        <v>15</v>
      </c>
      <c r="D581" s="6" t="s">
        <v>208</v>
      </c>
      <c r="E581" s="6" t="s">
        <v>209</v>
      </c>
      <c r="F581" s="6" t="s">
        <v>210</v>
      </c>
      <c r="G581" s="6" t="s">
        <v>142</v>
      </c>
      <c r="H581" s="11">
        <v>45874</v>
      </c>
      <c r="I581" s="11">
        <v>46178</v>
      </c>
      <c r="J581" s="6" t="s">
        <v>20</v>
      </c>
      <c r="K581" s="6" t="s">
        <v>24</v>
      </c>
      <c r="L581" s="6" t="s">
        <v>55</v>
      </c>
      <c r="M581" s="6">
        <v>304</v>
      </c>
      <c r="N581">
        <f t="shared" si="54"/>
        <v>1</v>
      </c>
      <c r="O581" t="str">
        <f t="shared" si="55"/>
        <v>08-2025</v>
      </c>
      <c r="P581" t="str">
        <f t="shared" si="56"/>
        <v>06-2026</v>
      </c>
      <c r="Q581">
        <f t="shared" si="57"/>
        <v>0</v>
      </c>
      <c r="R581">
        <f t="shared" si="58"/>
        <v>1</v>
      </c>
      <c r="S581" t="str">
        <f t="shared" si="59"/>
        <v>180-365</v>
      </c>
    </row>
    <row r="582" spans="1:19" x14ac:dyDescent="0.25">
      <c r="A582" s="6" t="s">
        <v>617</v>
      </c>
      <c r="B582" s="6" t="s">
        <v>14</v>
      </c>
      <c r="C582" s="6" t="s">
        <v>15</v>
      </c>
      <c r="D582" s="6" t="s">
        <v>208</v>
      </c>
      <c r="E582" s="6" t="s">
        <v>209</v>
      </c>
      <c r="F582" s="6" t="s">
        <v>210</v>
      </c>
      <c r="G582" s="6" t="s">
        <v>142</v>
      </c>
      <c r="H582" s="11">
        <v>45874</v>
      </c>
      <c r="I582" s="11">
        <v>46151</v>
      </c>
      <c r="J582" s="6" t="s">
        <v>20</v>
      </c>
      <c r="K582" s="6" t="s">
        <v>24</v>
      </c>
      <c r="L582" s="6" t="s">
        <v>55</v>
      </c>
      <c r="M582" s="6">
        <v>277</v>
      </c>
      <c r="N582">
        <f t="shared" si="54"/>
        <v>1</v>
      </c>
      <c r="O582" t="str">
        <f t="shared" si="55"/>
        <v>08-2025</v>
      </c>
      <c r="P582" t="str">
        <f t="shared" si="56"/>
        <v>05-2026</v>
      </c>
      <c r="Q582">
        <f t="shared" si="57"/>
        <v>0</v>
      </c>
      <c r="R582">
        <f t="shared" si="58"/>
        <v>1</v>
      </c>
      <c r="S582" t="str">
        <f t="shared" si="59"/>
        <v>180-365</v>
      </c>
    </row>
    <row r="583" spans="1:19" x14ac:dyDescent="0.25">
      <c r="A583" s="6" t="s">
        <v>618</v>
      </c>
      <c r="B583" s="6" t="s">
        <v>14</v>
      </c>
      <c r="C583" s="6" t="s">
        <v>15</v>
      </c>
      <c r="D583" s="6" t="s">
        <v>208</v>
      </c>
      <c r="E583" s="6" t="s">
        <v>209</v>
      </c>
      <c r="F583" s="6" t="s">
        <v>210</v>
      </c>
      <c r="G583" s="6" t="s">
        <v>142</v>
      </c>
      <c r="H583" s="11">
        <v>45843</v>
      </c>
      <c r="I583" s="11">
        <v>46199</v>
      </c>
      <c r="J583" s="6" t="s">
        <v>20</v>
      </c>
      <c r="K583" s="6" t="s">
        <v>24</v>
      </c>
      <c r="L583" s="6" t="s">
        <v>25</v>
      </c>
      <c r="M583" s="6">
        <v>356</v>
      </c>
      <c r="N583">
        <f t="shared" si="54"/>
        <v>1</v>
      </c>
      <c r="O583" t="str">
        <f t="shared" si="55"/>
        <v>07-2025</v>
      </c>
      <c r="P583" t="str">
        <f t="shared" si="56"/>
        <v>06-2026</v>
      </c>
      <c r="Q583">
        <f t="shared" si="57"/>
        <v>0</v>
      </c>
      <c r="R583">
        <f t="shared" si="58"/>
        <v>1</v>
      </c>
      <c r="S583" t="str">
        <f t="shared" si="59"/>
        <v>180-365</v>
      </c>
    </row>
    <row r="584" spans="1:19" x14ac:dyDescent="0.25">
      <c r="A584" s="6" t="s">
        <v>619</v>
      </c>
      <c r="B584" s="6" t="s">
        <v>14</v>
      </c>
      <c r="C584" s="6" t="s">
        <v>15</v>
      </c>
      <c r="D584" s="6" t="s">
        <v>208</v>
      </c>
      <c r="E584" s="6" t="s">
        <v>209</v>
      </c>
      <c r="F584" s="6" t="s">
        <v>210</v>
      </c>
      <c r="G584" s="6" t="s">
        <v>142</v>
      </c>
      <c r="H584" s="11">
        <v>46178</v>
      </c>
      <c r="I584" s="11">
        <v>46180</v>
      </c>
      <c r="J584" s="6" t="s">
        <v>20</v>
      </c>
      <c r="K584" s="6" t="s">
        <v>21</v>
      </c>
      <c r="L584" s="6" t="s">
        <v>61</v>
      </c>
      <c r="M584" s="6">
        <v>2</v>
      </c>
      <c r="N584">
        <f t="shared" si="54"/>
        <v>1</v>
      </c>
      <c r="O584" t="str">
        <f t="shared" si="55"/>
        <v>06-2026</v>
      </c>
      <c r="P584" t="str">
        <f t="shared" si="56"/>
        <v>06-2026</v>
      </c>
      <c r="Q584">
        <f t="shared" si="57"/>
        <v>1</v>
      </c>
      <c r="R584">
        <f t="shared" si="58"/>
        <v>0</v>
      </c>
      <c r="S584" t="str">
        <f t="shared" si="59"/>
        <v>0-90</v>
      </c>
    </row>
    <row r="585" spans="1:19" x14ac:dyDescent="0.25">
      <c r="A585" s="6" t="s">
        <v>620</v>
      </c>
      <c r="B585" s="6" t="s">
        <v>14</v>
      </c>
      <c r="C585" s="6" t="s">
        <v>15</v>
      </c>
      <c r="D585" s="6" t="s">
        <v>208</v>
      </c>
      <c r="E585" s="6" t="s">
        <v>209</v>
      </c>
      <c r="F585" s="6" t="s">
        <v>210</v>
      </c>
      <c r="G585" s="6" t="s">
        <v>142</v>
      </c>
      <c r="H585" s="11">
        <v>46178</v>
      </c>
      <c r="I585" s="11"/>
      <c r="J585" s="6" t="s">
        <v>27</v>
      </c>
      <c r="K585" s="6"/>
      <c r="L585" s="6"/>
      <c r="M585" s="6">
        <v>25</v>
      </c>
      <c r="N585">
        <f t="shared" si="54"/>
        <v>0</v>
      </c>
      <c r="O585" t="str">
        <f t="shared" si="55"/>
        <v>06-2026</v>
      </c>
      <c r="P585" t="str">
        <f t="shared" si="56"/>
        <v/>
      </c>
      <c r="Q585">
        <f t="shared" si="57"/>
        <v>0</v>
      </c>
      <c r="R585">
        <f t="shared" si="58"/>
        <v>0</v>
      </c>
      <c r="S585" t="str">
        <f t="shared" si="59"/>
        <v>0-90</v>
      </c>
    </row>
    <row r="586" spans="1:19" x14ac:dyDescent="0.25">
      <c r="A586" s="6" t="s">
        <v>621</v>
      </c>
      <c r="B586" s="6" t="s">
        <v>14</v>
      </c>
      <c r="C586" s="6" t="s">
        <v>15</v>
      </c>
      <c r="D586" s="6" t="s">
        <v>208</v>
      </c>
      <c r="E586" s="6" t="s">
        <v>209</v>
      </c>
      <c r="F586" s="6" t="s">
        <v>210</v>
      </c>
      <c r="G586" s="6" t="s">
        <v>142</v>
      </c>
      <c r="H586" s="11">
        <v>46178</v>
      </c>
      <c r="I586" s="11">
        <v>46196</v>
      </c>
      <c r="J586" s="6" t="s">
        <v>20</v>
      </c>
      <c r="K586" s="6" t="s">
        <v>21</v>
      </c>
      <c r="L586" s="6" t="s">
        <v>22</v>
      </c>
      <c r="M586" s="6">
        <v>18</v>
      </c>
      <c r="N586">
        <f t="shared" si="54"/>
        <v>1</v>
      </c>
      <c r="O586" t="str">
        <f t="shared" si="55"/>
        <v>06-2026</v>
      </c>
      <c r="P586" t="str">
        <f t="shared" si="56"/>
        <v>06-2026</v>
      </c>
      <c r="Q586">
        <f t="shared" si="57"/>
        <v>1</v>
      </c>
      <c r="R586">
        <f t="shared" si="58"/>
        <v>0</v>
      </c>
      <c r="S586" t="str">
        <f t="shared" si="59"/>
        <v>0-90</v>
      </c>
    </row>
    <row r="587" spans="1:19" x14ac:dyDescent="0.25">
      <c r="A587" s="6" t="s">
        <v>622</v>
      </c>
      <c r="B587" s="6" t="s">
        <v>14</v>
      </c>
      <c r="C587" s="6" t="s">
        <v>15</v>
      </c>
      <c r="D587" s="6" t="s">
        <v>208</v>
      </c>
      <c r="E587" s="6" t="s">
        <v>209</v>
      </c>
      <c r="F587" s="6" t="s">
        <v>210</v>
      </c>
      <c r="G587" s="6" t="s">
        <v>142</v>
      </c>
      <c r="H587" s="11">
        <v>45721</v>
      </c>
      <c r="I587" s="11">
        <v>46184</v>
      </c>
      <c r="J587" s="6" t="s">
        <v>20</v>
      </c>
      <c r="K587" s="6" t="s">
        <v>21</v>
      </c>
      <c r="L587" s="6" t="s">
        <v>61</v>
      </c>
      <c r="M587" s="6">
        <v>463</v>
      </c>
      <c r="N587">
        <f t="shared" si="54"/>
        <v>1</v>
      </c>
      <c r="O587" t="str">
        <f t="shared" si="55"/>
        <v>03-2025</v>
      </c>
      <c r="P587" t="str">
        <f t="shared" si="56"/>
        <v>06-2026</v>
      </c>
      <c r="Q587">
        <f t="shared" si="57"/>
        <v>1</v>
      </c>
      <c r="R587">
        <f t="shared" si="58"/>
        <v>0</v>
      </c>
      <c r="S587" t="str">
        <f t="shared" si="59"/>
        <v>above 1 year</v>
      </c>
    </row>
    <row r="588" spans="1:19" x14ac:dyDescent="0.25">
      <c r="A588" s="6" t="s">
        <v>623</v>
      </c>
      <c r="B588" s="6" t="s">
        <v>14</v>
      </c>
      <c r="C588" s="6" t="s">
        <v>15</v>
      </c>
      <c r="D588" s="6" t="s">
        <v>208</v>
      </c>
      <c r="E588" s="6" t="s">
        <v>209</v>
      </c>
      <c r="F588" s="6" t="s">
        <v>210</v>
      </c>
      <c r="G588" s="6" t="s">
        <v>142</v>
      </c>
      <c r="H588" s="11">
        <v>46147</v>
      </c>
      <c r="I588" s="11">
        <v>46162</v>
      </c>
      <c r="J588" s="6" t="s">
        <v>20</v>
      </c>
      <c r="K588" s="6" t="s">
        <v>24</v>
      </c>
      <c r="L588" s="6" t="s">
        <v>55</v>
      </c>
      <c r="M588" s="6">
        <v>15</v>
      </c>
      <c r="N588">
        <f t="shared" si="54"/>
        <v>1</v>
      </c>
      <c r="O588" t="str">
        <f t="shared" si="55"/>
        <v>05-2026</v>
      </c>
      <c r="P588" t="str">
        <f t="shared" si="56"/>
        <v>05-2026</v>
      </c>
      <c r="Q588">
        <f t="shared" si="57"/>
        <v>0</v>
      </c>
      <c r="R588">
        <f t="shared" si="58"/>
        <v>1</v>
      </c>
      <c r="S588" t="str">
        <f t="shared" si="59"/>
        <v>0-90</v>
      </c>
    </row>
    <row r="589" spans="1:19" x14ac:dyDescent="0.25">
      <c r="A589" s="6" t="s">
        <v>624</v>
      </c>
      <c r="B589" s="6" t="s">
        <v>14</v>
      </c>
      <c r="C589" s="6" t="s">
        <v>15</v>
      </c>
      <c r="D589" s="6" t="s">
        <v>208</v>
      </c>
      <c r="E589" s="6" t="s">
        <v>209</v>
      </c>
      <c r="F589" s="6" t="s">
        <v>210</v>
      </c>
      <c r="G589" s="6" t="s">
        <v>142</v>
      </c>
      <c r="H589" s="11">
        <v>45966</v>
      </c>
      <c r="I589" s="11">
        <v>46123</v>
      </c>
      <c r="J589" s="6" t="s">
        <v>20</v>
      </c>
      <c r="K589" s="6" t="s">
        <v>24</v>
      </c>
      <c r="L589" s="6" t="s">
        <v>55</v>
      </c>
      <c r="M589" s="6">
        <v>157</v>
      </c>
      <c r="N589">
        <f t="shared" si="54"/>
        <v>1</v>
      </c>
      <c r="O589" t="str">
        <f t="shared" si="55"/>
        <v>11-2025</v>
      </c>
      <c r="P589" t="str">
        <f t="shared" si="56"/>
        <v>04-2026</v>
      </c>
      <c r="Q589">
        <f t="shared" si="57"/>
        <v>0</v>
      </c>
      <c r="R589">
        <f t="shared" si="58"/>
        <v>1</v>
      </c>
      <c r="S589" t="str">
        <f t="shared" si="59"/>
        <v>90-180</v>
      </c>
    </row>
    <row r="590" spans="1:19" x14ac:dyDescent="0.25">
      <c r="A590" s="6" t="s">
        <v>625</v>
      </c>
      <c r="B590" s="6" t="s">
        <v>14</v>
      </c>
      <c r="C590" s="6" t="s">
        <v>15</v>
      </c>
      <c r="D590" s="6" t="s">
        <v>208</v>
      </c>
      <c r="E590" s="6" t="s">
        <v>209</v>
      </c>
      <c r="F590" s="6" t="s">
        <v>210</v>
      </c>
      <c r="G590" s="6" t="s">
        <v>142</v>
      </c>
      <c r="H590" s="11">
        <v>46118</v>
      </c>
      <c r="I590" s="11">
        <v>46142</v>
      </c>
      <c r="J590" s="6" t="s">
        <v>20</v>
      </c>
      <c r="K590" s="6" t="s">
        <v>21</v>
      </c>
      <c r="L590" s="6" t="s">
        <v>33</v>
      </c>
      <c r="M590" s="6">
        <v>24</v>
      </c>
      <c r="N590">
        <f t="shared" si="54"/>
        <v>1</v>
      </c>
      <c r="O590" t="str">
        <f t="shared" si="55"/>
        <v>04-2026</v>
      </c>
      <c r="P590" t="str">
        <f t="shared" si="56"/>
        <v>04-2026</v>
      </c>
      <c r="Q590">
        <f t="shared" si="57"/>
        <v>1</v>
      </c>
      <c r="R590">
        <f t="shared" si="58"/>
        <v>0</v>
      </c>
      <c r="S590" t="str">
        <f t="shared" si="59"/>
        <v>0-90</v>
      </c>
    </row>
    <row r="591" spans="1:19" x14ac:dyDescent="0.25">
      <c r="A591" s="6" t="s">
        <v>626</v>
      </c>
      <c r="B591" s="6" t="s">
        <v>14</v>
      </c>
      <c r="C591" s="6" t="s">
        <v>15</v>
      </c>
      <c r="D591" s="6" t="s">
        <v>208</v>
      </c>
      <c r="E591" s="6" t="s">
        <v>209</v>
      </c>
      <c r="F591" s="6" t="s">
        <v>210</v>
      </c>
      <c r="G591" s="6" t="s">
        <v>142</v>
      </c>
      <c r="H591" s="11">
        <v>46179</v>
      </c>
      <c r="I591" s="11">
        <v>46183</v>
      </c>
      <c r="J591" s="6" t="s">
        <v>20</v>
      </c>
      <c r="K591" s="6" t="s">
        <v>21</v>
      </c>
      <c r="L591" s="6" t="s">
        <v>22</v>
      </c>
      <c r="M591" s="6">
        <v>4</v>
      </c>
      <c r="N591">
        <f t="shared" si="54"/>
        <v>1</v>
      </c>
      <c r="O591" t="str">
        <f t="shared" si="55"/>
        <v>06-2026</v>
      </c>
      <c r="P591" t="str">
        <f t="shared" si="56"/>
        <v>06-2026</v>
      </c>
      <c r="Q591">
        <f t="shared" si="57"/>
        <v>1</v>
      </c>
      <c r="R591">
        <f t="shared" si="58"/>
        <v>0</v>
      </c>
      <c r="S591" t="str">
        <f t="shared" si="59"/>
        <v>0-90</v>
      </c>
    </row>
    <row r="592" spans="1:19" x14ac:dyDescent="0.25">
      <c r="A592" s="6" t="s">
        <v>627</v>
      </c>
      <c r="B592" s="6" t="s">
        <v>14</v>
      </c>
      <c r="C592" s="6" t="s">
        <v>15</v>
      </c>
      <c r="D592" s="6" t="s">
        <v>208</v>
      </c>
      <c r="E592" s="6" t="s">
        <v>209</v>
      </c>
      <c r="F592" s="6" t="s">
        <v>210</v>
      </c>
      <c r="G592" s="6" t="s">
        <v>142</v>
      </c>
      <c r="H592" s="11">
        <v>45783</v>
      </c>
      <c r="I592" s="11"/>
      <c r="J592" s="6" t="s">
        <v>27</v>
      </c>
      <c r="K592" s="6"/>
      <c r="L592" s="6"/>
      <c r="M592" s="6">
        <v>420</v>
      </c>
      <c r="N592">
        <f t="shared" si="54"/>
        <v>0</v>
      </c>
      <c r="O592" t="str">
        <f t="shared" si="55"/>
        <v>05-2025</v>
      </c>
      <c r="P592" t="str">
        <f t="shared" si="56"/>
        <v/>
      </c>
      <c r="Q592">
        <f t="shared" si="57"/>
        <v>0</v>
      </c>
      <c r="R592">
        <f t="shared" si="58"/>
        <v>0</v>
      </c>
      <c r="S592" t="str">
        <f t="shared" si="59"/>
        <v>above 1 year</v>
      </c>
    </row>
    <row r="593" spans="1:19" x14ac:dyDescent="0.25">
      <c r="A593" s="6" t="s">
        <v>628</v>
      </c>
      <c r="B593" s="6" t="s">
        <v>14</v>
      </c>
      <c r="C593" s="6" t="s">
        <v>15</v>
      </c>
      <c r="D593" s="6" t="s">
        <v>208</v>
      </c>
      <c r="E593" s="6" t="s">
        <v>209</v>
      </c>
      <c r="F593" s="6" t="s">
        <v>210</v>
      </c>
      <c r="G593" s="6" t="s">
        <v>142</v>
      </c>
      <c r="H593" s="11">
        <v>45967</v>
      </c>
      <c r="I593" s="11">
        <v>46195</v>
      </c>
      <c r="J593" s="6" t="s">
        <v>20</v>
      </c>
      <c r="K593" s="6" t="s">
        <v>21</v>
      </c>
      <c r="L593" s="6" t="s">
        <v>37</v>
      </c>
      <c r="M593" s="6">
        <v>228</v>
      </c>
      <c r="N593">
        <f t="shared" si="54"/>
        <v>1</v>
      </c>
      <c r="O593" t="str">
        <f t="shared" si="55"/>
        <v>11-2025</v>
      </c>
      <c r="P593" t="str">
        <f t="shared" si="56"/>
        <v>06-2026</v>
      </c>
      <c r="Q593">
        <f t="shared" si="57"/>
        <v>1</v>
      </c>
      <c r="R593">
        <f t="shared" si="58"/>
        <v>0</v>
      </c>
      <c r="S593" t="str">
        <f t="shared" si="59"/>
        <v>180-365</v>
      </c>
    </row>
    <row r="594" spans="1:19" x14ac:dyDescent="0.25">
      <c r="A594" s="6" t="s">
        <v>629</v>
      </c>
      <c r="B594" s="6" t="s">
        <v>14</v>
      </c>
      <c r="C594" s="6" t="s">
        <v>15</v>
      </c>
      <c r="D594" s="6" t="s">
        <v>208</v>
      </c>
      <c r="E594" s="6" t="s">
        <v>209</v>
      </c>
      <c r="F594" s="6" t="s">
        <v>210</v>
      </c>
      <c r="G594" s="6" t="s">
        <v>142</v>
      </c>
      <c r="H594" s="11">
        <v>46119</v>
      </c>
      <c r="I594" s="11"/>
      <c r="J594" s="6" t="s">
        <v>27</v>
      </c>
      <c r="K594" s="6"/>
      <c r="L594" s="6"/>
      <c r="M594" s="6">
        <v>84</v>
      </c>
      <c r="N594">
        <f t="shared" si="54"/>
        <v>0</v>
      </c>
      <c r="O594" t="str">
        <f t="shared" si="55"/>
        <v>04-2026</v>
      </c>
      <c r="P594" t="str">
        <f t="shared" si="56"/>
        <v/>
      </c>
      <c r="Q594">
        <f t="shared" si="57"/>
        <v>0</v>
      </c>
      <c r="R594">
        <f t="shared" si="58"/>
        <v>0</v>
      </c>
      <c r="S594" t="str">
        <f t="shared" si="59"/>
        <v>0-90</v>
      </c>
    </row>
    <row r="595" spans="1:19" x14ac:dyDescent="0.25">
      <c r="A595" s="6" t="s">
        <v>630</v>
      </c>
      <c r="B595" s="6" t="s">
        <v>14</v>
      </c>
      <c r="C595" s="6" t="s">
        <v>15</v>
      </c>
      <c r="D595" s="6" t="s">
        <v>208</v>
      </c>
      <c r="E595" s="6" t="s">
        <v>209</v>
      </c>
      <c r="F595" s="6" t="s">
        <v>210</v>
      </c>
      <c r="G595" s="6" t="s">
        <v>142</v>
      </c>
      <c r="H595" s="11">
        <v>46119</v>
      </c>
      <c r="I595" s="11">
        <v>46139</v>
      </c>
      <c r="J595" s="6" t="s">
        <v>20</v>
      </c>
      <c r="K595" s="6" t="s">
        <v>21</v>
      </c>
      <c r="L595" s="6" t="s">
        <v>50</v>
      </c>
      <c r="M595" s="6">
        <v>20</v>
      </c>
      <c r="N595">
        <f t="shared" si="54"/>
        <v>1</v>
      </c>
      <c r="O595" t="str">
        <f t="shared" si="55"/>
        <v>04-2026</v>
      </c>
      <c r="P595" t="str">
        <f t="shared" si="56"/>
        <v>04-2026</v>
      </c>
      <c r="Q595">
        <f t="shared" si="57"/>
        <v>1</v>
      </c>
      <c r="R595">
        <f t="shared" si="58"/>
        <v>0</v>
      </c>
      <c r="S595" t="str">
        <f t="shared" si="59"/>
        <v>0-90</v>
      </c>
    </row>
    <row r="596" spans="1:19" x14ac:dyDescent="0.25">
      <c r="A596" s="6" t="s">
        <v>631</v>
      </c>
      <c r="B596" s="6" t="s">
        <v>14</v>
      </c>
      <c r="C596" s="6" t="s">
        <v>15</v>
      </c>
      <c r="D596" s="6" t="s">
        <v>208</v>
      </c>
      <c r="E596" s="6" t="s">
        <v>209</v>
      </c>
      <c r="F596" s="6" t="s">
        <v>210</v>
      </c>
      <c r="G596" s="6" t="s">
        <v>142</v>
      </c>
      <c r="H596" s="11">
        <v>46149</v>
      </c>
      <c r="I596" s="11">
        <v>46169</v>
      </c>
      <c r="J596" s="6" t="s">
        <v>20</v>
      </c>
      <c r="K596" s="6" t="s">
        <v>24</v>
      </c>
      <c r="L596" s="6" t="s">
        <v>44</v>
      </c>
      <c r="M596" s="6">
        <v>20</v>
      </c>
      <c r="N596">
        <f t="shared" si="54"/>
        <v>1</v>
      </c>
      <c r="O596" t="str">
        <f t="shared" si="55"/>
        <v>05-2026</v>
      </c>
      <c r="P596" t="str">
        <f t="shared" si="56"/>
        <v>05-2026</v>
      </c>
      <c r="Q596">
        <f t="shared" si="57"/>
        <v>0</v>
      </c>
      <c r="R596">
        <f t="shared" si="58"/>
        <v>1</v>
      </c>
      <c r="S596" t="str">
        <f t="shared" si="59"/>
        <v>0-90</v>
      </c>
    </row>
    <row r="597" spans="1:19" x14ac:dyDescent="0.25">
      <c r="A597" s="6" t="s">
        <v>632</v>
      </c>
      <c r="B597" s="6" t="s">
        <v>14</v>
      </c>
      <c r="C597" s="6" t="s">
        <v>15</v>
      </c>
      <c r="D597" s="6" t="s">
        <v>208</v>
      </c>
      <c r="E597" s="6" t="s">
        <v>209</v>
      </c>
      <c r="F597" s="6" t="s">
        <v>210</v>
      </c>
      <c r="G597" s="6" t="s">
        <v>142</v>
      </c>
      <c r="H597" s="11">
        <v>46149</v>
      </c>
      <c r="I597" s="11">
        <v>46149</v>
      </c>
      <c r="J597" s="6" t="s">
        <v>20</v>
      </c>
      <c r="K597" s="6" t="s">
        <v>21</v>
      </c>
      <c r="L597" s="6" t="s">
        <v>50</v>
      </c>
      <c r="M597" s="6">
        <v>0</v>
      </c>
      <c r="N597">
        <f t="shared" si="54"/>
        <v>1</v>
      </c>
      <c r="O597" t="str">
        <f t="shared" si="55"/>
        <v>05-2026</v>
      </c>
      <c r="P597" t="str">
        <f t="shared" si="56"/>
        <v>05-2026</v>
      </c>
      <c r="Q597">
        <f t="shared" si="57"/>
        <v>1</v>
      </c>
      <c r="R597">
        <f t="shared" si="58"/>
        <v>0</v>
      </c>
      <c r="S597" t="str">
        <f t="shared" si="59"/>
        <v>0-90</v>
      </c>
    </row>
    <row r="598" spans="1:19" x14ac:dyDescent="0.25">
      <c r="A598" s="6" t="s">
        <v>633</v>
      </c>
      <c r="B598" s="6" t="s">
        <v>14</v>
      </c>
      <c r="C598" s="6" t="s">
        <v>15</v>
      </c>
      <c r="D598" s="6" t="s">
        <v>208</v>
      </c>
      <c r="E598" s="6" t="s">
        <v>209</v>
      </c>
      <c r="F598" s="6" t="s">
        <v>210</v>
      </c>
      <c r="G598" s="6" t="s">
        <v>142</v>
      </c>
      <c r="H598" s="11">
        <v>45937</v>
      </c>
      <c r="I598" s="11">
        <v>46131</v>
      </c>
      <c r="J598" s="6" t="s">
        <v>20</v>
      </c>
      <c r="K598" s="6" t="s">
        <v>24</v>
      </c>
      <c r="L598" s="6" t="s">
        <v>25</v>
      </c>
      <c r="M598" s="6">
        <v>194</v>
      </c>
      <c r="N598">
        <f t="shared" si="54"/>
        <v>1</v>
      </c>
      <c r="O598" t="str">
        <f t="shared" si="55"/>
        <v>10-2025</v>
      </c>
      <c r="P598" t="str">
        <f t="shared" si="56"/>
        <v>04-2026</v>
      </c>
      <c r="Q598">
        <f t="shared" si="57"/>
        <v>0</v>
      </c>
      <c r="R598">
        <f t="shared" si="58"/>
        <v>1</v>
      </c>
      <c r="S598" t="str">
        <f t="shared" si="59"/>
        <v>180-365</v>
      </c>
    </row>
    <row r="599" spans="1:19" x14ac:dyDescent="0.25">
      <c r="A599" s="6" t="s">
        <v>634</v>
      </c>
      <c r="B599" s="6" t="s">
        <v>14</v>
      </c>
      <c r="C599" s="6" t="s">
        <v>15</v>
      </c>
      <c r="D599" s="6" t="s">
        <v>208</v>
      </c>
      <c r="E599" s="6" t="s">
        <v>209</v>
      </c>
      <c r="F599" s="6" t="s">
        <v>210</v>
      </c>
      <c r="G599" s="6" t="s">
        <v>142</v>
      </c>
      <c r="H599" s="11">
        <v>45937</v>
      </c>
      <c r="I599" s="11"/>
      <c r="J599" s="6" t="s">
        <v>27</v>
      </c>
      <c r="K599" s="6"/>
      <c r="L599" s="6"/>
      <c r="M599" s="6">
        <v>266</v>
      </c>
      <c r="N599">
        <f t="shared" si="54"/>
        <v>0</v>
      </c>
      <c r="O599" t="str">
        <f t="shared" si="55"/>
        <v>10-2025</v>
      </c>
      <c r="P599" t="str">
        <f t="shared" si="56"/>
        <v/>
      </c>
      <c r="Q599">
        <f t="shared" si="57"/>
        <v>0</v>
      </c>
      <c r="R599">
        <f t="shared" si="58"/>
        <v>0</v>
      </c>
      <c r="S599" t="str">
        <f t="shared" si="59"/>
        <v>180-365</v>
      </c>
    </row>
    <row r="600" spans="1:19" x14ac:dyDescent="0.25">
      <c r="A600" s="6" t="s">
        <v>635</v>
      </c>
      <c r="B600" s="6" t="s">
        <v>14</v>
      </c>
      <c r="C600" s="6" t="s">
        <v>15</v>
      </c>
      <c r="D600" s="6" t="s">
        <v>208</v>
      </c>
      <c r="E600" s="6" t="s">
        <v>209</v>
      </c>
      <c r="F600" s="6" t="s">
        <v>210</v>
      </c>
      <c r="G600" s="6" t="s">
        <v>142</v>
      </c>
      <c r="H600" s="11">
        <v>46120</v>
      </c>
      <c r="I600" s="11">
        <v>46141</v>
      </c>
      <c r="J600" s="6" t="s">
        <v>20</v>
      </c>
      <c r="K600" s="6" t="s">
        <v>21</v>
      </c>
      <c r="L600" s="6" t="s">
        <v>33</v>
      </c>
      <c r="M600" s="6">
        <v>21</v>
      </c>
      <c r="N600">
        <f t="shared" si="54"/>
        <v>1</v>
      </c>
      <c r="O600" t="str">
        <f t="shared" si="55"/>
        <v>04-2026</v>
      </c>
      <c r="P600" t="str">
        <f t="shared" si="56"/>
        <v>04-2026</v>
      </c>
      <c r="Q600">
        <f t="shared" si="57"/>
        <v>1</v>
      </c>
      <c r="R600">
        <f t="shared" si="58"/>
        <v>0</v>
      </c>
      <c r="S600" t="str">
        <f t="shared" si="59"/>
        <v>0-90</v>
      </c>
    </row>
    <row r="601" spans="1:19" x14ac:dyDescent="0.25">
      <c r="A601" s="6" t="s">
        <v>636</v>
      </c>
      <c r="B601" s="6" t="s">
        <v>14</v>
      </c>
      <c r="C601" s="6" t="s">
        <v>15</v>
      </c>
      <c r="D601" s="6" t="s">
        <v>208</v>
      </c>
      <c r="E601" s="6" t="s">
        <v>209</v>
      </c>
      <c r="F601" s="6" t="s">
        <v>210</v>
      </c>
      <c r="G601" s="6" t="s">
        <v>142</v>
      </c>
      <c r="H601" s="11">
        <v>46120</v>
      </c>
      <c r="I601" s="11"/>
      <c r="J601" s="6" t="s">
        <v>27</v>
      </c>
      <c r="K601" s="6"/>
      <c r="L601" s="6"/>
      <c r="M601" s="6">
        <v>83</v>
      </c>
      <c r="N601">
        <f t="shared" si="54"/>
        <v>0</v>
      </c>
      <c r="O601" t="str">
        <f t="shared" si="55"/>
        <v>04-2026</v>
      </c>
      <c r="P601" t="str">
        <f t="shared" si="56"/>
        <v/>
      </c>
      <c r="Q601">
        <f t="shared" si="57"/>
        <v>0</v>
      </c>
      <c r="R601">
        <f t="shared" si="58"/>
        <v>0</v>
      </c>
      <c r="S601" t="str">
        <f t="shared" si="59"/>
        <v>0-90</v>
      </c>
    </row>
    <row r="602" spans="1:19" x14ac:dyDescent="0.25">
      <c r="A602" s="6" t="s">
        <v>637</v>
      </c>
      <c r="B602" s="6" t="s">
        <v>14</v>
      </c>
      <c r="C602" s="6" t="s">
        <v>15</v>
      </c>
      <c r="D602" s="6" t="s">
        <v>208</v>
      </c>
      <c r="E602" s="6" t="s">
        <v>209</v>
      </c>
      <c r="F602" s="6" t="s">
        <v>210</v>
      </c>
      <c r="G602" s="6" t="s">
        <v>142</v>
      </c>
      <c r="H602" s="11">
        <v>46150</v>
      </c>
      <c r="I602" s="11">
        <v>46154</v>
      </c>
      <c r="J602" s="6" t="s">
        <v>20</v>
      </c>
      <c r="K602" s="6" t="s">
        <v>21</v>
      </c>
      <c r="L602" s="6" t="s">
        <v>22</v>
      </c>
      <c r="M602" s="6">
        <v>4</v>
      </c>
      <c r="N602">
        <f t="shared" si="54"/>
        <v>1</v>
      </c>
      <c r="O602" t="str">
        <f t="shared" si="55"/>
        <v>05-2026</v>
      </c>
      <c r="P602" t="str">
        <f t="shared" si="56"/>
        <v>05-2026</v>
      </c>
      <c r="Q602">
        <f t="shared" si="57"/>
        <v>1</v>
      </c>
      <c r="R602">
        <f t="shared" si="58"/>
        <v>0</v>
      </c>
      <c r="S602" t="str">
        <f t="shared" si="59"/>
        <v>0-90</v>
      </c>
    </row>
    <row r="603" spans="1:19" x14ac:dyDescent="0.25">
      <c r="A603" s="6" t="s">
        <v>638</v>
      </c>
      <c r="B603" s="6" t="s">
        <v>14</v>
      </c>
      <c r="C603" s="6" t="s">
        <v>15</v>
      </c>
      <c r="D603" s="6" t="s">
        <v>208</v>
      </c>
      <c r="E603" s="6" t="s">
        <v>209</v>
      </c>
      <c r="F603" s="6" t="s">
        <v>210</v>
      </c>
      <c r="G603" s="6" t="s">
        <v>142</v>
      </c>
      <c r="H603" s="11">
        <v>46150</v>
      </c>
      <c r="I603" s="11"/>
      <c r="J603" s="6" t="s">
        <v>27</v>
      </c>
      <c r="K603" s="6"/>
      <c r="L603" s="6"/>
      <c r="M603" s="6">
        <v>53</v>
      </c>
      <c r="N603">
        <f t="shared" si="54"/>
        <v>0</v>
      </c>
      <c r="O603" t="str">
        <f t="shared" si="55"/>
        <v>05-2026</v>
      </c>
      <c r="P603" t="str">
        <f t="shared" si="56"/>
        <v/>
      </c>
      <c r="Q603">
        <f t="shared" si="57"/>
        <v>0</v>
      </c>
      <c r="R603">
        <f t="shared" si="58"/>
        <v>0</v>
      </c>
      <c r="S603" t="str">
        <f t="shared" si="59"/>
        <v>0-90</v>
      </c>
    </row>
    <row r="604" spans="1:19" x14ac:dyDescent="0.25">
      <c r="A604" s="6" t="s">
        <v>639</v>
      </c>
      <c r="B604" s="6" t="s">
        <v>14</v>
      </c>
      <c r="C604" s="6" t="s">
        <v>15</v>
      </c>
      <c r="D604" s="6" t="s">
        <v>208</v>
      </c>
      <c r="E604" s="6" t="s">
        <v>209</v>
      </c>
      <c r="F604" s="6" t="s">
        <v>210</v>
      </c>
      <c r="G604" s="6" t="s">
        <v>142</v>
      </c>
      <c r="H604" s="11">
        <v>46121</v>
      </c>
      <c r="I604" s="11">
        <v>46175</v>
      </c>
      <c r="J604" s="6" t="s">
        <v>20</v>
      </c>
      <c r="K604" s="6" t="s">
        <v>24</v>
      </c>
      <c r="L604" s="6" t="s">
        <v>25</v>
      </c>
      <c r="M604" s="6">
        <v>54</v>
      </c>
      <c r="N604">
        <f t="shared" si="54"/>
        <v>1</v>
      </c>
      <c r="O604" t="str">
        <f t="shared" si="55"/>
        <v>04-2026</v>
      </c>
      <c r="P604" t="str">
        <f t="shared" si="56"/>
        <v>06-2026</v>
      </c>
      <c r="Q604">
        <f t="shared" si="57"/>
        <v>0</v>
      </c>
      <c r="R604">
        <f t="shared" si="58"/>
        <v>1</v>
      </c>
      <c r="S604" t="str">
        <f t="shared" si="59"/>
        <v>0-90</v>
      </c>
    </row>
    <row r="605" spans="1:19" x14ac:dyDescent="0.25">
      <c r="A605" s="6" t="s">
        <v>640</v>
      </c>
      <c r="B605" s="6" t="s">
        <v>14</v>
      </c>
      <c r="C605" s="6" t="s">
        <v>15</v>
      </c>
      <c r="D605" s="6" t="s">
        <v>208</v>
      </c>
      <c r="E605" s="6" t="s">
        <v>209</v>
      </c>
      <c r="F605" s="6" t="s">
        <v>210</v>
      </c>
      <c r="G605" s="6" t="s">
        <v>142</v>
      </c>
      <c r="H605" s="11">
        <v>46031</v>
      </c>
      <c r="I605" s="11"/>
      <c r="J605" s="6" t="s">
        <v>27</v>
      </c>
      <c r="K605" s="6"/>
      <c r="L605" s="6"/>
      <c r="M605" s="6">
        <v>172</v>
      </c>
      <c r="N605">
        <f t="shared" si="54"/>
        <v>0</v>
      </c>
      <c r="O605" t="str">
        <f t="shared" si="55"/>
        <v>01-2026</v>
      </c>
      <c r="P605" t="str">
        <f t="shared" si="56"/>
        <v/>
      </c>
      <c r="Q605">
        <f t="shared" si="57"/>
        <v>0</v>
      </c>
      <c r="R605">
        <f t="shared" si="58"/>
        <v>0</v>
      </c>
      <c r="S605" t="str">
        <f t="shared" si="59"/>
        <v>90-180</v>
      </c>
    </row>
    <row r="606" spans="1:19" x14ac:dyDescent="0.25">
      <c r="A606" s="6" t="s">
        <v>641</v>
      </c>
      <c r="B606" s="6" t="s">
        <v>14</v>
      </c>
      <c r="C606" s="6" t="s">
        <v>15</v>
      </c>
      <c r="D606" s="6" t="s">
        <v>208</v>
      </c>
      <c r="E606" s="6" t="s">
        <v>209</v>
      </c>
      <c r="F606" s="6" t="s">
        <v>210</v>
      </c>
      <c r="G606" s="6" t="s">
        <v>142</v>
      </c>
      <c r="H606" s="11">
        <v>46182</v>
      </c>
      <c r="I606" s="11">
        <v>46202</v>
      </c>
      <c r="J606" s="6" t="s">
        <v>20</v>
      </c>
      <c r="K606" s="6" t="s">
        <v>21</v>
      </c>
      <c r="L606" s="6" t="s">
        <v>37</v>
      </c>
      <c r="M606" s="6">
        <v>20</v>
      </c>
      <c r="N606">
        <f t="shared" si="54"/>
        <v>1</v>
      </c>
      <c r="O606" t="str">
        <f t="shared" si="55"/>
        <v>06-2026</v>
      </c>
      <c r="P606" t="str">
        <f t="shared" si="56"/>
        <v>06-2026</v>
      </c>
      <c r="Q606">
        <f t="shared" si="57"/>
        <v>1</v>
      </c>
      <c r="R606">
        <f t="shared" si="58"/>
        <v>0</v>
      </c>
      <c r="S606" t="str">
        <f t="shared" si="59"/>
        <v>0-90</v>
      </c>
    </row>
    <row r="607" spans="1:19" x14ac:dyDescent="0.25">
      <c r="A607" s="6" t="s">
        <v>642</v>
      </c>
      <c r="B607" s="6" t="s">
        <v>14</v>
      </c>
      <c r="C607" s="6" t="s">
        <v>15</v>
      </c>
      <c r="D607" s="6" t="s">
        <v>208</v>
      </c>
      <c r="E607" s="6" t="s">
        <v>209</v>
      </c>
      <c r="F607" s="6" t="s">
        <v>210</v>
      </c>
      <c r="G607" s="6" t="s">
        <v>142</v>
      </c>
      <c r="H607" s="11">
        <v>46151</v>
      </c>
      <c r="I607" s="11">
        <v>46163</v>
      </c>
      <c r="J607" s="6" t="s">
        <v>20</v>
      </c>
      <c r="K607" s="6" t="s">
        <v>21</v>
      </c>
      <c r="L607" s="6" t="s">
        <v>22</v>
      </c>
      <c r="M607" s="6">
        <v>12</v>
      </c>
      <c r="N607">
        <f t="shared" si="54"/>
        <v>1</v>
      </c>
      <c r="O607" t="str">
        <f t="shared" si="55"/>
        <v>05-2026</v>
      </c>
      <c r="P607" t="str">
        <f t="shared" si="56"/>
        <v>05-2026</v>
      </c>
      <c r="Q607">
        <f t="shared" si="57"/>
        <v>1</v>
      </c>
      <c r="R607">
        <f t="shared" si="58"/>
        <v>0</v>
      </c>
      <c r="S607" t="str">
        <f t="shared" si="59"/>
        <v>0-90</v>
      </c>
    </row>
    <row r="608" spans="1:19" x14ac:dyDescent="0.25">
      <c r="A608" s="6" t="s">
        <v>643</v>
      </c>
      <c r="B608" s="6" t="s">
        <v>14</v>
      </c>
      <c r="C608" s="6" t="s">
        <v>15</v>
      </c>
      <c r="D608" s="6" t="s">
        <v>208</v>
      </c>
      <c r="E608" s="6" t="s">
        <v>209</v>
      </c>
      <c r="F608" s="6" t="s">
        <v>210</v>
      </c>
      <c r="G608" s="6" t="s">
        <v>142</v>
      </c>
      <c r="H608" s="11">
        <v>46122</v>
      </c>
      <c r="I608" s="11"/>
      <c r="J608" s="6" t="s">
        <v>27</v>
      </c>
      <c r="K608" s="6"/>
      <c r="L608" s="6"/>
      <c r="M608" s="6">
        <v>81</v>
      </c>
      <c r="N608">
        <f t="shared" si="54"/>
        <v>0</v>
      </c>
      <c r="O608" t="str">
        <f t="shared" si="55"/>
        <v>04-2026</v>
      </c>
      <c r="P608" t="str">
        <f t="shared" si="56"/>
        <v/>
      </c>
      <c r="Q608">
        <f t="shared" si="57"/>
        <v>0</v>
      </c>
      <c r="R608">
        <f t="shared" si="58"/>
        <v>0</v>
      </c>
      <c r="S608" t="str">
        <f t="shared" si="59"/>
        <v>0-90</v>
      </c>
    </row>
    <row r="609" spans="1:19" x14ac:dyDescent="0.25">
      <c r="A609" s="6" t="s">
        <v>644</v>
      </c>
      <c r="B609" s="6" t="s">
        <v>14</v>
      </c>
      <c r="C609" s="6" t="s">
        <v>15</v>
      </c>
      <c r="D609" s="6" t="s">
        <v>208</v>
      </c>
      <c r="E609" s="6" t="s">
        <v>209</v>
      </c>
      <c r="F609" s="6" t="s">
        <v>210</v>
      </c>
      <c r="G609" s="6" t="s">
        <v>142</v>
      </c>
      <c r="H609" s="11">
        <v>45698</v>
      </c>
      <c r="I609" s="11">
        <v>46116</v>
      </c>
      <c r="J609" s="6" t="s">
        <v>20</v>
      </c>
      <c r="K609" s="6" t="s">
        <v>24</v>
      </c>
      <c r="L609" s="6" t="s">
        <v>25</v>
      </c>
      <c r="M609" s="6">
        <v>418</v>
      </c>
      <c r="N609">
        <f t="shared" si="54"/>
        <v>1</v>
      </c>
      <c r="O609" t="str">
        <f t="shared" si="55"/>
        <v>02-2025</v>
      </c>
      <c r="P609" t="str">
        <f t="shared" si="56"/>
        <v>04-2026</v>
      </c>
      <c r="Q609">
        <f t="shared" si="57"/>
        <v>0</v>
      </c>
      <c r="R609">
        <f t="shared" si="58"/>
        <v>1</v>
      </c>
      <c r="S609" t="str">
        <f t="shared" si="59"/>
        <v>above 1 year</v>
      </c>
    </row>
    <row r="610" spans="1:19" x14ac:dyDescent="0.25">
      <c r="A610" s="6" t="s">
        <v>645</v>
      </c>
      <c r="B610" s="6" t="s">
        <v>14</v>
      </c>
      <c r="C610" s="6" t="s">
        <v>15</v>
      </c>
      <c r="D610" s="6" t="s">
        <v>208</v>
      </c>
      <c r="E610" s="6" t="s">
        <v>209</v>
      </c>
      <c r="F610" s="6" t="s">
        <v>210</v>
      </c>
      <c r="G610" s="6" t="s">
        <v>142</v>
      </c>
      <c r="H610" s="11">
        <v>46091</v>
      </c>
      <c r="I610" s="11"/>
      <c r="J610" s="6" t="s">
        <v>27</v>
      </c>
      <c r="K610" s="6"/>
      <c r="L610" s="6"/>
      <c r="M610" s="6">
        <v>112</v>
      </c>
      <c r="N610">
        <f t="shared" si="54"/>
        <v>0</v>
      </c>
      <c r="O610" t="str">
        <f t="shared" si="55"/>
        <v>03-2026</v>
      </c>
      <c r="P610" t="str">
        <f t="shared" si="56"/>
        <v/>
      </c>
      <c r="Q610">
        <f t="shared" si="57"/>
        <v>0</v>
      </c>
      <c r="R610">
        <f t="shared" si="58"/>
        <v>0</v>
      </c>
      <c r="S610" t="str">
        <f t="shared" si="59"/>
        <v>90-180</v>
      </c>
    </row>
    <row r="611" spans="1:19" x14ac:dyDescent="0.25">
      <c r="A611" s="6" t="s">
        <v>646</v>
      </c>
      <c r="B611" s="6" t="s">
        <v>14</v>
      </c>
      <c r="C611" s="6" t="s">
        <v>15</v>
      </c>
      <c r="D611" s="6" t="s">
        <v>208</v>
      </c>
      <c r="E611" s="6" t="s">
        <v>209</v>
      </c>
      <c r="F611" s="6" t="s">
        <v>210</v>
      </c>
      <c r="G611" s="6" t="s">
        <v>142</v>
      </c>
      <c r="H611" s="11">
        <v>45940</v>
      </c>
      <c r="I611" s="11"/>
      <c r="J611" s="6" t="s">
        <v>27</v>
      </c>
      <c r="K611" s="6"/>
      <c r="L611" s="6"/>
      <c r="M611" s="6">
        <v>263</v>
      </c>
      <c r="N611">
        <f t="shared" si="54"/>
        <v>0</v>
      </c>
      <c r="O611" t="str">
        <f t="shared" si="55"/>
        <v>10-2025</v>
      </c>
      <c r="P611" t="str">
        <f t="shared" si="56"/>
        <v/>
      </c>
      <c r="Q611">
        <f t="shared" si="57"/>
        <v>0</v>
      </c>
      <c r="R611">
        <f t="shared" si="58"/>
        <v>0</v>
      </c>
      <c r="S611" t="str">
        <f t="shared" si="59"/>
        <v>180-365</v>
      </c>
    </row>
    <row r="612" spans="1:19" x14ac:dyDescent="0.25">
      <c r="A612" s="6" t="s">
        <v>647</v>
      </c>
      <c r="B612" s="6" t="s">
        <v>14</v>
      </c>
      <c r="C612" s="6" t="s">
        <v>15</v>
      </c>
      <c r="D612" s="6" t="s">
        <v>208</v>
      </c>
      <c r="E612" s="6" t="s">
        <v>209</v>
      </c>
      <c r="F612" s="6" t="s">
        <v>210</v>
      </c>
      <c r="G612" s="6" t="s">
        <v>142</v>
      </c>
      <c r="H612" s="11">
        <v>46153</v>
      </c>
      <c r="I612" s="11">
        <v>46153</v>
      </c>
      <c r="J612" s="6" t="s">
        <v>20</v>
      </c>
      <c r="K612" s="6" t="s">
        <v>21</v>
      </c>
      <c r="L612" s="6" t="s">
        <v>22</v>
      </c>
      <c r="M612" s="6">
        <v>0</v>
      </c>
      <c r="N612">
        <f t="shared" si="54"/>
        <v>1</v>
      </c>
      <c r="O612" t="str">
        <f t="shared" si="55"/>
        <v>05-2026</v>
      </c>
      <c r="P612" t="str">
        <f t="shared" si="56"/>
        <v>05-2026</v>
      </c>
      <c r="Q612">
        <f t="shared" si="57"/>
        <v>1</v>
      </c>
      <c r="R612">
        <f t="shared" si="58"/>
        <v>0</v>
      </c>
      <c r="S612" t="str">
        <f t="shared" si="59"/>
        <v>0-90</v>
      </c>
    </row>
    <row r="613" spans="1:19" x14ac:dyDescent="0.25">
      <c r="A613" s="6" t="s">
        <v>648</v>
      </c>
      <c r="B613" s="6" t="s">
        <v>14</v>
      </c>
      <c r="C613" s="6" t="s">
        <v>15</v>
      </c>
      <c r="D613" s="6" t="s">
        <v>208</v>
      </c>
      <c r="E613" s="6" t="s">
        <v>209</v>
      </c>
      <c r="F613" s="6" t="s">
        <v>210</v>
      </c>
      <c r="G613" s="6" t="s">
        <v>142</v>
      </c>
      <c r="H613" s="11">
        <v>45759</v>
      </c>
      <c r="I613" s="11"/>
      <c r="J613" s="6" t="s">
        <v>27</v>
      </c>
      <c r="K613" s="6"/>
      <c r="L613" s="6"/>
      <c r="M613" s="6">
        <v>444</v>
      </c>
      <c r="N613">
        <f t="shared" si="54"/>
        <v>0</v>
      </c>
      <c r="O613" t="str">
        <f t="shared" si="55"/>
        <v>04-2025</v>
      </c>
      <c r="P613" t="str">
        <f t="shared" si="56"/>
        <v/>
      </c>
      <c r="Q613">
        <f t="shared" si="57"/>
        <v>0</v>
      </c>
      <c r="R613">
        <f t="shared" si="58"/>
        <v>0</v>
      </c>
      <c r="S613" t="str">
        <f t="shared" si="59"/>
        <v>above 1 year</v>
      </c>
    </row>
    <row r="614" spans="1:19" x14ac:dyDescent="0.25">
      <c r="A614" s="6" t="s">
        <v>649</v>
      </c>
      <c r="B614" s="6" t="s">
        <v>14</v>
      </c>
      <c r="C614" s="6" t="s">
        <v>15</v>
      </c>
      <c r="D614" s="6" t="s">
        <v>208</v>
      </c>
      <c r="E614" s="6" t="s">
        <v>209</v>
      </c>
      <c r="F614" s="6" t="s">
        <v>210</v>
      </c>
      <c r="G614" s="6" t="s">
        <v>142</v>
      </c>
      <c r="H614" s="11">
        <v>46124</v>
      </c>
      <c r="I614" s="11">
        <v>46137</v>
      </c>
      <c r="J614" s="6" t="s">
        <v>20</v>
      </c>
      <c r="K614" s="6" t="s">
        <v>21</v>
      </c>
      <c r="L614" s="6" t="s">
        <v>30</v>
      </c>
      <c r="M614" s="6">
        <v>13</v>
      </c>
      <c r="N614">
        <f t="shared" si="54"/>
        <v>1</v>
      </c>
      <c r="O614" t="str">
        <f t="shared" si="55"/>
        <v>04-2026</v>
      </c>
      <c r="P614" t="str">
        <f t="shared" si="56"/>
        <v>04-2026</v>
      </c>
      <c r="Q614">
        <f t="shared" si="57"/>
        <v>1</v>
      </c>
      <c r="R614">
        <f t="shared" si="58"/>
        <v>0</v>
      </c>
      <c r="S614" t="str">
        <f t="shared" si="59"/>
        <v>0-90</v>
      </c>
    </row>
    <row r="615" spans="1:19" x14ac:dyDescent="0.25">
      <c r="A615" s="6" t="s">
        <v>650</v>
      </c>
      <c r="B615" s="6" t="s">
        <v>14</v>
      </c>
      <c r="C615" s="6" t="s">
        <v>15</v>
      </c>
      <c r="D615" s="6" t="s">
        <v>208</v>
      </c>
      <c r="E615" s="6" t="s">
        <v>209</v>
      </c>
      <c r="F615" s="6" t="s">
        <v>210</v>
      </c>
      <c r="G615" s="6" t="s">
        <v>142</v>
      </c>
      <c r="H615" s="11">
        <v>46124</v>
      </c>
      <c r="I615" s="11">
        <v>46124</v>
      </c>
      <c r="J615" s="6" t="s">
        <v>20</v>
      </c>
      <c r="K615" s="6" t="s">
        <v>21</v>
      </c>
      <c r="L615" s="6" t="s">
        <v>50</v>
      </c>
      <c r="M615" s="6">
        <v>0</v>
      </c>
      <c r="N615">
        <f t="shared" si="54"/>
        <v>1</v>
      </c>
      <c r="O615" t="str">
        <f t="shared" si="55"/>
        <v>04-2026</v>
      </c>
      <c r="P615" t="str">
        <f t="shared" si="56"/>
        <v>04-2026</v>
      </c>
      <c r="Q615">
        <f t="shared" si="57"/>
        <v>1</v>
      </c>
      <c r="R615">
        <f t="shared" si="58"/>
        <v>0</v>
      </c>
      <c r="S615" t="str">
        <f t="shared" si="59"/>
        <v>0-90</v>
      </c>
    </row>
    <row r="616" spans="1:19" x14ac:dyDescent="0.25">
      <c r="A616" s="6" t="s">
        <v>651</v>
      </c>
      <c r="B616" s="6" t="s">
        <v>14</v>
      </c>
      <c r="C616" s="6" t="s">
        <v>15</v>
      </c>
      <c r="D616" s="6" t="s">
        <v>208</v>
      </c>
      <c r="E616" s="6" t="s">
        <v>209</v>
      </c>
      <c r="F616" s="6" t="s">
        <v>210</v>
      </c>
      <c r="G616" s="6" t="s">
        <v>142</v>
      </c>
      <c r="H616" s="11">
        <v>46124</v>
      </c>
      <c r="I616" s="11">
        <v>46183</v>
      </c>
      <c r="J616" s="6" t="s">
        <v>20</v>
      </c>
      <c r="K616" s="6" t="s">
        <v>24</v>
      </c>
      <c r="L616" s="6" t="s">
        <v>44</v>
      </c>
      <c r="M616" s="6">
        <v>59</v>
      </c>
      <c r="N616">
        <f t="shared" si="54"/>
        <v>1</v>
      </c>
      <c r="O616" t="str">
        <f t="shared" si="55"/>
        <v>04-2026</v>
      </c>
      <c r="P616" t="str">
        <f t="shared" si="56"/>
        <v>06-2026</v>
      </c>
      <c r="Q616">
        <f t="shared" si="57"/>
        <v>0</v>
      </c>
      <c r="R616">
        <f t="shared" si="58"/>
        <v>1</v>
      </c>
      <c r="S616" t="str">
        <f t="shared" si="59"/>
        <v>0-90</v>
      </c>
    </row>
    <row r="617" spans="1:19" x14ac:dyDescent="0.25">
      <c r="A617" s="6" t="s">
        <v>652</v>
      </c>
      <c r="B617" s="6" t="s">
        <v>14</v>
      </c>
      <c r="C617" s="6" t="s">
        <v>15</v>
      </c>
      <c r="D617" s="6" t="s">
        <v>208</v>
      </c>
      <c r="E617" s="6" t="s">
        <v>209</v>
      </c>
      <c r="F617" s="6" t="s">
        <v>210</v>
      </c>
      <c r="G617" s="6" t="s">
        <v>142</v>
      </c>
      <c r="H617" s="11">
        <v>46185</v>
      </c>
      <c r="I617" s="11"/>
      <c r="J617" s="6" t="s">
        <v>27</v>
      </c>
      <c r="K617" s="6"/>
      <c r="L617" s="6"/>
      <c r="M617" s="6">
        <v>18</v>
      </c>
      <c r="N617">
        <f t="shared" si="54"/>
        <v>0</v>
      </c>
      <c r="O617" t="str">
        <f t="shared" si="55"/>
        <v>06-2026</v>
      </c>
      <c r="P617" t="str">
        <f t="shared" si="56"/>
        <v/>
      </c>
      <c r="Q617">
        <f t="shared" si="57"/>
        <v>0</v>
      </c>
      <c r="R617">
        <f t="shared" si="58"/>
        <v>0</v>
      </c>
      <c r="S617" t="str">
        <f t="shared" si="59"/>
        <v>0-90</v>
      </c>
    </row>
    <row r="618" spans="1:19" x14ac:dyDescent="0.25">
      <c r="A618" s="6" t="s">
        <v>653</v>
      </c>
      <c r="B618" s="6" t="s">
        <v>14</v>
      </c>
      <c r="C618" s="6" t="s">
        <v>15</v>
      </c>
      <c r="D618" s="6" t="s">
        <v>208</v>
      </c>
      <c r="E618" s="6" t="s">
        <v>209</v>
      </c>
      <c r="F618" s="6" t="s">
        <v>210</v>
      </c>
      <c r="G618" s="6" t="s">
        <v>142</v>
      </c>
      <c r="H618" s="11">
        <v>46154</v>
      </c>
      <c r="I618" s="11">
        <v>46188</v>
      </c>
      <c r="J618" s="6" t="s">
        <v>20</v>
      </c>
      <c r="K618" s="6" t="s">
        <v>21</v>
      </c>
      <c r="L618" s="6" t="s">
        <v>61</v>
      </c>
      <c r="M618" s="6">
        <v>34</v>
      </c>
      <c r="N618">
        <f t="shared" si="54"/>
        <v>1</v>
      </c>
      <c r="O618" t="str">
        <f t="shared" si="55"/>
        <v>05-2026</v>
      </c>
      <c r="P618" t="str">
        <f t="shared" si="56"/>
        <v>06-2026</v>
      </c>
      <c r="Q618">
        <f t="shared" si="57"/>
        <v>1</v>
      </c>
      <c r="R618">
        <f t="shared" si="58"/>
        <v>0</v>
      </c>
      <c r="S618" t="str">
        <f t="shared" si="59"/>
        <v>0-90</v>
      </c>
    </row>
    <row r="619" spans="1:19" x14ac:dyDescent="0.25">
      <c r="A619" s="6" t="s">
        <v>654</v>
      </c>
      <c r="B619" s="6" t="s">
        <v>14</v>
      </c>
      <c r="C619" s="6" t="s">
        <v>15</v>
      </c>
      <c r="D619" s="6" t="s">
        <v>208</v>
      </c>
      <c r="E619" s="6" t="s">
        <v>209</v>
      </c>
      <c r="F619" s="6" t="s">
        <v>210</v>
      </c>
      <c r="G619" s="6" t="s">
        <v>142</v>
      </c>
      <c r="H619" s="11">
        <v>46125</v>
      </c>
      <c r="I619" s="11">
        <v>46125</v>
      </c>
      <c r="J619" s="6" t="s">
        <v>20</v>
      </c>
      <c r="K619" s="6" t="s">
        <v>21</v>
      </c>
      <c r="L619" s="6" t="s">
        <v>30</v>
      </c>
      <c r="M619" s="6">
        <v>0</v>
      </c>
      <c r="N619">
        <f t="shared" si="54"/>
        <v>1</v>
      </c>
      <c r="O619" t="str">
        <f t="shared" si="55"/>
        <v>04-2026</v>
      </c>
      <c r="P619" t="str">
        <f t="shared" si="56"/>
        <v>04-2026</v>
      </c>
      <c r="Q619">
        <f t="shared" si="57"/>
        <v>1</v>
      </c>
      <c r="R619">
        <f t="shared" si="58"/>
        <v>0</v>
      </c>
      <c r="S619" t="str">
        <f t="shared" si="59"/>
        <v>0-90</v>
      </c>
    </row>
    <row r="620" spans="1:19" x14ac:dyDescent="0.25">
      <c r="A620" s="6" t="s">
        <v>655</v>
      </c>
      <c r="B620" s="6" t="s">
        <v>14</v>
      </c>
      <c r="C620" s="6" t="s">
        <v>15</v>
      </c>
      <c r="D620" s="6" t="s">
        <v>208</v>
      </c>
      <c r="E620" s="6" t="s">
        <v>209</v>
      </c>
      <c r="F620" s="6" t="s">
        <v>210</v>
      </c>
      <c r="G620" s="6" t="s">
        <v>142</v>
      </c>
      <c r="H620" s="11">
        <v>46004</v>
      </c>
      <c r="I620" s="11"/>
      <c r="J620" s="6" t="s">
        <v>27</v>
      </c>
      <c r="K620" s="6"/>
      <c r="L620" s="6"/>
      <c r="M620" s="6">
        <v>199</v>
      </c>
      <c r="N620">
        <f t="shared" si="54"/>
        <v>0</v>
      </c>
      <c r="O620" t="str">
        <f t="shared" si="55"/>
        <v>12-2025</v>
      </c>
      <c r="P620" t="str">
        <f t="shared" si="56"/>
        <v/>
      </c>
      <c r="Q620">
        <f t="shared" si="57"/>
        <v>0</v>
      </c>
      <c r="R620">
        <f t="shared" si="58"/>
        <v>0</v>
      </c>
      <c r="S620" t="str">
        <f t="shared" si="59"/>
        <v>180-365</v>
      </c>
    </row>
    <row r="621" spans="1:19" x14ac:dyDescent="0.25">
      <c r="A621" s="6" t="s">
        <v>656</v>
      </c>
      <c r="B621" s="6" t="s">
        <v>14</v>
      </c>
      <c r="C621" s="6" t="s">
        <v>15</v>
      </c>
      <c r="D621" s="6" t="s">
        <v>208</v>
      </c>
      <c r="E621" s="6" t="s">
        <v>209</v>
      </c>
      <c r="F621" s="6" t="s">
        <v>210</v>
      </c>
      <c r="G621" s="6" t="s">
        <v>142</v>
      </c>
      <c r="H621" s="11">
        <v>45670</v>
      </c>
      <c r="I621" s="11">
        <v>46135</v>
      </c>
      <c r="J621" s="6" t="s">
        <v>20</v>
      </c>
      <c r="K621" s="6" t="s">
        <v>24</v>
      </c>
      <c r="L621" s="6" t="s">
        <v>55</v>
      </c>
      <c r="M621" s="6">
        <v>465</v>
      </c>
      <c r="N621">
        <f t="shared" si="54"/>
        <v>1</v>
      </c>
      <c r="O621" t="str">
        <f t="shared" si="55"/>
        <v>01-2025</v>
      </c>
      <c r="P621" t="str">
        <f t="shared" si="56"/>
        <v>04-2026</v>
      </c>
      <c r="Q621">
        <f t="shared" si="57"/>
        <v>0</v>
      </c>
      <c r="R621">
        <f t="shared" si="58"/>
        <v>1</v>
      </c>
      <c r="S621" t="str">
        <f t="shared" si="59"/>
        <v>above 1 year</v>
      </c>
    </row>
    <row r="622" spans="1:19" x14ac:dyDescent="0.25">
      <c r="A622" s="6" t="s">
        <v>657</v>
      </c>
      <c r="B622" s="6" t="s">
        <v>14</v>
      </c>
      <c r="C622" s="6" t="s">
        <v>15</v>
      </c>
      <c r="D622" s="6" t="s">
        <v>208</v>
      </c>
      <c r="E622" s="6" t="s">
        <v>209</v>
      </c>
      <c r="F622" s="6" t="s">
        <v>210</v>
      </c>
      <c r="G622" s="6" t="s">
        <v>142</v>
      </c>
      <c r="H622" s="11">
        <v>46035</v>
      </c>
      <c r="I622" s="11"/>
      <c r="J622" s="6" t="s">
        <v>27</v>
      </c>
      <c r="K622" s="6"/>
      <c r="L622" s="6"/>
      <c r="M622" s="6">
        <v>168</v>
      </c>
      <c r="N622">
        <f t="shared" si="54"/>
        <v>0</v>
      </c>
      <c r="O622" t="str">
        <f t="shared" si="55"/>
        <v>01-2026</v>
      </c>
      <c r="P622" t="str">
        <f t="shared" si="56"/>
        <v/>
      </c>
      <c r="Q622">
        <f t="shared" si="57"/>
        <v>0</v>
      </c>
      <c r="R622">
        <f t="shared" si="58"/>
        <v>0</v>
      </c>
      <c r="S622" t="str">
        <f t="shared" si="59"/>
        <v>90-180</v>
      </c>
    </row>
    <row r="623" spans="1:19" x14ac:dyDescent="0.25">
      <c r="A623" s="6" t="s">
        <v>658</v>
      </c>
      <c r="B623" s="6" t="s">
        <v>14</v>
      </c>
      <c r="C623" s="6" t="s">
        <v>15</v>
      </c>
      <c r="D623" s="6" t="s">
        <v>208</v>
      </c>
      <c r="E623" s="6" t="s">
        <v>209</v>
      </c>
      <c r="F623" s="6" t="s">
        <v>210</v>
      </c>
      <c r="G623" s="6" t="s">
        <v>142</v>
      </c>
      <c r="H623" s="11">
        <v>45851</v>
      </c>
      <c r="I623" s="11">
        <v>46181</v>
      </c>
      <c r="J623" s="6" t="s">
        <v>20</v>
      </c>
      <c r="K623" s="6" t="s">
        <v>24</v>
      </c>
      <c r="L623" s="6" t="s">
        <v>25</v>
      </c>
      <c r="M623" s="6">
        <v>330</v>
      </c>
      <c r="N623">
        <f t="shared" si="54"/>
        <v>1</v>
      </c>
      <c r="O623" t="str">
        <f t="shared" si="55"/>
        <v>07-2025</v>
      </c>
      <c r="P623" t="str">
        <f t="shared" si="56"/>
        <v>06-2026</v>
      </c>
      <c r="Q623">
        <f t="shared" si="57"/>
        <v>0</v>
      </c>
      <c r="R623">
        <f t="shared" si="58"/>
        <v>1</v>
      </c>
      <c r="S623" t="str">
        <f t="shared" si="59"/>
        <v>180-365</v>
      </c>
    </row>
    <row r="624" spans="1:19" x14ac:dyDescent="0.25">
      <c r="A624" s="6" t="s">
        <v>659</v>
      </c>
      <c r="B624" s="6" t="s">
        <v>14</v>
      </c>
      <c r="C624" s="6" t="s">
        <v>15</v>
      </c>
      <c r="D624" s="6" t="s">
        <v>208</v>
      </c>
      <c r="E624" s="6" t="s">
        <v>209</v>
      </c>
      <c r="F624" s="6" t="s">
        <v>210</v>
      </c>
      <c r="G624" s="6" t="s">
        <v>142</v>
      </c>
      <c r="H624" s="11">
        <v>45729</v>
      </c>
      <c r="I624" s="11">
        <v>46151</v>
      </c>
      <c r="J624" s="6" t="s">
        <v>20</v>
      </c>
      <c r="K624" s="6" t="s">
        <v>24</v>
      </c>
      <c r="L624" s="6" t="s">
        <v>44</v>
      </c>
      <c r="M624" s="6">
        <v>422</v>
      </c>
      <c r="N624">
        <f t="shared" si="54"/>
        <v>1</v>
      </c>
      <c r="O624" t="str">
        <f t="shared" si="55"/>
        <v>03-2025</v>
      </c>
      <c r="P624" t="str">
        <f t="shared" si="56"/>
        <v>05-2026</v>
      </c>
      <c r="Q624">
        <f t="shared" si="57"/>
        <v>0</v>
      </c>
      <c r="R624">
        <f t="shared" si="58"/>
        <v>1</v>
      </c>
      <c r="S624" t="str">
        <f t="shared" si="59"/>
        <v>above 1 year</v>
      </c>
    </row>
    <row r="625" spans="1:19" x14ac:dyDescent="0.25">
      <c r="A625" s="6" t="s">
        <v>660</v>
      </c>
      <c r="B625" s="6" t="s">
        <v>14</v>
      </c>
      <c r="C625" s="6" t="s">
        <v>15</v>
      </c>
      <c r="D625" s="6" t="s">
        <v>208</v>
      </c>
      <c r="E625" s="6" t="s">
        <v>209</v>
      </c>
      <c r="F625" s="6" t="s">
        <v>210</v>
      </c>
      <c r="G625" s="6" t="s">
        <v>142</v>
      </c>
      <c r="H625" s="11">
        <v>45974</v>
      </c>
      <c r="I625" s="11"/>
      <c r="J625" s="6" t="s">
        <v>27</v>
      </c>
      <c r="K625" s="6"/>
      <c r="L625" s="6"/>
      <c r="M625" s="6">
        <v>229</v>
      </c>
      <c r="N625">
        <f t="shared" si="54"/>
        <v>0</v>
      </c>
      <c r="O625" t="str">
        <f t="shared" si="55"/>
        <v>11-2025</v>
      </c>
      <c r="P625" t="str">
        <f t="shared" si="56"/>
        <v/>
      </c>
      <c r="Q625">
        <f t="shared" si="57"/>
        <v>0</v>
      </c>
      <c r="R625">
        <f t="shared" si="58"/>
        <v>0</v>
      </c>
      <c r="S625" t="str">
        <f t="shared" si="59"/>
        <v>180-365</v>
      </c>
    </row>
    <row r="626" spans="1:19" x14ac:dyDescent="0.25">
      <c r="A626" s="6" t="s">
        <v>661</v>
      </c>
      <c r="B626" s="6" t="s">
        <v>14</v>
      </c>
      <c r="C626" s="6" t="s">
        <v>15</v>
      </c>
      <c r="D626" s="6" t="s">
        <v>208</v>
      </c>
      <c r="E626" s="6" t="s">
        <v>209</v>
      </c>
      <c r="F626" s="6" t="s">
        <v>210</v>
      </c>
      <c r="G626" s="6" t="s">
        <v>142</v>
      </c>
      <c r="H626" s="11">
        <v>45702</v>
      </c>
      <c r="I626" s="11">
        <v>46165</v>
      </c>
      <c r="J626" s="6" t="s">
        <v>20</v>
      </c>
      <c r="K626" s="6" t="s">
        <v>24</v>
      </c>
      <c r="L626" s="6" t="s">
        <v>44</v>
      </c>
      <c r="M626" s="6">
        <v>463</v>
      </c>
      <c r="N626">
        <f t="shared" si="54"/>
        <v>1</v>
      </c>
      <c r="O626" t="str">
        <f t="shared" si="55"/>
        <v>02-2025</v>
      </c>
      <c r="P626" t="str">
        <f t="shared" si="56"/>
        <v>05-2026</v>
      </c>
      <c r="Q626">
        <f t="shared" si="57"/>
        <v>0</v>
      </c>
      <c r="R626">
        <f t="shared" si="58"/>
        <v>1</v>
      </c>
      <c r="S626" t="str">
        <f t="shared" si="59"/>
        <v>above 1 year</v>
      </c>
    </row>
    <row r="627" spans="1:19" x14ac:dyDescent="0.25">
      <c r="A627" s="6" t="s">
        <v>662</v>
      </c>
      <c r="B627" s="6" t="s">
        <v>14</v>
      </c>
      <c r="C627" s="6" t="s">
        <v>15</v>
      </c>
      <c r="D627" s="6" t="s">
        <v>208</v>
      </c>
      <c r="E627" s="6" t="s">
        <v>209</v>
      </c>
      <c r="F627" s="6" t="s">
        <v>210</v>
      </c>
      <c r="G627" s="6" t="s">
        <v>142</v>
      </c>
      <c r="H627" s="11">
        <v>45671</v>
      </c>
      <c r="I627" s="11"/>
      <c r="J627" s="6" t="s">
        <v>27</v>
      </c>
      <c r="K627" s="6"/>
      <c r="L627" s="6"/>
      <c r="M627" s="6">
        <v>532</v>
      </c>
      <c r="N627">
        <f t="shared" si="54"/>
        <v>0</v>
      </c>
      <c r="O627" t="str">
        <f t="shared" si="55"/>
        <v>01-2025</v>
      </c>
      <c r="P627" t="str">
        <f t="shared" si="56"/>
        <v/>
      </c>
      <c r="Q627">
        <f t="shared" si="57"/>
        <v>0</v>
      </c>
      <c r="R627">
        <f t="shared" si="58"/>
        <v>0</v>
      </c>
      <c r="S627" t="str">
        <f t="shared" si="59"/>
        <v>above 1 year</v>
      </c>
    </row>
    <row r="628" spans="1:19" x14ac:dyDescent="0.25">
      <c r="A628" s="6" t="s">
        <v>663</v>
      </c>
      <c r="B628" s="6" t="s">
        <v>14</v>
      </c>
      <c r="C628" s="6" t="s">
        <v>15</v>
      </c>
      <c r="D628" s="6" t="s">
        <v>208</v>
      </c>
      <c r="E628" s="6" t="s">
        <v>209</v>
      </c>
      <c r="F628" s="6" t="s">
        <v>210</v>
      </c>
      <c r="G628" s="6" t="s">
        <v>142</v>
      </c>
      <c r="H628" s="11">
        <v>45852</v>
      </c>
      <c r="I628" s="11">
        <v>46172</v>
      </c>
      <c r="J628" s="6" t="s">
        <v>20</v>
      </c>
      <c r="K628" s="6" t="s">
        <v>24</v>
      </c>
      <c r="L628" s="6" t="s">
        <v>55</v>
      </c>
      <c r="M628" s="6">
        <v>320</v>
      </c>
      <c r="N628">
        <f t="shared" si="54"/>
        <v>1</v>
      </c>
      <c r="O628" t="str">
        <f t="shared" si="55"/>
        <v>07-2025</v>
      </c>
      <c r="P628" t="str">
        <f t="shared" si="56"/>
        <v>05-2026</v>
      </c>
      <c r="Q628">
        <f t="shared" si="57"/>
        <v>0</v>
      </c>
      <c r="R628">
        <f t="shared" si="58"/>
        <v>1</v>
      </c>
      <c r="S628" t="str">
        <f t="shared" si="59"/>
        <v>180-365</v>
      </c>
    </row>
    <row r="629" spans="1:19" x14ac:dyDescent="0.25">
      <c r="A629" s="6" t="s">
        <v>664</v>
      </c>
      <c r="B629" s="6" t="s">
        <v>14</v>
      </c>
      <c r="C629" s="6" t="s">
        <v>15</v>
      </c>
      <c r="D629" s="6" t="s">
        <v>208</v>
      </c>
      <c r="E629" s="6" t="s">
        <v>209</v>
      </c>
      <c r="F629" s="6" t="s">
        <v>210</v>
      </c>
      <c r="G629" s="6" t="s">
        <v>142</v>
      </c>
      <c r="H629" s="11">
        <v>46187</v>
      </c>
      <c r="I629" s="11">
        <v>46187</v>
      </c>
      <c r="J629" s="6" t="s">
        <v>20</v>
      </c>
      <c r="K629" s="6" t="s">
        <v>21</v>
      </c>
      <c r="L629" s="6" t="s">
        <v>61</v>
      </c>
      <c r="M629" s="6">
        <v>0</v>
      </c>
      <c r="N629">
        <f t="shared" si="54"/>
        <v>1</v>
      </c>
      <c r="O629" t="str">
        <f t="shared" si="55"/>
        <v>06-2026</v>
      </c>
      <c r="P629" t="str">
        <f t="shared" si="56"/>
        <v>06-2026</v>
      </c>
      <c r="Q629">
        <f t="shared" si="57"/>
        <v>1</v>
      </c>
      <c r="R629">
        <f t="shared" si="58"/>
        <v>0</v>
      </c>
      <c r="S629" t="str">
        <f t="shared" si="59"/>
        <v>0-90</v>
      </c>
    </row>
    <row r="630" spans="1:19" x14ac:dyDescent="0.25">
      <c r="A630" s="6" t="s">
        <v>665</v>
      </c>
      <c r="B630" s="6" t="s">
        <v>14</v>
      </c>
      <c r="C630" s="6" t="s">
        <v>15</v>
      </c>
      <c r="D630" s="6" t="s">
        <v>208</v>
      </c>
      <c r="E630" s="6" t="s">
        <v>209</v>
      </c>
      <c r="F630" s="6" t="s">
        <v>210</v>
      </c>
      <c r="G630" s="6" t="s">
        <v>142</v>
      </c>
      <c r="H630" s="11">
        <v>46187</v>
      </c>
      <c r="I630" s="11">
        <v>46195</v>
      </c>
      <c r="J630" s="6" t="s">
        <v>20</v>
      </c>
      <c r="K630" s="6" t="s">
        <v>21</v>
      </c>
      <c r="L630" s="6" t="s">
        <v>30</v>
      </c>
      <c r="M630" s="6">
        <v>8</v>
      </c>
      <c r="N630">
        <f t="shared" si="54"/>
        <v>1</v>
      </c>
      <c r="O630" t="str">
        <f t="shared" si="55"/>
        <v>06-2026</v>
      </c>
      <c r="P630" t="str">
        <f t="shared" si="56"/>
        <v>06-2026</v>
      </c>
      <c r="Q630">
        <f t="shared" si="57"/>
        <v>1</v>
      </c>
      <c r="R630">
        <f t="shared" si="58"/>
        <v>0</v>
      </c>
      <c r="S630" t="str">
        <f t="shared" si="59"/>
        <v>0-90</v>
      </c>
    </row>
    <row r="631" spans="1:19" x14ac:dyDescent="0.25">
      <c r="A631" s="6" t="s">
        <v>666</v>
      </c>
      <c r="B631" s="6" t="s">
        <v>14</v>
      </c>
      <c r="C631" s="6" t="s">
        <v>15</v>
      </c>
      <c r="D631" s="6" t="s">
        <v>208</v>
      </c>
      <c r="E631" s="6" t="s">
        <v>209</v>
      </c>
      <c r="F631" s="6" t="s">
        <v>210</v>
      </c>
      <c r="G631" s="6" t="s">
        <v>142</v>
      </c>
      <c r="H631" s="11">
        <v>46156</v>
      </c>
      <c r="I631" s="11"/>
      <c r="J631" s="6" t="s">
        <v>27</v>
      </c>
      <c r="K631" s="6"/>
      <c r="L631" s="6"/>
      <c r="M631" s="6">
        <v>47</v>
      </c>
      <c r="N631">
        <f t="shared" si="54"/>
        <v>0</v>
      </c>
      <c r="O631" t="str">
        <f t="shared" si="55"/>
        <v>05-2026</v>
      </c>
      <c r="P631" t="str">
        <f t="shared" si="56"/>
        <v/>
      </c>
      <c r="Q631">
        <f t="shared" si="57"/>
        <v>0</v>
      </c>
      <c r="R631">
        <f t="shared" si="58"/>
        <v>0</v>
      </c>
      <c r="S631" t="str">
        <f t="shared" si="59"/>
        <v>0-90</v>
      </c>
    </row>
    <row r="632" spans="1:19" x14ac:dyDescent="0.25">
      <c r="A632" s="6" t="s">
        <v>667</v>
      </c>
      <c r="B632" s="6" t="s">
        <v>14</v>
      </c>
      <c r="C632" s="6" t="s">
        <v>15</v>
      </c>
      <c r="D632" s="6" t="s">
        <v>208</v>
      </c>
      <c r="E632" s="6" t="s">
        <v>209</v>
      </c>
      <c r="F632" s="6" t="s">
        <v>210</v>
      </c>
      <c r="G632" s="6" t="s">
        <v>142</v>
      </c>
      <c r="H632" s="11">
        <v>46156</v>
      </c>
      <c r="I632" s="11">
        <v>46190</v>
      </c>
      <c r="J632" s="6" t="s">
        <v>20</v>
      </c>
      <c r="K632" s="6" t="s">
        <v>24</v>
      </c>
      <c r="L632" s="6" t="s">
        <v>41</v>
      </c>
      <c r="M632" s="6">
        <v>34</v>
      </c>
      <c r="N632">
        <f t="shared" si="54"/>
        <v>1</v>
      </c>
      <c r="O632" t="str">
        <f t="shared" si="55"/>
        <v>05-2026</v>
      </c>
      <c r="P632" t="str">
        <f t="shared" si="56"/>
        <v>06-2026</v>
      </c>
      <c r="Q632">
        <f t="shared" si="57"/>
        <v>0</v>
      </c>
      <c r="R632">
        <f t="shared" si="58"/>
        <v>1</v>
      </c>
      <c r="S632" t="str">
        <f t="shared" si="59"/>
        <v>0-90</v>
      </c>
    </row>
    <row r="633" spans="1:19" x14ac:dyDescent="0.25">
      <c r="A633" s="6" t="s">
        <v>668</v>
      </c>
      <c r="B633" s="6" t="s">
        <v>14</v>
      </c>
      <c r="C633" s="6" t="s">
        <v>15</v>
      </c>
      <c r="D633" s="6" t="s">
        <v>208</v>
      </c>
      <c r="E633" s="6" t="s">
        <v>209</v>
      </c>
      <c r="F633" s="6" t="s">
        <v>210</v>
      </c>
      <c r="G633" s="6" t="s">
        <v>142</v>
      </c>
      <c r="H633" s="11">
        <v>46156</v>
      </c>
      <c r="I633" s="11"/>
      <c r="J633" s="6" t="s">
        <v>27</v>
      </c>
      <c r="K633" s="6"/>
      <c r="L633" s="6"/>
      <c r="M633" s="6">
        <v>47</v>
      </c>
      <c r="N633">
        <f t="shared" si="54"/>
        <v>0</v>
      </c>
      <c r="O633" t="str">
        <f t="shared" si="55"/>
        <v>05-2026</v>
      </c>
      <c r="P633" t="str">
        <f t="shared" si="56"/>
        <v/>
      </c>
      <c r="Q633">
        <f t="shared" si="57"/>
        <v>0</v>
      </c>
      <c r="R633">
        <f t="shared" si="58"/>
        <v>0</v>
      </c>
      <c r="S633" t="str">
        <f t="shared" si="59"/>
        <v>0-90</v>
      </c>
    </row>
    <row r="634" spans="1:19" x14ac:dyDescent="0.25">
      <c r="A634" s="6" t="s">
        <v>669</v>
      </c>
      <c r="B634" s="6" t="s">
        <v>14</v>
      </c>
      <c r="C634" s="6" t="s">
        <v>15</v>
      </c>
      <c r="D634" s="6" t="s">
        <v>208</v>
      </c>
      <c r="E634" s="6" t="s">
        <v>209</v>
      </c>
      <c r="F634" s="6" t="s">
        <v>210</v>
      </c>
      <c r="G634" s="6" t="s">
        <v>142</v>
      </c>
      <c r="H634" s="11">
        <v>46156</v>
      </c>
      <c r="I634" s="11"/>
      <c r="J634" s="6" t="s">
        <v>27</v>
      </c>
      <c r="K634" s="6"/>
      <c r="L634" s="6"/>
      <c r="M634" s="6">
        <v>47</v>
      </c>
      <c r="N634">
        <f t="shared" si="54"/>
        <v>0</v>
      </c>
      <c r="O634" t="str">
        <f t="shared" si="55"/>
        <v>05-2026</v>
      </c>
      <c r="P634" t="str">
        <f t="shared" si="56"/>
        <v/>
      </c>
      <c r="Q634">
        <f t="shared" si="57"/>
        <v>0</v>
      </c>
      <c r="R634">
        <f t="shared" si="58"/>
        <v>0</v>
      </c>
      <c r="S634" t="str">
        <f t="shared" si="59"/>
        <v>0-90</v>
      </c>
    </row>
    <row r="635" spans="1:19" x14ac:dyDescent="0.25">
      <c r="A635" s="6" t="s">
        <v>670</v>
      </c>
      <c r="B635" s="6" t="s">
        <v>14</v>
      </c>
      <c r="C635" s="6" t="s">
        <v>15</v>
      </c>
      <c r="D635" s="6" t="s">
        <v>208</v>
      </c>
      <c r="E635" s="6" t="s">
        <v>209</v>
      </c>
      <c r="F635" s="6" t="s">
        <v>210</v>
      </c>
      <c r="G635" s="6" t="s">
        <v>142</v>
      </c>
      <c r="H635" s="11">
        <v>46127</v>
      </c>
      <c r="I635" s="11"/>
      <c r="J635" s="6" t="s">
        <v>27</v>
      </c>
      <c r="K635" s="6"/>
      <c r="L635" s="6"/>
      <c r="M635" s="6">
        <v>76</v>
      </c>
      <c r="N635">
        <f t="shared" si="54"/>
        <v>0</v>
      </c>
      <c r="O635" t="str">
        <f t="shared" si="55"/>
        <v>04-2026</v>
      </c>
      <c r="P635" t="str">
        <f t="shared" si="56"/>
        <v/>
      </c>
      <c r="Q635">
        <f t="shared" si="57"/>
        <v>0</v>
      </c>
      <c r="R635">
        <f t="shared" si="58"/>
        <v>0</v>
      </c>
      <c r="S635" t="str">
        <f t="shared" si="59"/>
        <v>0-90</v>
      </c>
    </row>
    <row r="636" spans="1:19" x14ac:dyDescent="0.25">
      <c r="A636" s="6" t="s">
        <v>671</v>
      </c>
      <c r="B636" s="6" t="s">
        <v>14</v>
      </c>
      <c r="C636" s="6" t="s">
        <v>15</v>
      </c>
      <c r="D636" s="6" t="s">
        <v>208</v>
      </c>
      <c r="E636" s="6" t="s">
        <v>209</v>
      </c>
      <c r="F636" s="6" t="s">
        <v>210</v>
      </c>
      <c r="G636" s="6" t="s">
        <v>142</v>
      </c>
      <c r="H636" s="11">
        <v>46037</v>
      </c>
      <c r="I636" s="11"/>
      <c r="J636" s="6" t="s">
        <v>27</v>
      </c>
      <c r="K636" s="6"/>
      <c r="L636" s="6"/>
      <c r="M636" s="6">
        <v>166</v>
      </c>
      <c r="N636">
        <f t="shared" si="54"/>
        <v>0</v>
      </c>
      <c r="O636" t="str">
        <f t="shared" si="55"/>
        <v>01-2026</v>
      </c>
      <c r="P636" t="str">
        <f t="shared" si="56"/>
        <v/>
      </c>
      <c r="Q636">
        <f t="shared" si="57"/>
        <v>0</v>
      </c>
      <c r="R636">
        <f t="shared" si="58"/>
        <v>0</v>
      </c>
      <c r="S636" t="str">
        <f t="shared" si="59"/>
        <v>90-180</v>
      </c>
    </row>
    <row r="637" spans="1:19" x14ac:dyDescent="0.25">
      <c r="A637" s="6" t="s">
        <v>672</v>
      </c>
      <c r="B637" s="6" t="s">
        <v>14</v>
      </c>
      <c r="C637" s="6" t="s">
        <v>15</v>
      </c>
      <c r="D637" s="6" t="s">
        <v>208</v>
      </c>
      <c r="E637" s="6" t="s">
        <v>209</v>
      </c>
      <c r="F637" s="6" t="s">
        <v>210</v>
      </c>
      <c r="G637" s="6" t="s">
        <v>142</v>
      </c>
      <c r="H637" s="11">
        <v>46037</v>
      </c>
      <c r="I637" s="11">
        <v>46133</v>
      </c>
      <c r="J637" s="6" t="s">
        <v>20</v>
      </c>
      <c r="K637" s="6" t="s">
        <v>21</v>
      </c>
      <c r="L637" s="6" t="s">
        <v>22</v>
      </c>
      <c r="M637" s="6">
        <v>96</v>
      </c>
      <c r="N637">
        <f t="shared" si="54"/>
        <v>1</v>
      </c>
      <c r="O637" t="str">
        <f t="shared" si="55"/>
        <v>01-2026</v>
      </c>
      <c r="P637" t="str">
        <f t="shared" si="56"/>
        <v>04-2026</v>
      </c>
      <c r="Q637">
        <f t="shared" si="57"/>
        <v>1</v>
      </c>
      <c r="R637">
        <f t="shared" si="58"/>
        <v>0</v>
      </c>
      <c r="S637" t="str">
        <f t="shared" si="59"/>
        <v>90-180</v>
      </c>
    </row>
    <row r="638" spans="1:19" x14ac:dyDescent="0.25">
      <c r="A638" s="6" t="s">
        <v>673</v>
      </c>
      <c r="B638" s="6" t="s">
        <v>14</v>
      </c>
      <c r="C638" s="6" t="s">
        <v>15</v>
      </c>
      <c r="D638" s="6" t="s">
        <v>208</v>
      </c>
      <c r="E638" s="6" t="s">
        <v>209</v>
      </c>
      <c r="F638" s="6" t="s">
        <v>210</v>
      </c>
      <c r="G638" s="6" t="s">
        <v>142</v>
      </c>
      <c r="H638" s="11">
        <v>46188</v>
      </c>
      <c r="I638" s="11"/>
      <c r="J638" s="6" t="s">
        <v>27</v>
      </c>
      <c r="K638" s="6"/>
      <c r="L638" s="6"/>
      <c r="M638" s="6">
        <v>15</v>
      </c>
      <c r="N638">
        <f t="shared" si="54"/>
        <v>0</v>
      </c>
      <c r="O638" t="str">
        <f t="shared" si="55"/>
        <v>06-2026</v>
      </c>
      <c r="P638" t="str">
        <f t="shared" si="56"/>
        <v/>
      </c>
      <c r="Q638">
        <f t="shared" si="57"/>
        <v>0</v>
      </c>
      <c r="R638">
        <f t="shared" si="58"/>
        <v>0</v>
      </c>
      <c r="S638" t="str">
        <f t="shared" si="59"/>
        <v>0-90</v>
      </c>
    </row>
    <row r="639" spans="1:19" x14ac:dyDescent="0.25">
      <c r="A639" s="6" t="s">
        <v>674</v>
      </c>
      <c r="B639" s="6" t="s">
        <v>14</v>
      </c>
      <c r="C639" s="6" t="s">
        <v>15</v>
      </c>
      <c r="D639" s="6" t="s">
        <v>208</v>
      </c>
      <c r="E639" s="6" t="s">
        <v>209</v>
      </c>
      <c r="F639" s="6" t="s">
        <v>210</v>
      </c>
      <c r="G639" s="6" t="s">
        <v>142</v>
      </c>
      <c r="H639" s="11">
        <v>45945</v>
      </c>
      <c r="I639" s="11"/>
      <c r="J639" s="6" t="s">
        <v>27</v>
      </c>
      <c r="K639" s="6"/>
      <c r="L639" s="6"/>
      <c r="M639" s="6">
        <v>258</v>
      </c>
      <c r="N639">
        <f t="shared" si="54"/>
        <v>0</v>
      </c>
      <c r="O639" t="str">
        <f t="shared" si="55"/>
        <v>10-2025</v>
      </c>
      <c r="P639" t="str">
        <f t="shared" si="56"/>
        <v/>
      </c>
      <c r="Q639">
        <f t="shared" si="57"/>
        <v>0</v>
      </c>
      <c r="R639">
        <f t="shared" si="58"/>
        <v>0</v>
      </c>
      <c r="S639" t="str">
        <f t="shared" si="59"/>
        <v>180-365</v>
      </c>
    </row>
    <row r="640" spans="1:19" x14ac:dyDescent="0.25">
      <c r="A640" s="6" t="s">
        <v>675</v>
      </c>
      <c r="B640" s="6" t="s">
        <v>14</v>
      </c>
      <c r="C640" s="6" t="s">
        <v>15</v>
      </c>
      <c r="D640" s="6" t="s">
        <v>208</v>
      </c>
      <c r="E640" s="6" t="s">
        <v>209</v>
      </c>
      <c r="F640" s="6" t="s">
        <v>210</v>
      </c>
      <c r="G640" s="6" t="s">
        <v>142</v>
      </c>
      <c r="H640" s="11">
        <v>45673</v>
      </c>
      <c r="I640" s="11"/>
      <c r="J640" s="6" t="s">
        <v>27</v>
      </c>
      <c r="K640" s="6"/>
      <c r="L640" s="6"/>
      <c r="M640" s="6">
        <v>530</v>
      </c>
      <c r="N640">
        <f t="shared" si="54"/>
        <v>0</v>
      </c>
      <c r="O640" t="str">
        <f t="shared" si="55"/>
        <v>01-2025</v>
      </c>
      <c r="P640" t="str">
        <f t="shared" si="56"/>
        <v/>
      </c>
      <c r="Q640">
        <f t="shared" si="57"/>
        <v>0</v>
      </c>
      <c r="R640">
        <f t="shared" si="58"/>
        <v>0</v>
      </c>
      <c r="S640" t="str">
        <f t="shared" si="59"/>
        <v>above 1 year</v>
      </c>
    </row>
    <row r="641" spans="1:19" x14ac:dyDescent="0.25">
      <c r="A641" s="6" t="s">
        <v>676</v>
      </c>
      <c r="B641" s="6" t="s">
        <v>14</v>
      </c>
      <c r="C641" s="6" t="s">
        <v>15</v>
      </c>
      <c r="D641" s="6" t="s">
        <v>208</v>
      </c>
      <c r="E641" s="6" t="s">
        <v>209</v>
      </c>
      <c r="F641" s="6" t="s">
        <v>210</v>
      </c>
      <c r="G641" s="6" t="s">
        <v>142</v>
      </c>
      <c r="H641" s="11">
        <v>45793</v>
      </c>
      <c r="I641" s="11"/>
      <c r="J641" s="6" t="s">
        <v>27</v>
      </c>
      <c r="K641" s="6"/>
      <c r="L641" s="6"/>
      <c r="M641" s="6">
        <v>410</v>
      </c>
      <c r="N641">
        <f t="shared" si="54"/>
        <v>0</v>
      </c>
      <c r="O641" t="str">
        <f t="shared" si="55"/>
        <v>05-2025</v>
      </c>
      <c r="P641" t="str">
        <f t="shared" si="56"/>
        <v/>
      </c>
      <c r="Q641">
        <f t="shared" si="57"/>
        <v>0</v>
      </c>
      <c r="R641">
        <f t="shared" si="58"/>
        <v>0</v>
      </c>
      <c r="S641" t="str">
        <f t="shared" si="59"/>
        <v>above 1 year</v>
      </c>
    </row>
    <row r="642" spans="1:19" x14ac:dyDescent="0.25">
      <c r="A642" s="6" t="s">
        <v>677</v>
      </c>
      <c r="B642" s="6" t="s">
        <v>14</v>
      </c>
      <c r="C642" s="6" t="s">
        <v>15</v>
      </c>
      <c r="D642" s="6" t="s">
        <v>208</v>
      </c>
      <c r="E642" s="6" t="s">
        <v>209</v>
      </c>
      <c r="F642" s="6" t="s">
        <v>210</v>
      </c>
      <c r="G642" s="6" t="s">
        <v>142</v>
      </c>
      <c r="H642" s="11">
        <v>46158</v>
      </c>
      <c r="I642" s="11">
        <v>46158</v>
      </c>
      <c r="J642" s="6" t="s">
        <v>20</v>
      </c>
      <c r="K642" s="6" t="s">
        <v>21</v>
      </c>
      <c r="L642" s="6" t="s">
        <v>61</v>
      </c>
      <c r="M642" s="6">
        <v>0</v>
      </c>
      <c r="N642">
        <f t="shared" si="54"/>
        <v>1</v>
      </c>
      <c r="O642" t="str">
        <f t="shared" si="55"/>
        <v>05-2026</v>
      </c>
      <c r="P642" t="str">
        <f t="shared" si="56"/>
        <v>05-2026</v>
      </c>
      <c r="Q642">
        <f t="shared" si="57"/>
        <v>1</v>
      </c>
      <c r="R642">
        <f t="shared" si="58"/>
        <v>0</v>
      </c>
      <c r="S642" t="str">
        <f t="shared" si="59"/>
        <v>0-90</v>
      </c>
    </row>
    <row r="643" spans="1:19" x14ac:dyDescent="0.25">
      <c r="A643" s="6" t="s">
        <v>678</v>
      </c>
      <c r="B643" s="6" t="s">
        <v>14</v>
      </c>
      <c r="C643" s="6" t="s">
        <v>15</v>
      </c>
      <c r="D643" s="6" t="s">
        <v>208</v>
      </c>
      <c r="E643" s="6" t="s">
        <v>209</v>
      </c>
      <c r="F643" s="6" t="s">
        <v>210</v>
      </c>
      <c r="G643" s="6" t="s">
        <v>142</v>
      </c>
      <c r="H643" s="11">
        <v>46158</v>
      </c>
      <c r="I643" s="11"/>
      <c r="J643" s="6" t="s">
        <v>27</v>
      </c>
      <c r="K643" s="6"/>
      <c r="L643" s="6"/>
      <c r="M643" s="6">
        <v>45</v>
      </c>
      <c r="N643">
        <f t="shared" ref="N643:N706" si="60">IF(J643="Relieved",1,0)</f>
        <v>0</v>
      </c>
      <c r="O643" t="str">
        <f t="shared" ref="O643:O706" si="61">TEXT(H643,"mm-yyyy")</f>
        <v>05-2026</v>
      </c>
      <c r="P643" t="str">
        <f t="shared" ref="P643:P706" si="62">IF(I643="","",TEXT(I643,"mm-yyyy"))</f>
        <v/>
      </c>
      <c r="Q643">
        <f t="shared" ref="Q643:Q706" si="63">IF(K643="Voluntary",1,0)</f>
        <v>0</v>
      </c>
      <c r="R643">
        <f t="shared" ref="R643:R706" si="64">IF(K643="Involuntary",1,0)</f>
        <v>0</v>
      </c>
      <c r="S643" t="str">
        <f t="shared" ref="S643:S706" si="65">IF(M643&lt;90,"0-90",IF(M643&lt;180,"90-180",IF(M643&lt;365,"180-365","above 1 year")))</f>
        <v>0-90</v>
      </c>
    </row>
    <row r="644" spans="1:19" x14ac:dyDescent="0.25">
      <c r="A644" s="6" t="s">
        <v>679</v>
      </c>
      <c r="B644" s="6" t="s">
        <v>14</v>
      </c>
      <c r="C644" s="6" t="s">
        <v>15</v>
      </c>
      <c r="D644" s="6" t="s">
        <v>208</v>
      </c>
      <c r="E644" s="6" t="s">
        <v>209</v>
      </c>
      <c r="F644" s="6" t="s">
        <v>210</v>
      </c>
      <c r="G644" s="6" t="s">
        <v>142</v>
      </c>
      <c r="H644" s="11">
        <v>46158</v>
      </c>
      <c r="I644" s="11">
        <v>46171</v>
      </c>
      <c r="J644" s="6" t="s">
        <v>20</v>
      </c>
      <c r="K644" s="6" t="s">
        <v>21</v>
      </c>
      <c r="L644" s="6" t="s">
        <v>37</v>
      </c>
      <c r="M644" s="6">
        <v>13</v>
      </c>
      <c r="N644">
        <f t="shared" si="60"/>
        <v>1</v>
      </c>
      <c r="O644" t="str">
        <f t="shared" si="61"/>
        <v>05-2026</v>
      </c>
      <c r="P644" t="str">
        <f t="shared" si="62"/>
        <v>05-2026</v>
      </c>
      <c r="Q644">
        <f t="shared" si="63"/>
        <v>1</v>
      </c>
      <c r="R644">
        <f t="shared" si="64"/>
        <v>0</v>
      </c>
      <c r="S644" t="str">
        <f t="shared" si="65"/>
        <v>0-90</v>
      </c>
    </row>
    <row r="645" spans="1:19" x14ac:dyDescent="0.25">
      <c r="A645" s="6" t="s">
        <v>680</v>
      </c>
      <c r="B645" s="6" t="s">
        <v>14</v>
      </c>
      <c r="C645" s="6" t="s">
        <v>15</v>
      </c>
      <c r="D645" s="6" t="s">
        <v>208</v>
      </c>
      <c r="E645" s="6" t="s">
        <v>209</v>
      </c>
      <c r="F645" s="6" t="s">
        <v>210</v>
      </c>
      <c r="G645" s="6" t="s">
        <v>142</v>
      </c>
      <c r="H645" s="11">
        <v>45916</v>
      </c>
      <c r="I645" s="11">
        <v>46151</v>
      </c>
      <c r="J645" s="6" t="s">
        <v>20</v>
      </c>
      <c r="K645" s="6" t="s">
        <v>24</v>
      </c>
      <c r="L645" s="6" t="s">
        <v>55</v>
      </c>
      <c r="M645" s="6">
        <v>235</v>
      </c>
      <c r="N645">
        <f t="shared" si="60"/>
        <v>1</v>
      </c>
      <c r="O645" t="str">
        <f t="shared" si="61"/>
        <v>09-2025</v>
      </c>
      <c r="P645" t="str">
        <f t="shared" si="62"/>
        <v>05-2026</v>
      </c>
      <c r="Q645">
        <f t="shared" si="63"/>
        <v>0</v>
      </c>
      <c r="R645">
        <f t="shared" si="64"/>
        <v>1</v>
      </c>
      <c r="S645" t="str">
        <f t="shared" si="65"/>
        <v>180-365</v>
      </c>
    </row>
    <row r="646" spans="1:19" x14ac:dyDescent="0.25">
      <c r="A646" s="6" t="s">
        <v>681</v>
      </c>
      <c r="B646" s="6" t="s">
        <v>14</v>
      </c>
      <c r="C646" s="6" t="s">
        <v>15</v>
      </c>
      <c r="D646" s="6" t="s">
        <v>208</v>
      </c>
      <c r="E646" s="6" t="s">
        <v>209</v>
      </c>
      <c r="F646" s="6" t="s">
        <v>210</v>
      </c>
      <c r="G646" s="6" t="s">
        <v>142</v>
      </c>
      <c r="H646" s="11">
        <v>45705</v>
      </c>
      <c r="I646" s="11"/>
      <c r="J646" s="6" t="s">
        <v>27</v>
      </c>
      <c r="K646" s="6"/>
      <c r="L646" s="6"/>
      <c r="M646" s="6">
        <v>498</v>
      </c>
      <c r="N646">
        <f t="shared" si="60"/>
        <v>0</v>
      </c>
      <c r="O646" t="str">
        <f t="shared" si="61"/>
        <v>02-2025</v>
      </c>
      <c r="P646" t="str">
        <f t="shared" si="62"/>
        <v/>
      </c>
      <c r="Q646">
        <f t="shared" si="63"/>
        <v>0</v>
      </c>
      <c r="R646">
        <f t="shared" si="64"/>
        <v>0</v>
      </c>
      <c r="S646" t="str">
        <f t="shared" si="65"/>
        <v>above 1 year</v>
      </c>
    </row>
    <row r="647" spans="1:19" x14ac:dyDescent="0.25">
      <c r="A647" s="6" t="s">
        <v>682</v>
      </c>
      <c r="B647" s="6" t="s">
        <v>14</v>
      </c>
      <c r="C647" s="6" t="s">
        <v>15</v>
      </c>
      <c r="D647" s="6" t="s">
        <v>208</v>
      </c>
      <c r="E647" s="6" t="s">
        <v>209</v>
      </c>
      <c r="F647" s="6" t="s">
        <v>210</v>
      </c>
      <c r="G647" s="6" t="s">
        <v>142</v>
      </c>
      <c r="H647" s="11">
        <v>45705</v>
      </c>
      <c r="I647" s="11"/>
      <c r="J647" s="6" t="s">
        <v>27</v>
      </c>
      <c r="K647" s="6"/>
      <c r="L647" s="6"/>
      <c r="M647" s="6">
        <v>498</v>
      </c>
      <c r="N647">
        <f t="shared" si="60"/>
        <v>0</v>
      </c>
      <c r="O647" t="str">
        <f t="shared" si="61"/>
        <v>02-2025</v>
      </c>
      <c r="P647" t="str">
        <f t="shared" si="62"/>
        <v/>
      </c>
      <c r="Q647">
        <f t="shared" si="63"/>
        <v>0</v>
      </c>
      <c r="R647">
        <f t="shared" si="64"/>
        <v>0</v>
      </c>
      <c r="S647" t="str">
        <f t="shared" si="65"/>
        <v>above 1 year</v>
      </c>
    </row>
    <row r="648" spans="1:19" x14ac:dyDescent="0.25">
      <c r="A648" s="6" t="s">
        <v>683</v>
      </c>
      <c r="B648" s="6" t="s">
        <v>14</v>
      </c>
      <c r="C648" s="6" t="s">
        <v>15</v>
      </c>
      <c r="D648" s="6" t="s">
        <v>208</v>
      </c>
      <c r="E648" s="6" t="s">
        <v>209</v>
      </c>
      <c r="F648" s="6" t="s">
        <v>210</v>
      </c>
      <c r="G648" s="6" t="s">
        <v>142</v>
      </c>
      <c r="H648" s="11">
        <v>46070</v>
      </c>
      <c r="I648" s="11">
        <v>46135</v>
      </c>
      <c r="J648" s="6" t="s">
        <v>20</v>
      </c>
      <c r="K648" s="6" t="s">
        <v>21</v>
      </c>
      <c r="L648" s="6" t="s">
        <v>22</v>
      </c>
      <c r="M648" s="6">
        <v>65</v>
      </c>
      <c r="N648">
        <f t="shared" si="60"/>
        <v>1</v>
      </c>
      <c r="O648" t="str">
        <f t="shared" si="61"/>
        <v>02-2026</v>
      </c>
      <c r="P648" t="str">
        <f t="shared" si="62"/>
        <v>04-2026</v>
      </c>
      <c r="Q648">
        <f t="shared" si="63"/>
        <v>1</v>
      </c>
      <c r="R648">
        <f t="shared" si="64"/>
        <v>0</v>
      </c>
      <c r="S648" t="str">
        <f t="shared" si="65"/>
        <v>0-90</v>
      </c>
    </row>
    <row r="649" spans="1:19" x14ac:dyDescent="0.25">
      <c r="A649" s="6" t="s">
        <v>684</v>
      </c>
      <c r="B649" s="6" t="s">
        <v>14</v>
      </c>
      <c r="C649" s="6" t="s">
        <v>15</v>
      </c>
      <c r="D649" s="6" t="s">
        <v>208</v>
      </c>
      <c r="E649" s="6" t="s">
        <v>209</v>
      </c>
      <c r="F649" s="6" t="s">
        <v>210</v>
      </c>
      <c r="G649" s="6" t="s">
        <v>142</v>
      </c>
      <c r="H649" s="11">
        <v>45674</v>
      </c>
      <c r="I649" s="11">
        <v>46195</v>
      </c>
      <c r="J649" s="6" t="s">
        <v>20</v>
      </c>
      <c r="K649" s="6" t="s">
        <v>24</v>
      </c>
      <c r="L649" s="6" t="s">
        <v>55</v>
      </c>
      <c r="M649" s="6">
        <v>521</v>
      </c>
      <c r="N649">
        <f t="shared" si="60"/>
        <v>1</v>
      </c>
      <c r="O649" t="str">
        <f t="shared" si="61"/>
        <v>01-2025</v>
      </c>
      <c r="P649" t="str">
        <f t="shared" si="62"/>
        <v>06-2026</v>
      </c>
      <c r="Q649">
        <f t="shared" si="63"/>
        <v>0</v>
      </c>
      <c r="R649">
        <f t="shared" si="64"/>
        <v>1</v>
      </c>
      <c r="S649" t="str">
        <f t="shared" si="65"/>
        <v>above 1 year</v>
      </c>
    </row>
    <row r="650" spans="1:19" x14ac:dyDescent="0.25">
      <c r="A650" s="6" t="s">
        <v>685</v>
      </c>
      <c r="B650" s="6" t="s">
        <v>14</v>
      </c>
      <c r="C650" s="6" t="s">
        <v>15</v>
      </c>
      <c r="D650" s="6" t="s">
        <v>208</v>
      </c>
      <c r="E650" s="6" t="s">
        <v>209</v>
      </c>
      <c r="F650" s="6" t="s">
        <v>210</v>
      </c>
      <c r="G650" s="6" t="s">
        <v>142</v>
      </c>
      <c r="H650" s="11">
        <v>46159</v>
      </c>
      <c r="I650" s="11">
        <v>46172</v>
      </c>
      <c r="J650" s="6" t="s">
        <v>20</v>
      </c>
      <c r="K650" s="6" t="s">
        <v>21</v>
      </c>
      <c r="L650" s="6" t="s">
        <v>50</v>
      </c>
      <c r="M650" s="6">
        <v>13</v>
      </c>
      <c r="N650">
        <f t="shared" si="60"/>
        <v>1</v>
      </c>
      <c r="O650" t="str">
        <f t="shared" si="61"/>
        <v>05-2026</v>
      </c>
      <c r="P650" t="str">
        <f t="shared" si="62"/>
        <v>05-2026</v>
      </c>
      <c r="Q650">
        <f t="shared" si="63"/>
        <v>1</v>
      </c>
      <c r="R650">
        <f t="shared" si="64"/>
        <v>0</v>
      </c>
      <c r="S650" t="str">
        <f t="shared" si="65"/>
        <v>0-90</v>
      </c>
    </row>
    <row r="651" spans="1:19" x14ac:dyDescent="0.25">
      <c r="A651" s="6" t="s">
        <v>686</v>
      </c>
      <c r="B651" s="6" t="s">
        <v>14</v>
      </c>
      <c r="C651" s="6" t="s">
        <v>15</v>
      </c>
      <c r="D651" s="6" t="s">
        <v>208</v>
      </c>
      <c r="E651" s="6" t="s">
        <v>209</v>
      </c>
      <c r="F651" s="6" t="s">
        <v>210</v>
      </c>
      <c r="G651" s="6" t="s">
        <v>142</v>
      </c>
      <c r="H651" s="11">
        <v>45887</v>
      </c>
      <c r="I651" s="11"/>
      <c r="J651" s="6" t="s">
        <v>27</v>
      </c>
      <c r="K651" s="6"/>
      <c r="L651" s="6"/>
      <c r="M651" s="6">
        <v>316</v>
      </c>
      <c r="N651">
        <f t="shared" si="60"/>
        <v>0</v>
      </c>
      <c r="O651" t="str">
        <f t="shared" si="61"/>
        <v>08-2025</v>
      </c>
      <c r="P651" t="str">
        <f t="shared" si="62"/>
        <v/>
      </c>
      <c r="Q651">
        <f t="shared" si="63"/>
        <v>0</v>
      </c>
      <c r="R651">
        <f t="shared" si="64"/>
        <v>0</v>
      </c>
      <c r="S651" t="str">
        <f t="shared" si="65"/>
        <v>180-365</v>
      </c>
    </row>
    <row r="652" spans="1:19" x14ac:dyDescent="0.25">
      <c r="A652" s="6" t="s">
        <v>687</v>
      </c>
      <c r="B652" s="6" t="s">
        <v>14</v>
      </c>
      <c r="C652" s="6" t="s">
        <v>15</v>
      </c>
      <c r="D652" s="6" t="s">
        <v>208</v>
      </c>
      <c r="E652" s="6" t="s">
        <v>209</v>
      </c>
      <c r="F652" s="6" t="s">
        <v>210</v>
      </c>
      <c r="G652" s="6" t="s">
        <v>142</v>
      </c>
      <c r="H652" s="11">
        <v>46071</v>
      </c>
      <c r="I652" s="11"/>
      <c r="J652" s="6" t="s">
        <v>27</v>
      </c>
      <c r="K652" s="6"/>
      <c r="L652" s="6"/>
      <c r="M652" s="6">
        <v>132</v>
      </c>
      <c r="N652">
        <f t="shared" si="60"/>
        <v>0</v>
      </c>
      <c r="O652" t="str">
        <f t="shared" si="61"/>
        <v>02-2026</v>
      </c>
      <c r="P652" t="str">
        <f t="shared" si="62"/>
        <v/>
      </c>
      <c r="Q652">
        <f t="shared" si="63"/>
        <v>0</v>
      </c>
      <c r="R652">
        <f t="shared" si="64"/>
        <v>0</v>
      </c>
      <c r="S652" t="str">
        <f t="shared" si="65"/>
        <v>90-180</v>
      </c>
    </row>
    <row r="653" spans="1:19" x14ac:dyDescent="0.25">
      <c r="A653" s="6" t="s">
        <v>688</v>
      </c>
      <c r="B653" s="6" t="s">
        <v>14</v>
      </c>
      <c r="C653" s="6" t="s">
        <v>15</v>
      </c>
      <c r="D653" s="6" t="s">
        <v>208</v>
      </c>
      <c r="E653" s="6" t="s">
        <v>209</v>
      </c>
      <c r="F653" s="6" t="s">
        <v>210</v>
      </c>
      <c r="G653" s="6" t="s">
        <v>142</v>
      </c>
      <c r="H653" s="11">
        <v>46191</v>
      </c>
      <c r="I653" s="11">
        <v>46191</v>
      </c>
      <c r="J653" s="6" t="s">
        <v>20</v>
      </c>
      <c r="K653" s="6" t="s">
        <v>21</v>
      </c>
      <c r="L653" s="6" t="s">
        <v>61</v>
      </c>
      <c r="M653" s="6">
        <v>0</v>
      </c>
      <c r="N653">
        <f t="shared" si="60"/>
        <v>1</v>
      </c>
      <c r="O653" t="str">
        <f t="shared" si="61"/>
        <v>06-2026</v>
      </c>
      <c r="P653" t="str">
        <f t="shared" si="62"/>
        <v>06-2026</v>
      </c>
      <c r="Q653">
        <f t="shared" si="63"/>
        <v>1</v>
      </c>
      <c r="R653">
        <f t="shared" si="64"/>
        <v>0</v>
      </c>
      <c r="S653" t="str">
        <f t="shared" si="65"/>
        <v>0-90</v>
      </c>
    </row>
    <row r="654" spans="1:19" x14ac:dyDescent="0.25">
      <c r="A654" s="6" t="s">
        <v>689</v>
      </c>
      <c r="B654" s="6" t="s">
        <v>14</v>
      </c>
      <c r="C654" s="6" t="s">
        <v>15</v>
      </c>
      <c r="D654" s="6" t="s">
        <v>208</v>
      </c>
      <c r="E654" s="6" t="s">
        <v>209</v>
      </c>
      <c r="F654" s="6" t="s">
        <v>210</v>
      </c>
      <c r="G654" s="6" t="s">
        <v>142</v>
      </c>
      <c r="H654" s="11">
        <v>46191</v>
      </c>
      <c r="I654" s="11"/>
      <c r="J654" s="6" t="s">
        <v>27</v>
      </c>
      <c r="K654" s="6"/>
      <c r="L654" s="6"/>
      <c r="M654" s="6">
        <v>12</v>
      </c>
      <c r="N654">
        <f t="shared" si="60"/>
        <v>0</v>
      </c>
      <c r="O654" t="str">
        <f t="shared" si="61"/>
        <v>06-2026</v>
      </c>
      <c r="P654" t="str">
        <f t="shared" si="62"/>
        <v/>
      </c>
      <c r="Q654">
        <f t="shared" si="63"/>
        <v>0</v>
      </c>
      <c r="R654">
        <f t="shared" si="64"/>
        <v>0</v>
      </c>
      <c r="S654" t="str">
        <f t="shared" si="65"/>
        <v>0-90</v>
      </c>
    </row>
    <row r="655" spans="1:19" x14ac:dyDescent="0.25">
      <c r="A655" s="6" t="s">
        <v>690</v>
      </c>
      <c r="B655" s="6" t="s">
        <v>14</v>
      </c>
      <c r="C655" s="6" t="s">
        <v>15</v>
      </c>
      <c r="D655" s="6" t="s">
        <v>208</v>
      </c>
      <c r="E655" s="6" t="s">
        <v>209</v>
      </c>
      <c r="F655" s="6" t="s">
        <v>210</v>
      </c>
      <c r="G655" s="6" t="s">
        <v>142</v>
      </c>
      <c r="H655" s="11">
        <v>46191</v>
      </c>
      <c r="I655" s="11">
        <v>46191</v>
      </c>
      <c r="J655" s="6" t="s">
        <v>20</v>
      </c>
      <c r="K655" s="6" t="s">
        <v>21</v>
      </c>
      <c r="L655" s="6" t="s">
        <v>61</v>
      </c>
      <c r="M655" s="6">
        <v>0</v>
      </c>
      <c r="N655">
        <f t="shared" si="60"/>
        <v>1</v>
      </c>
      <c r="O655" t="str">
        <f t="shared" si="61"/>
        <v>06-2026</v>
      </c>
      <c r="P655" t="str">
        <f t="shared" si="62"/>
        <v>06-2026</v>
      </c>
      <c r="Q655">
        <f t="shared" si="63"/>
        <v>1</v>
      </c>
      <c r="R655">
        <f t="shared" si="64"/>
        <v>0</v>
      </c>
      <c r="S655" t="str">
        <f t="shared" si="65"/>
        <v>0-90</v>
      </c>
    </row>
    <row r="656" spans="1:19" x14ac:dyDescent="0.25">
      <c r="A656" s="6" t="s">
        <v>691</v>
      </c>
      <c r="B656" s="6" t="s">
        <v>14</v>
      </c>
      <c r="C656" s="6" t="s">
        <v>15</v>
      </c>
      <c r="D656" s="6" t="s">
        <v>208</v>
      </c>
      <c r="E656" s="6" t="s">
        <v>209</v>
      </c>
      <c r="F656" s="6" t="s">
        <v>210</v>
      </c>
      <c r="G656" s="6" t="s">
        <v>142</v>
      </c>
      <c r="H656" s="11">
        <v>46191</v>
      </c>
      <c r="I656" s="11">
        <v>46193</v>
      </c>
      <c r="J656" s="6" t="s">
        <v>20</v>
      </c>
      <c r="K656" s="6" t="s">
        <v>21</v>
      </c>
      <c r="L656" s="6" t="s">
        <v>33</v>
      </c>
      <c r="M656" s="6">
        <v>2</v>
      </c>
      <c r="N656">
        <f t="shared" si="60"/>
        <v>1</v>
      </c>
      <c r="O656" t="str">
        <f t="shared" si="61"/>
        <v>06-2026</v>
      </c>
      <c r="P656" t="str">
        <f t="shared" si="62"/>
        <v>06-2026</v>
      </c>
      <c r="Q656">
        <f t="shared" si="63"/>
        <v>1</v>
      </c>
      <c r="R656">
        <f t="shared" si="64"/>
        <v>0</v>
      </c>
      <c r="S656" t="str">
        <f t="shared" si="65"/>
        <v>0-90</v>
      </c>
    </row>
    <row r="657" spans="1:19" x14ac:dyDescent="0.25">
      <c r="A657" s="6" t="s">
        <v>692</v>
      </c>
      <c r="B657" s="6" t="s">
        <v>14</v>
      </c>
      <c r="C657" s="6" t="s">
        <v>15</v>
      </c>
      <c r="D657" s="6" t="s">
        <v>208</v>
      </c>
      <c r="E657" s="6" t="s">
        <v>209</v>
      </c>
      <c r="F657" s="6" t="s">
        <v>210</v>
      </c>
      <c r="G657" s="6" t="s">
        <v>142</v>
      </c>
      <c r="H657" s="11">
        <v>46099</v>
      </c>
      <c r="I657" s="11">
        <v>46164</v>
      </c>
      <c r="J657" s="6" t="s">
        <v>20</v>
      </c>
      <c r="K657" s="6" t="s">
        <v>24</v>
      </c>
      <c r="L657" s="6" t="s">
        <v>44</v>
      </c>
      <c r="M657" s="6">
        <v>65</v>
      </c>
      <c r="N657">
        <f t="shared" si="60"/>
        <v>1</v>
      </c>
      <c r="O657" t="str">
        <f t="shared" si="61"/>
        <v>03-2026</v>
      </c>
      <c r="P657" t="str">
        <f t="shared" si="62"/>
        <v>05-2026</v>
      </c>
      <c r="Q657">
        <f t="shared" si="63"/>
        <v>0</v>
      </c>
      <c r="R657">
        <f t="shared" si="64"/>
        <v>1</v>
      </c>
      <c r="S657" t="str">
        <f t="shared" si="65"/>
        <v>0-90</v>
      </c>
    </row>
    <row r="658" spans="1:19" x14ac:dyDescent="0.25">
      <c r="A658" s="6" t="s">
        <v>693</v>
      </c>
      <c r="B658" s="6" t="s">
        <v>14</v>
      </c>
      <c r="C658" s="6" t="s">
        <v>15</v>
      </c>
      <c r="D658" s="6" t="s">
        <v>208</v>
      </c>
      <c r="E658" s="6" t="s">
        <v>209</v>
      </c>
      <c r="F658" s="6" t="s">
        <v>210</v>
      </c>
      <c r="G658" s="6" t="s">
        <v>142</v>
      </c>
      <c r="H658" s="11">
        <v>46160</v>
      </c>
      <c r="I658" s="11"/>
      <c r="J658" s="6" t="s">
        <v>27</v>
      </c>
      <c r="K658" s="6"/>
      <c r="L658" s="6"/>
      <c r="M658" s="6">
        <v>43</v>
      </c>
      <c r="N658">
        <f t="shared" si="60"/>
        <v>0</v>
      </c>
      <c r="O658" t="str">
        <f t="shared" si="61"/>
        <v>05-2026</v>
      </c>
      <c r="P658" t="str">
        <f t="shared" si="62"/>
        <v/>
      </c>
      <c r="Q658">
        <f t="shared" si="63"/>
        <v>0</v>
      </c>
      <c r="R658">
        <f t="shared" si="64"/>
        <v>0</v>
      </c>
      <c r="S658" t="str">
        <f t="shared" si="65"/>
        <v>0-90</v>
      </c>
    </row>
    <row r="659" spans="1:19" x14ac:dyDescent="0.25">
      <c r="A659" s="6" t="s">
        <v>694</v>
      </c>
      <c r="B659" s="6" t="s">
        <v>14</v>
      </c>
      <c r="C659" s="6" t="s">
        <v>15</v>
      </c>
      <c r="D659" s="6" t="s">
        <v>208</v>
      </c>
      <c r="E659" s="6" t="s">
        <v>209</v>
      </c>
      <c r="F659" s="6" t="s">
        <v>210</v>
      </c>
      <c r="G659" s="6" t="s">
        <v>142</v>
      </c>
      <c r="H659" s="11">
        <v>45979</v>
      </c>
      <c r="I659" s="11"/>
      <c r="J659" s="6" t="s">
        <v>27</v>
      </c>
      <c r="K659" s="6"/>
      <c r="L659" s="6"/>
      <c r="M659" s="6">
        <v>224</v>
      </c>
      <c r="N659">
        <f t="shared" si="60"/>
        <v>0</v>
      </c>
      <c r="O659" t="str">
        <f t="shared" si="61"/>
        <v>11-2025</v>
      </c>
      <c r="P659" t="str">
        <f t="shared" si="62"/>
        <v/>
      </c>
      <c r="Q659">
        <f t="shared" si="63"/>
        <v>0</v>
      </c>
      <c r="R659">
        <f t="shared" si="64"/>
        <v>0</v>
      </c>
      <c r="S659" t="str">
        <f t="shared" si="65"/>
        <v>180-365</v>
      </c>
    </row>
    <row r="660" spans="1:19" x14ac:dyDescent="0.25">
      <c r="A660" s="6" t="s">
        <v>695</v>
      </c>
      <c r="B660" s="6" t="s">
        <v>14</v>
      </c>
      <c r="C660" s="6" t="s">
        <v>15</v>
      </c>
      <c r="D660" s="6" t="s">
        <v>208</v>
      </c>
      <c r="E660" s="6" t="s">
        <v>209</v>
      </c>
      <c r="F660" s="6" t="s">
        <v>210</v>
      </c>
      <c r="G660" s="6" t="s">
        <v>142</v>
      </c>
      <c r="H660" s="11">
        <v>46131</v>
      </c>
      <c r="I660" s="11">
        <v>46137</v>
      </c>
      <c r="J660" s="6" t="s">
        <v>20</v>
      </c>
      <c r="K660" s="6" t="s">
        <v>21</v>
      </c>
      <c r="L660" s="6" t="s">
        <v>33</v>
      </c>
      <c r="M660" s="6">
        <v>6</v>
      </c>
      <c r="N660">
        <f t="shared" si="60"/>
        <v>1</v>
      </c>
      <c r="O660" t="str">
        <f t="shared" si="61"/>
        <v>04-2026</v>
      </c>
      <c r="P660" t="str">
        <f t="shared" si="62"/>
        <v>04-2026</v>
      </c>
      <c r="Q660">
        <f t="shared" si="63"/>
        <v>1</v>
      </c>
      <c r="R660">
        <f t="shared" si="64"/>
        <v>0</v>
      </c>
      <c r="S660" t="str">
        <f t="shared" si="65"/>
        <v>0-90</v>
      </c>
    </row>
    <row r="661" spans="1:19" x14ac:dyDescent="0.25">
      <c r="A661" s="6" t="s">
        <v>696</v>
      </c>
      <c r="B661" s="6" t="s">
        <v>14</v>
      </c>
      <c r="C661" s="6" t="s">
        <v>15</v>
      </c>
      <c r="D661" s="6" t="s">
        <v>208</v>
      </c>
      <c r="E661" s="6" t="s">
        <v>209</v>
      </c>
      <c r="F661" s="6" t="s">
        <v>210</v>
      </c>
      <c r="G661" s="6" t="s">
        <v>142</v>
      </c>
      <c r="H661" s="11">
        <v>45707</v>
      </c>
      <c r="I661" s="11">
        <v>46131</v>
      </c>
      <c r="J661" s="6" t="s">
        <v>20</v>
      </c>
      <c r="K661" s="6" t="s">
        <v>24</v>
      </c>
      <c r="L661" s="6" t="s">
        <v>25</v>
      </c>
      <c r="M661" s="6">
        <v>424</v>
      </c>
      <c r="N661">
        <f t="shared" si="60"/>
        <v>1</v>
      </c>
      <c r="O661" t="str">
        <f t="shared" si="61"/>
        <v>02-2025</v>
      </c>
      <c r="P661" t="str">
        <f t="shared" si="62"/>
        <v>04-2026</v>
      </c>
      <c r="Q661">
        <f t="shared" si="63"/>
        <v>0</v>
      </c>
      <c r="R661">
        <f t="shared" si="64"/>
        <v>1</v>
      </c>
      <c r="S661" t="str">
        <f t="shared" si="65"/>
        <v>above 1 year</v>
      </c>
    </row>
    <row r="662" spans="1:19" x14ac:dyDescent="0.25">
      <c r="A662" s="6" t="s">
        <v>697</v>
      </c>
      <c r="B662" s="6" t="s">
        <v>14</v>
      </c>
      <c r="C662" s="6" t="s">
        <v>15</v>
      </c>
      <c r="D662" s="6" t="s">
        <v>208</v>
      </c>
      <c r="E662" s="6" t="s">
        <v>209</v>
      </c>
      <c r="F662" s="6" t="s">
        <v>210</v>
      </c>
      <c r="G662" s="6" t="s">
        <v>142</v>
      </c>
      <c r="H662" s="11">
        <v>46072</v>
      </c>
      <c r="I662" s="11"/>
      <c r="J662" s="6" t="s">
        <v>27</v>
      </c>
      <c r="K662" s="6"/>
      <c r="L662" s="6"/>
      <c r="M662" s="6">
        <v>131</v>
      </c>
      <c r="N662">
        <f t="shared" si="60"/>
        <v>0</v>
      </c>
      <c r="O662" t="str">
        <f t="shared" si="61"/>
        <v>02-2026</v>
      </c>
      <c r="P662" t="str">
        <f t="shared" si="62"/>
        <v/>
      </c>
      <c r="Q662">
        <f t="shared" si="63"/>
        <v>0</v>
      </c>
      <c r="R662">
        <f t="shared" si="64"/>
        <v>0</v>
      </c>
      <c r="S662" t="str">
        <f t="shared" si="65"/>
        <v>90-180</v>
      </c>
    </row>
    <row r="663" spans="1:19" x14ac:dyDescent="0.25">
      <c r="A663" s="6" t="s">
        <v>698</v>
      </c>
      <c r="B663" s="6" t="s">
        <v>14</v>
      </c>
      <c r="C663" s="6" t="s">
        <v>15</v>
      </c>
      <c r="D663" s="6" t="s">
        <v>208</v>
      </c>
      <c r="E663" s="6" t="s">
        <v>209</v>
      </c>
      <c r="F663" s="6" t="s">
        <v>210</v>
      </c>
      <c r="G663" s="6" t="s">
        <v>142</v>
      </c>
      <c r="H663" s="11">
        <v>46192</v>
      </c>
      <c r="I663" s="11"/>
      <c r="J663" s="6" t="s">
        <v>27</v>
      </c>
      <c r="K663" s="6"/>
      <c r="L663" s="6"/>
      <c r="M663" s="6">
        <v>11</v>
      </c>
      <c r="N663">
        <f t="shared" si="60"/>
        <v>0</v>
      </c>
      <c r="O663" t="str">
        <f t="shared" si="61"/>
        <v>06-2026</v>
      </c>
      <c r="P663" t="str">
        <f t="shared" si="62"/>
        <v/>
      </c>
      <c r="Q663">
        <f t="shared" si="63"/>
        <v>0</v>
      </c>
      <c r="R663">
        <f t="shared" si="64"/>
        <v>0</v>
      </c>
      <c r="S663" t="str">
        <f t="shared" si="65"/>
        <v>0-90</v>
      </c>
    </row>
    <row r="664" spans="1:19" x14ac:dyDescent="0.25">
      <c r="A664" s="6" t="s">
        <v>699</v>
      </c>
      <c r="B664" s="6" t="s">
        <v>14</v>
      </c>
      <c r="C664" s="6" t="s">
        <v>15</v>
      </c>
      <c r="D664" s="6" t="s">
        <v>208</v>
      </c>
      <c r="E664" s="6" t="s">
        <v>209</v>
      </c>
      <c r="F664" s="6" t="s">
        <v>210</v>
      </c>
      <c r="G664" s="6" t="s">
        <v>142</v>
      </c>
      <c r="H664" s="11">
        <v>46161</v>
      </c>
      <c r="I664" s="11"/>
      <c r="J664" s="6" t="s">
        <v>27</v>
      </c>
      <c r="K664" s="6"/>
      <c r="L664" s="6"/>
      <c r="M664" s="6">
        <v>42</v>
      </c>
      <c r="N664">
        <f t="shared" si="60"/>
        <v>0</v>
      </c>
      <c r="O664" t="str">
        <f t="shared" si="61"/>
        <v>05-2026</v>
      </c>
      <c r="P664" t="str">
        <f t="shared" si="62"/>
        <v/>
      </c>
      <c r="Q664">
        <f t="shared" si="63"/>
        <v>0</v>
      </c>
      <c r="R664">
        <f t="shared" si="64"/>
        <v>0</v>
      </c>
      <c r="S664" t="str">
        <f t="shared" si="65"/>
        <v>0-90</v>
      </c>
    </row>
    <row r="665" spans="1:19" x14ac:dyDescent="0.25">
      <c r="A665" s="6" t="s">
        <v>700</v>
      </c>
      <c r="B665" s="6" t="s">
        <v>14</v>
      </c>
      <c r="C665" s="6" t="s">
        <v>15</v>
      </c>
      <c r="D665" s="6" t="s">
        <v>208</v>
      </c>
      <c r="E665" s="6" t="s">
        <v>209</v>
      </c>
      <c r="F665" s="6" t="s">
        <v>210</v>
      </c>
      <c r="G665" s="6" t="s">
        <v>142</v>
      </c>
      <c r="H665" s="11">
        <v>46161</v>
      </c>
      <c r="I665" s="11">
        <v>46161</v>
      </c>
      <c r="J665" s="6" t="s">
        <v>20</v>
      </c>
      <c r="K665" s="6" t="s">
        <v>21</v>
      </c>
      <c r="L665" s="6" t="s">
        <v>37</v>
      </c>
      <c r="M665" s="6">
        <v>0</v>
      </c>
      <c r="N665">
        <f t="shared" si="60"/>
        <v>1</v>
      </c>
      <c r="O665" t="str">
        <f t="shared" si="61"/>
        <v>05-2026</v>
      </c>
      <c r="P665" t="str">
        <f t="shared" si="62"/>
        <v>05-2026</v>
      </c>
      <c r="Q665">
        <f t="shared" si="63"/>
        <v>1</v>
      </c>
      <c r="R665">
        <f t="shared" si="64"/>
        <v>0</v>
      </c>
      <c r="S665" t="str">
        <f t="shared" si="65"/>
        <v>0-90</v>
      </c>
    </row>
    <row r="666" spans="1:19" x14ac:dyDescent="0.25">
      <c r="A666" s="6" t="s">
        <v>701</v>
      </c>
      <c r="B666" s="6" t="s">
        <v>14</v>
      </c>
      <c r="C666" s="6" t="s">
        <v>15</v>
      </c>
      <c r="D666" s="6" t="s">
        <v>208</v>
      </c>
      <c r="E666" s="6" t="s">
        <v>209</v>
      </c>
      <c r="F666" s="6" t="s">
        <v>210</v>
      </c>
      <c r="G666" s="6" t="s">
        <v>142</v>
      </c>
      <c r="H666" s="11">
        <v>45768</v>
      </c>
      <c r="I666" s="11"/>
      <c r="J666" s="6" t="s">
        <v>27</v>
      </c>
      <c r="K666" s="6"/>
      <c r="L666" s="6"/>
      <c r="M666" s="6">
        <v>435</v>
      </c>
      <c r="N666">
        <f t="shared" si="60"/>
        <v>0</v>
      </c>
      <c r="O666" t="str">
        <f t="shared" si="61"/>
        <v>04-2025</v>
      </c>
      <c r="P666" t="str">
        <f t="shared" si="62"/>
        <v/>
      </c>
      <c r="Q666">
        <f t="shared" si="63"/>
        <v>0</v>
      </c>
      <c r="R666">
        <f t="shared" si="64"/>
        <v>0</v>
      </c>
      <c r="S666" t="str">
        <f t="shared" si="65"/>
        <v>above 1 year</v>
      </c>
    </row>
    <row r="667" spans="1:19" x14ac:dyDescent="0.25">
      <c r="A667" s="6" t="s">
        <v>702</v>
      </c>
      <c r="B667" s="6" t="s">
        <v>14</v>
      </c>
      <c r="C667" s="6" t="s">
        <v>15</v>
      </c>
      <c r="D667" s="6" t="s">
        <v>208</v>
      </c>
      <c r="E667" s="6" t="s">
        <v>209</v>
      </c>
      <c r="F667" s="6" t="s">
        <v>210</v>
      </c>
      <c r="G667" s="6" t="s">
        <v>142</v>
      </c>
      <c r="H667" s="11">
        <v>46133</v>
      </c>
      <c r="I667" s="11">
        <v>46133</v>
      </c>
      <c r="J667" s="6" t="s">
        <v>20</v>
      </c>
      <c r="K667" s="6" t="s">
        <v>21</v>
      </c>
      <c r="L667" s="6" t="s">
        <v>33</v>
      </c>
      <c r="M667" s="6">
        <v>0</v>
      </c>
      <c r="N667">
        <f t="shared" si="60"/>
        <v>1</v>
      </c>
      <c r="O667" t="str">
        <f t="shared" si="61"/>
        <v>04-2026</v>
      </c>
      <c r="P667" t="str">
        <f t="shared" si="62"/>
        <v>04-2026</v>
      </c>
      <c r="Q667">
        <f t="shared" si="63"/>
        <v>1</v>
      </c>
      <c r="R667">
        <f t="shared" si="64"/>
        <v>0</v>
      </c>
      <c r="S667" t="str">
        <f t="shared" si="65"/>
        <v>0-90</v>
      </c>
    </row>
    <row r="668" spans="1:19" x14ac:dyDescent="0.25">
      <c r="A668" s="6" t="s">
        <v>703</v>
      </c>
      <c r="B668" s="6" t="s">
        <v>14</v>
      </c>
      <c r="C668" s="6" t="s">
        <v>15</v>
      </c>
      <c r="D668" s="6" t="s">
        <v>208</v>
      </c>
      <c r="E668" s="6" t="s">
        <v>209</v>
      </c>
      <c r="F668" s="6" t="s">
        <v>210</v>
      </c>
      <c r="G668" s="6" t="s">
        <v>142</v>
      </c>
      <c r="H668" s="11">
        <v>46194</v>
      </c>
      <c r="I668" s="11">
        <v>46194</v>
      </c>
      <c r="J668" s="6" t="s">
        <v>20</v>
      </c>
      <c r="K668" s="6" t="s">
        <v>21</v>
      </c>
      <c r="L668" s="6" t="s">
        <v>50</v>
      </c>
      <c r="M668" s="6">
        <v>0</v>
      </c>
      <c r="N668">
        <f t="shared" si="60"/>
        <v>1</v>
      </c>
      <c r="O668" t="str">
        <f t="shared" si="61"/>
        <v>06-2026</v>
      </c>
      <c r="P668" t="str">
        <f t="shared" si="62"/>
        <v>06-2026</v>
      </c>
      <c r="Q668">
        <f t="shared" si="63"/>
        <v>1</v>
      </c>
      <c r="R668">
        <f t="shared" si="64"/>
        <v>0</v>
      </c>
      <c r="S668" t="str">
        <f t="shared" si="65"/>
        <v>0-90</v>
      </c>
    </row>
    <row r="669" spans="1:19" x14ac:dyDescent="0.25">
      <c r="A669" s="6" t="s">
        <v>704</v>
      </c>
      <c r="B669" s="6" t="s">
        <v>14</v>
      </c>
      <c r="C669" s="6" t="s">
        <v>15</v>
      </c>
      <c r="D669" s="6" t="s">
        <v>208</v>
      </c>
      <c r="E669" s="6" t="s">
        <v>209</v>
      </c>
      <c r="F669" s="6" t="s">
        <v>210</v>
      </c>
      <c r="G669" s="6" t="s">
        <v>142</v>
      </c>
      <c r="H669" s="11">
        <v>45737</v>
      </c>
      <c r="I669" s="11">
        <v>46149</v>
      </c>
      <c r="J669" s="6" t="s">
        <v>20</v>
      </c>
      <c r="K669" s="6" t="s">
        <v>24</v>
      </c>
      <c r="L669" s="6" t="s">
        <v>44</v>
      </c>
      <c r="M669" s="6">
        <v>412</v>
      </c>
      <c r="N669">
        <f t="shared" si="60"/>
        <v>1</v>
      </c>
      <c r="O669" t="str">
        <f t="shared" si="61"/>
        <v>03-2025</v>
      </c>
      <c r="P669" t="str">
        <f t="shared" si="62"/>
        <v>05-2026</v>
      </c>
      <c r="Q669">
        <f t="shared" si="63"/>
        <v>0</v>
      </c>
      <c r="R669">
        <f t="shared" si="64"/>
        <v>1</v>
      </c>
      <c r="S669" t="str">
        <f t="shared" si="65"/>
        <v>above 1 year</v>
      </c>
    </row>
    <row r="670" spans="1:19" x14ac:dyDescent="0.25">
      <c r="A670" s="6" t="s">
        <v>705</v>
      </c>
      <c r="B670" s="6" t="s">
        <v>14</v>
      </c>
      <c r="C670" s="6" t="s">
        <v>15</v>
      </c>
      <c r="D670" s="6" t="s">
        <v>208</v>
      </c>
      <c r="E670" s="6" t="s">
        <v>209</v>
      </c>
      <c r="F670" s="6" t="s">
        <v>210</v>
      </c>
      <c r="G670" s="6" t="s">
        <v>142</v>
      </c>
      <c r="H670" s="11">
        <v>45798</v>
      </c>
      <c r="I670" s="11"/>
      <c r="J670" s="6" t="s">
        <v>27</v>
      </c>
      <c r="K670" s="6"/>
      <c r="L670" s="6"/>
      <c r="M670" s="6">
        <v>405</v>
      </c>
      <c r="N670">
        <f t="shared" si="60"/>
        <v>0</v>
      </c>
      <c r="O670" t="str">
        <f t="shared" si="61"/>
        <v>05-2025</v>
      </c>
      <c r="P670" t="str">
        <f t="shared" si="62"/>
        <v/>
      </c>
      <c r="Q670">
        <f t="shared" si="63"/>
        <v>0</v>
      </c>
      <c r="R670">
        <f t="shared" si="64"/>
        <v>0</v>
      </c>
      <c r="S670" t="str">
        <f t="shared" si="65"/>
        <v>above 1 year</v>
      </c>
    </row>
    <row r="671" spans="1:19" x14ac:dyDescent="0.25">
      <c r="A671" s="6" t="s">
        <v>706</v>
      </c>
      <c r="B671" s="6" t="s">
        <v>14</v>
      </c>
      <c r="C671" s="6" t="s">
        <v>15</v>
      </c>
      <c r="D671" s="6" t="s">
        <v>208</v>
      </c>
      <c r="E671" s="6" t="s">
        <v>209</v>
      </c>
      <c r="F671" s="6" t="s">
        <v>210</v>
      </c>
      <c r="G671" s="6" t="s">
        <v>142</v>
      </c>
      <c r="H671" s="11">
        <v>45769</v>
      </c>
      <c r="I671" s="11">
        <v>46113</v>
      </c>
      <c r="J671" s="6" t="s">
        <v>20</v>
      </c>
      <c r="K671" s="6" t="s">
        <v>24</v>
      </c>
      <c r="L671" s="6" t="s">
        <v>55</v>
      </c>
      <c r="M671" s="6">
        <v>344</v>
      </c>
      <c r="N671">
        <f t="shared" si="60"/>
        <v>1</v>
      </c>
      <c r="O671" t="str">
        <f t="shared" si="61"/>
        <v>04-2025</v>
      </c>
      <c r="P671" t="str">
        <f t="shared" si="62"/>
        <v>04-2026</v>
      </c>
      <c r="Q671">
        <f t="shared" si="63"/>
        <v>0</v>
      </c>
      <c r="R671">
        <f t="shared" si="64"/>
        <v>1</v>
      </c>
      <c r="S671" t="str">
        <f t="shared" si="65"/>
        <v>180-365</v>
      </c>
    </row>
    <row r="672" spans="1:19" x14ac:dyDescent="0.25">
      <c r="A672" s="6" t="s">
        <v>707</v>
      </c>
      <c r="B672" s="6" t="s">
        <v>14</v>
      </c>
      <c r="C672" s="6" t="s">
        <v>15</v>
      </c>
      <c r="D672" s="6" t="s">
        <v>208</v>
      </c>
      <c r="E672" s="6" t="s">
        <v>209</v>
      </c>
      <c r="F672" s="6" t="s">
        <v>210</v>
      </c>
      <c r="G672" s="6" t="s">
        <v>142</v>
      </c>
      <c r="H672" s="11">
        <v>46134</v>
      </c>
      <c r="I672" s="11">
        <v>46136</v>
      </c>
      <c r="J672" s="6" t="s">
        <v>20</v>
      </c>
      <c r="K672" s="6" t="s">
        <v>21</v>
      </c>
      <c r="L672" s="6" t="s">
        <v>61</v>
      </c>
      <c r="M672" s="6">
        <v>2</v>
      </c>
      <c r="N672">
        <f t="shared" si="60"/>
        <v>1</v>
      </c>
      <c r="O672" t="str">
        <f t="shared" si="61"/>
        <v>04-2026</v>
      </c>
      <c r="P672" t="str">
        <f t="shared" si="62"/>
        <v>04-2026</v>
      </c>
      <c r="Q672">
        <f t="shared" si="63"/>
        <v>1</v>
      </c>
      <c r="R672">
        <f t="shared" si="64"/>
        <v>0</v>
      </c>
      <c r="S672" t="str">
        <f t="shared" si="65"/>
        <v>0-90</v>
      </c>
    </row>
    <row r="673" spans="1:19" x14ac:dyDescent="0.25">
      <c r="A673" s="6" t="s">
        <v>708</v>
      </c>
      <c r="B673" s="6" t="s">
        <v>14</v>
      </c>
      <c r="C673" s="6" t="s">
        <v>15</v>
      </c>
      <c r="D673" s="6" t="s">
        <v>208</v>
      </c>
      <c r="E673" s="6" t="s">
        <v>209</v>
      </c>
      <c r="F673" s="6" t="s">
        <v>210</v>
      </c>
      <c r="G673" s="6" t="s">
        <v>142</v>
      </c>
      <c r="H673" s="11">
        <v>45710</v>
      </c>
      <c r="I673" s="11"/>
      <c r="J673" s="6" t="s">
        <v>27</v>
      </c>
      <c r="K673" s="6"/>
      <c r="L673" s="6"/>
      <c r="M673" s="6">
        <v>493</v>
      </c>
      <c r="N673">
        <f t="shared" si="60"/>
        <v>0</v>
      </c>
      <c r="O673" t="str">
        <f t="shared" si="61"/>
        <v>02-2025</v>
      </c>
      <c r="P673" t="str">
        <f t="shared" si="62"/>
        <v/>
      </c>
      <c r="Q673">
        <f t="shared" si="63"/>
        <v>0</v>
      </c>
      <c r="R673">
        <f t="shared" si="64"/>
        <v>0</v>
      </c>
      <c r="S673" t="str">
        <f t="shared" si="65"/>
        <v>above 1 year</v>
      </c>
    </row>
    <row r="674" spans="1:19" x14ac:dyDescent="0.25">
      <c r="A674" s="6" t="s">
        <v>709</v>
      </c>
      <c r="B674" s="6" t="s">
        <v>14</v>
      </c>
      <c r="C674" s="6" t="s">
        <v>15</v>
      </c>
      <c r="D674" s="6" t="s">
        <v>208</v>
      </c>
      <c r="E674" s="6" t="s">
        <v>209</v>
      </c>
      <c r="F674" s="6" t="s">
        <v>210</v>
      </c>
      <c r="G674" s="6" t="s">
        <v>142</v>
      </c>
      <c r="H674" s="11">
        <v>45710</v>
      </c>
      <c r="I674" s="11">
        <v>46127</v>
      </c>
      <c r="J674" s="6" t="s">
        <v>20</v>
      </c>
      <c r="K674" s="6" t="s">
        <v>24</v>
      </c>
      <c r="L674" s="6" t="s">
        <v>41</v>
      </c>
      <c r="M674" s="6">
        <v>417</v>
      </c>
      <c r="N674">
        <f t="shared" si="60"/>
        <v>1</v>
      </c>
      <c r="O674" t="str">
        <f t="shared" si="61"/>
        <v>02-2025</v>
      </c>
      <c r="P674" t="str">
        <f t="shared" si="62"/>
        <v>04-2026</v>
      </c>
      <c r="Q674">
        <f t="shared" si="63"/>
        <v>0</v>
      </c>
      <c r="R674">
        <f t="shared" si="64"/>
        <v>1</v>
      </c>
      <c r="S674" t="str">
        <f t="shared" si="65"/>
        <v>above 1 year</v>
      </c>
    </row>
    <row r="675" spans="1:19" x14ac:dyDescent="0.25">
      <c r="A675" s="6" t="s">
        <v>710</v>
      </c>
      <c r="B675" s="6" t="s">
        <v>14</v>
      </c>
      <c r="C675" s="6" t="s">
        <v>15</v>
      </c>
      <c r="D675" s="6" t="s">
        <v>208</v>
      </c>
      <c r="E675" s="6" t="s">
        <v>209</v>
      </c>
      <c r="F675" s="6" t="s">
        <v>210</v>
      </c>
      <c r="G675" s="6" t="s">
        <v>142</v>
      </c>
      <c r="H675" s="11">
        <v>45830</v>
      </c>
      <c r="I675" s="11"/>
      <c r="J675" s="6" t="s">
        <v>27</v>
      </c>
      <c r="K675" s="6"/>
      <c r="L675" s="6"/>
      <c r="M675" s="6">
        <v>373</v>
      </c>
      <c r="N675">
        <f t="shared" si="60"/>
        <v>0</v>
      </c>
      <c r="O675" t="str">
        <f t="shared" si="61"/>
        <v>06-2025</v>
      </c>
      <c r="P675" t="str">
        <f t="shared" si="62"/>
        <v/>
      </c>
      <c r="Q675">
        <f t="shared" si="63"/>
        <v>0</v>
      </c>
      <c r="R675">
        <f t="shared" si="64"/>
        <v>0</v>
      </c>
      <c r="S675" t="str">
        <f t="shared" si="65"/>
        <v>above 1 year</v>
      </c>
    </row>
    <row r="676" spans="1:19" x14ac:dyDescent="0.25">
      <c r="A676" s="6" t="s">
        <v>711</v>
      </c>
      <c r="B676" s="6" t="s">
        <v>14</v>
      </c>
      <c r="C676" s="6" t="s">
        <v>15</v>
      </c>
      <c r="D676" s="6" t="s">
        <v>208</v>
      </c>
      <c r="E676" s="6" t="s">
        <v>209</v>
      </c>
      <c r="F676" s="6" t="s">
        <v>210</v>
      </c>
      <c r="G676" s="6" t="s">
        <v>142</v>
      </c>
      <c r="H676" s="11">
        <v>46103</v>
      </c>
      <c r="I676" s="11"/>
      <c r="J676" s="6" t="s">
        <v>27</v>
      </c>
      <c r="K676" s="6"/>
      <c r="L676" s="6"/>
      <c r="M676" s="6">
        <v>100</v>
      </c>
      <c r="N676">
        <f t="shared" si="60"/>
        <v>0</v>
      </c>
      <c r="O676" t="str">
        <f t="shared" si="61"/>
        <v>03-2026</v>
      </c>
      <c r="P676" t="str">
        <f t="shared" si="62"/>
        <v/>
      </c>
      <c r="Q676">
        <f t="shared" si="63"/>
        <v>0</v>
      </c>
      <c r="R676">
        <f t="shared" si="64"/>
        <v>0</v>
      </c>
      <c r="S676" t="str">
        <f t="shared" si="65"/>
        <v>90-180</v>
      </c>
    </row>
    <row r="677" spans="1:19" x14ac:dyDescent="0.25">
      <c r="A677" s="6" t="s">
        <v>712</v>
      </c>
      <c r="B677" s="6" t="s">
        <v>14</v>
      </c>
      <c r="C677" s="6" t="s">
        <v>15</v>
      </c>
      <c r="D677" s="6" t="s">
        <v>208</v>
      </c>
      <c r="E677" s="6" t="s">
        <v>209</v>
      </c>
      <c r="F677" s="6" t="s">
        <v>210</v>
      </c>
      <c r="G677" s="6" t="s">
        <v>142</v>
      </c>
      <c r="H677" s="11">
        <v>46164</v>
      </c>
      <c r="I677" s="11">
        <v>46164</v>
      </c>
      <c r="J677" s="6" t="s">
        <v>20</v>
      </c>
      <c r="K677" s="6" t="s">
        <v>21</v>
      </c>
      <c r="L677" s="6" t="s">
        <v>22</v>
      </c>
      <c r="M677" s="6">
        <v>0</v>
      </c>
      <c r="N677">
        <f t="shared" si="60"/>
        <v>1</v>
      </c>
      <c r="O677" t="str">
        <f t="shared" si="61"/>
        <v>05-2026</v>
      </c>
      <c r="P677" t="str">
        <f t="shared" si="62"/>
        <v>05-2026</v>
      </c>
      <c r="Q677">
        <f t="shared" si="63"/>
        <v>1</v>
      </c>
      <c r="R677">
        <f t="shared" si="64"/>
        <v>0</v>
      </c>
      <c r="S677" t="str">
        <f t="shared" si="65"/>
        <v>0-90</v>
      </c>
    </row>
    <row r="678" spans="1:19" x14ac:dyDescent="0.25">
      <c r="A678" s="6" t="s">
        <v>713</v>
      </c>
      <c r="B678" s="6" t="s">
        <v>14</v>
      </c>
      <c r="C678" s="6" t="s">
        <v>15</v>
      </c>
      <c r="D678" s="6" t="s">
        <v>208</v>
      </c>
      <c r="E678" s="6" t="s">
        <v>209</v>
      </c>
      <c r="F678" s="6" t="s">
        <v>210</v>
      </c>
      <c r="G678" s="6" t="s">
        <v>142</v>
      </c>
      <c r="H678" s="11">
        <v>46164</v>
      </c>
      <c r="I678" s="11">
        <v>46164</v>
      </c>
      <c r="J678" s="6" t="s">
        <v>20</v>
      </c>
      <c r="K678" s="6" t="s">
        <v>21</v>
      </c>
      <c r="L678" s="6" t="s">
        <v>30</v>
      </c>
      <c r="M678" s="6">
        <v>0</v>
      </c>
      <c r="N678">
        <f t="shared" si="60"/>
        <v>1</v>
      </c>
      <c r="O678" t="str">
        <f t="shared" si="61"/>
        <v>05-2026</v>
      </c>
      <c r="P678" t="str">
        <f t="shared" si="62"/>
        <v>05-2026</v>
      </c>
      <c r="Q678">
        <f t="shared" si="63"/>
        <v>1</v>
      </c>
      <c r="R678">
        <f t="shared" si="64"/>
        <v>0</v>
      </c>
      <c r="S678" t="str">
        <f t="shared" si="65"/>
        <v>0-90</v>
      </c>
    </row>
    <row r="679" spans="1:19" x14ac:dyDescent="0.25">
      <c r="A679" s="6" t="s">
        <v>714</v>
      </c>
      <c r="B679" s="6" t="s">
        <v>14</v>
      </c>
      <c r="C679" s="6" t="s">
        <v>15</v>
      </c>
      <c r="D679" s="6" t="s">
        <v>208</v>
      </c>
      <c r="E679" s="6" t="s">
        <v>209</v>
      </c>
      <c r="F679" s="6" t="s">
        <v>210</v>
      </c>
      <c r="G679" s="6" t="s">
        <v>142</v>
      </c>
      <c r="H679" s="11">
        <v>45770</v>
      </c>
      <c r="I679" s="11"/>
      <c r="J679" s="6" t="s">
        <v>27</v>
      </c>
      <c r="K679" s="6"/>
      <c r="L679" s="6"/>
      <c r="M679" s="6">
        <v>433</v>
      </c>
      <c r="N679">
        <f t="shared" si="60"/>
        <v>0</v>
      </c>
      <c r="O679" t="str">
        <f t="shared" si="61"/>
        <v>04-2025</v>
      </c>
      <c r="P679" t="str">
        <f t="shared" si="62"/>
        <v/>
      </c>
      <c r="Q679">
        <f t="shared" si="63"/>
        <v>0</v>
      </c>
      <c r="R679">
        <f t="shared" si="64"/>
        <v>0</v>
      </c>
      <c r="S679" t="str">
        <f t="shared" si="65"/>
        <v>above 1 year</v>
      </c>
    </row>
    <row r="680" spans="1:19" x14ac:dyDescent="0.25">
      <c r="A680" s="6" t="s">
        <v>715</v>
      </c>
      <c r="B680" s="6" t="s">
        <v>14</v>
      </c>
      <c r="C680" s="6" t="s">
        <v>15</v>
      </c>
      <c r="D680" s="6" t="s">
        <v>208</v>
      </c>
      <c r="E680" s="6" t="s">
        <v>209</v>
      </c>
      <c r="F680" s="6" t="s">
        <v>210</v>
      </c>
      <c r="G680" s="6" t="s">
        <v>142</v>
      </c>
      <c r="H680" s="11">
        <v>46135</v>
      </c>
      <c r="I680" s="11">
        <v>46135</v>
      </c>
      <c r="J680" s="6" t="s">
        <v>20</v>
      </c>
      <c r="K680" s="6" t="s">
        <v>21</v>
      </c>
      <c r="L680" s="6" t="s">
        <v>22</v>
      </c>
      <c r="M680" s="6">
        <v>0</v>
      </c>
      <c r="N680">
        <f t="shared" si="60"/>
        <v>1</v>
      </c>
      <c r="O680" t="str">
        <f t="shared" si="61"/>
        <v>04-2026</v>
      </c>
      <c r="P680" t="str">
        <f t="shared" si="62"/>
        <v>04-2026</v>
      </c>
      <c r="Q680">
        <f t="shared" si="63"/>
        <v>1</v>
      </c>
      <c r="R680">
        <f t="shared" si="64"/>
        <v>0</v>
      </c>
      <c r="S680" t="str">
        <f t="shared" si="65"/>
        <v>0-90</v>
      </c>
    </row>
    <row r="681" spans="1:19" x14ac:dyDescent="0.25">
      <c r="A681" s="6" t="s">
        <v>716</v>
      </c>
      <c r="B681" s="6" t="s">
        <v>14</v>
      </c>
      <c r="C681" s="6" t="s">
        <v>15</v>
      </c>
      <c r="D681" s="6" t="s">
        <v>208</v>
      </c>
      <c r="E681" s="6" t="s">
        <v>209</v>
      </c>
      <c r="F681" s="6" t="s">
        <v>210</v>
      </c>
      <c r="G681" s="6" t="s">
        <v>142</v>
      </c>
      <c r="H681" s="11">
        <v>45680</v>
      </c>
      <c r="I681" s="11">
        <v>46169</v>
      </c>
      <c r="J681" s="6" t="s">
        <v>20</v>
      </c>
      <c r="K681" s="6" t="s">
        <v>24</v>
      </c>
      <c r="L681" s="6" t="s">
        <v>44</v>
      </c>
      <c r="M681" s="6">
        <v>489</v>
      </c>
      <c r="N681">
        <f t="shared" si="60"/>
        <v>1</v>
      </c>
      <c r="O681" t="str">
        <f t="shared" si="61"/>
        <v>01-2025</v>
      </c>
      <c r="P681" t="str">
        <f t="shared" si="62"/>
        <v>05-2026</v>
      </c>
      <c r="Q681">
        <f t="shared" si="63"/>
        <v>0</v>
      </c>
      <c r="R681">
        <f t="shared" si="64"/>
        <v>1</v>
      </c>
      <c r="S681" t="str">
        <f t="shared" si="65"/>
        <v>above 1 year</v>
      </c>
    </row>
    <row r="682" spans="1:19" x14ac:dyDescent="0.25">
      <c r="A682" s="6" t="s">
        <v>717</v>
      </c>
      <c r="B682" s="6" t="s">
        <v>14</v>
      </c>
      <c r="C682" s="6" t="s">
        <v>15</v>
      </c>
      <c r="D682" s="6" t="s">
        <v>208</v>
      </c>
      <c r="E682" s="6" t="s">
        <v>209</v>
      </c>
      <c r="F682" s="6" t="s">
        <v>210</v>
      </c>
      <c r="G682" s="6" t="s">
        <v>142</v>
      </c>
      <c r="H682" s="11">
        <v>46196</v>
      </c>
      <c r="I682" s="11"/>
      <c r="J682" s="6" t="s">
        <v>27</v>
      </c>
      <c r="K682" s="6"/>
      <c r="L682" s="6"/>
      <c r="M682" s="6">
        <v>7</v>
      </c>
      <c r="N682">
        <f t="shared" si="60"/>
        <v>0</v>
      </c>
      <c r="O682" t="str">
        <f t="shared" si="61"/>
        <v>06-2026</v>
      </c>
      <c r="P682" t="str">
        <f t="shared" si="62"/>
        <v/>
      </c>
      <c r="Q682">
        <f t="shared" si="63"/>
        <v>0</v>
      </c>
      <c r="R682">
        <f t="shared" si="64"/>
        <v>0</v>
      </c>
      <c r="S682" t="str">
        <f t="shared" si="65"/>
        <v>0-90</v>
      </c>
    </row>
    <row r="683" spans="1:19" x14ac:dyDescent="0.25">
      <c r="A683" s="6" t="s">
        <v>718</v>
      </c>
      <c r="B683" s="6" t="s">
        <v>14</v>
      </c>
      <c r="C683" s="6" t="s">
        <v>15</v>
      </c>
      <c r="D683" s="6" t="s">
        <v>208</v>
      </c>
      <c r="E683" s="6" t="s">
        <v>209</v>
      </c>
      <c r="F683" s="6" t="s">
        <v>210</v>
      </c>
      <c r="G683" s="6" t="s">
        <v>142</v>
      </c>
      <c r="H683" s="11">
        <v>46196</v>
      </c>
      <c r="I683" s="11">
        <v>46196</v>
      </c>
      <c r="J683" s="6" t="s">
        <v>20</v>
      </c>
      <c r="K683" s="6" t="s">
        <v>21</v>
      </c>
      <c r="L683" s="6" t="s">
        <v>37</v>
      </c>
      <c r="M683" s="6">
        <v>0</v>
      </c>
      <c r="N683">
        <f t="shared" si="60"/>
        <v>1</v>
      </c>
      <c r="O683" t="str">
        <f t="shared" si="61"/>
        <v>06-2026</v>
      </c>
      <c r="P683" t="str">
        <f t="shared" si="62"/>
        <v>06-2026</v>
      </c>
      <c r="Q683">
        <f t="shared" si="63"/>
        <v>1</v>
      </c>
      <c r="R683">
        <f t="shared" si="64"/>
        <v>0</v>
      </c>
      <c r="S683" t="str">
        <f t="shared" si="65"/>
        <v>0-90</v>
      </c>
    </row>
    <row r="684" spans="1:19" x14ac:dyDescent="0.25">
      <c r="A684" s="6" t="s">
        <v>719</v>
      </c>
      <c r="B684" s="6" t="s">
        <v>14</v>
      </c>
      <c r="C684" s="6" t="s">
        <v>15</v>
      </c>
      <c r="D684" s="6" t="s">
        <v>208</v>
      </c>
      <c r="E684" s="6" t="s">
        <v>209</v>
      </c>
      <c r="F684" s="6" t="s">
        <v>210</v>
      </c>
      <c r="G684" s="6" t="s">
        <v>142</v>
      </c>
      <c r="H684" s="11">
        <v>45739</v>
      </c>
      <c r="I684" s="11">
        <v>46193</v>
      </c>
      <c r="J684" s="6" t="s">
        <v>20</v>
      </c>
      <c r="K684" s="6" t="s">
        <v>21</v>
      </c>
      <c r="L684" s="6" t="s">
        <v>30</v>
      </c>
      <c r="M684" s="6">
        <v>454</v>
      </c>
      <c r="N684">
        <f t="shared" si="60"/>
        <v>1</v>
      </c>
      <c r="O684" t="str">
        <f t="shared" si="61"/>
        <v>03-2025</v>
      </c>
      <c r="P684" t="str">
        <f t="shared" si="62"/>
        <v>06-2026</v>
      </c>
      <c r="Q684">
        <f t="shared" si="63"/>
        <v>1</v>
      </c>
      <c r="R684">
        <f t="shared" si="64"/>
        <v>0</v>
      </c>
      <c r="S684" t="str">
        <f t="shared" si="65"/>
        <v>above 1 year</v>
      </c>
    </row>
    <row r="685" spans="1:19" x14ac:dyDescent="0.25">
      <c r="A685" s="6" t="s">
        <v>720</v>
      </c>
      <c r="B685" s="6" t="s">
        <v>14</v>
      </c>
      <c r="C685" s="6" t="s">
        <v>15</v>
      </c>
      <c r="D685" s="6" t="s">
        <v>208</v>
      </c>
      <c r="E685" s="6" t="s">
        <v>209</v>
      </c>
      <c r="F685" s="6" t="s">
        <v>210</v>
      </c>
      <c r="G685" s="6" t="s">
        <v>142</v>
      </c>
      <c r="H685" s="11">
        <v>45800</v>
      </c>
      <c r="I685" s="11">
        <v>46162</v>
      </c>
      <c r="J685" s="6" t="s">
        <v>20</v>
      </c>
      <c r="K685" s="6" t="s">
        <v>24</v>
      </c>
      <c r="L685" s="6" t="s">
        <v>25</v>
      </c>
      <c r="M685" s="6">
        <v>362</v>
      </c>
      <c r="N685">
        <f t="shared" si="60"/>
        <v>1</v>
      </c>
      <c r="O685" t="str">
        <f t="shared" si="61"/>
        <v>05-2025</v>
      </c>
      <c r="P685" t="str">
        <f t="shared" si="62"/>
        <v>05-2026</v>
      </c>
      <c r="Q685">
        <f t="shared" si="63"/>
        <v>0</v>
      </c>
      <c r="R685">
        <f t="shared" si="64"/>
        <v>1</v>
      </c>
      <c r="S685" t="str">
        <f t="shared" si="65"/>
        <v>180-365</v>
      </c>
    </row>
    <row r="686" spans="1:19" x14ac:dyDescent="0.25">
      <c r="A686" s="6" t="s">
        <v>721</v>
      </c>
      <c r="B686" s="6" t="s">
        <v>14</v>
      </c>
      <c r="C686" s="6" t="s">
        <v>15</v>
      </c>
      <c r="D686" s="6" t="s">
        <v>208</v>
      </c>
      <c r="E686" s="6" t="s">
        <v>209</v>
      </c>
      <c r="F686" s="6" t="s">
        <v>210</v>
      </c>
      <c r="G686" s="6" t="s">
        <v>142</v>
      </c>
      <c r="H686" s="11">
        <v>45800</v>
      </c>
      <c r="I686" s="11"/>
      <c r="J686" s="6" t="s">
        <v>27</v>
      </c>
      <c r="K686" s="6"/>
      <c r="L686" s="6"/>
      <c r="M686" s="6">
        <v>403</v>
      </c>
      <c r="N686">
        <f t="shared" si="60"/>
        <v>0</v>
      </c>
      <c r="O686" t="str">
        <f t="shared" si="61"/>
        <v>05-2025</v>
      </c>
      <c r="P686" t="str">
        <f t="shared" si="62"/>
        <v/>
      </c>
      <c r="Q686">
        <f t="shared" si="63"/>
        <v>0</v>
      </c>
      <c r="R686">
        <f t="shared" si="64"/>
        <v>0</v>
      </c>
      <c r="S686" t="str">
        <f t="shared" si="65"/>
        <v>above 1 year</v>
      </c>
    </row>
    <row r="687" spans="1:19" x14ac:dyDescent="0.25">
      <c r="A687" s="6" t="s">
        <v>722</v>
      </c>
      <c r="B687" s="6" t="s">
        <v>14</v>
      </c>
      <c r="C687" s="6" t="s">
        <v>15</v>
      </c>
      <c r="D687" s="6" t="s">
        <v>208</v>
      </c>
      <c r="E687" s="6" t="s">
        <v>209</v>
      </c>
      <c r="F687" s="6" t="s">
        <v>210</v>
      </c>
      <c r="G687" s="6" t="s">
        <v>142</v>
      </c>
      <c r="H687" s="11">
        <v>45893</v>
      </c>
      <c r="I687" s="11">
        <v>46159</v>
      </c>
      <c r="J687" s="6" t="s">
        <v>20</v>
      </c>
      <c r="K687" s="6" t="s">
        <v>24</v>
      </c>
      <c r="L687" s="6" t="s">
        <v>41</v>
      </c>
      <c r="M687" s="6">
        <v>266</v>
      </c>
      <c r="N687">
        <f t="shared" si="60"/>
        <v>1</v>
      </c>
      <c r="O687" t="str">
        <f t="shared" si="61"/>
        <v>08-2025</v>
      </c>
      <c r="P687" t="str">
        <f t="shared" si="62"/>
        <v>05-2026</v>
      </c>
      <c r="Q687">
        <f t="shared" si="63"/>
        <v>0</v>
      </c>
      <c r="R687">
        <f t="shared" si="64"/>
        <v>1</v>
      </c>
      <c r="S687" t="str">
        <f t="shared" si="65"/>
        <v>180-365</v>
      </c>
    </row>
    <row r="688" spans="1:19" x14ac:dyDescent="0.25">
      <c r="A688" s="6" t="s">
        <v>723</v>
      </c>
      <c r="B688" s="6" t="s">
        <v>14</v>
      </c>
      <c r="C688" s="6" t="s">
        <v>15</v>
      </c>
      <c r="D688" s="6" t="s">
        <v>208</v>
      </c>
      <c r="E688" s="6" t="s">
        <v>209</v>
      </c>
      <c r="F688" s="6" t="s">
        <v>210</v>
      </c>
      <c r="G688" s="6" t="s">
        <v>142</v>
      </c>
      <c r="H688" s="11">
        <v>46015</v>
      </c>
      <c r="I688" s="11"/>
      <c r="J688" s="6" t="s">
        <v>27</v>
      </c>
      <c r="K688" s="6"/>
      <c r="L688" s="6"/>
      <c r="M688" s="6">
        <v>188</v>
      </c>
      <c r="N688">
        <f t="shared" si="60"/>
        <v>0</v>
      </c>
      <c r="O688" t="str">
        <f t="shared" si="61"/>
        <v>12-2025</v>
      </c>
      <c r="P688" t="str">
        <f t="shared" si="62"/>
        <v/>
      </c>
      <c r="Q688">
        <f t="shared" si="63"/>
        <v>0</v>
      </c>
      <c r="R688">
        <f t="shared" si="64"/>
        <v>0</v>
      </c>
      <c r="S688" t="str">
        <f t="shared" si="65"/>
        <v>180-365</v>
      </c>
    </row>
    <row r="689" spans="1:19" x14ac:dyDescent="0.25">
      <c r="A689" s="6" t="s">
        <v>724</v>
      </c>
      <c r="B689" s="6" t="s">
        <v>14</v>
      </c>
      <c r="C689" s="6" t="s">
        <v>15</v>
      </c>
      <c r="D689" s="6" t="s">
        <v>208</v>
      </c>
      <c r="E689" s="6" t="s">
        <v>209</v>
      </c>
      <c r="F689" s="6" t="s">
        <v>210</v>
      </c>
      <c r="G689" s="6" t="s">
        <v>142</v>
      </c>
      <c r="H689" s="11">
        <v>46046</v>
      </c>
      <c r="I689" s="11"/>
      <c r="J689" s="6" t="s">
        <v>27</v>
      </c>
      <c r="K689" s="6"/>
      <c r="L689" s="6"/>
      <c r="M689" s="6">
        <v>157</v>
      </c>
      <c r="N689">
        <f t="shared" si="60"/>
        <v>0</v>
      </c>
      <c r="O689" t="str">
        <f t="shared" si="61"/>
        <v>01-2026</v>
      </c>
      <c r="P689" t="str">
        <f t="shared" si="62"/>
        <v/>
      </c>
      <c r="Q689">
        <f t="shared" si="63"/>
        <v>0</v>
      </c>
      <c r="R689">
        <f t="shared" si="64"/>
        <v>0</v>
      </c>
      <c r="S689" t="str">
        <f t="shared" si="65"/>
        <v>90-180</v>
      </c>
    </row>
    <row r="690" spans="1:19" x14ac:dyDescent="0.25">
      <c r="A690" s="6" t="s">
        <v>725</v>
      </c>
      <c r="B690" s="6" t="s">
        <v>14</v>
      </c>
      <c r="C690" s="6" t="s">
        <v>15</v>
      </c>
      <c r="D690" s="6" t="s">
        <v>208</v>
      </c>
      <c r="E690" s="6" t="s">
        <v>209</v>
      </c>
      <c r="F690" s="6" t="s">
        <v>210</v>
      </c>
      <c r="G690" s="6" t="s">
        <v>142</v>
      </c>
      <c r="H690" s="11">
        <v>45832</v>
      </c>
      <c r="I690" s="11"/>
      <c r="J690" s="6" t="s">
        <v>27</v>
      </c>
      <c r="K690" s="6"/>
      <c r="L690" s="6"/>
      <c r="M690" s="6">
        <v>371</v>
      </c>
      <c r="N690">
        <f t="shared" si="60"/>
        <v>0</v>
      </c>
      <c r="O690" t="str">
        <f t="shared" si="61"/>
        <v>06-2025</v>
      </c>
      <c r="P690" t="str">
        <f t="shared" si="62"/>
        <v/>
      </c>
      <c r="Q690">
        <f t="shared" si="63"/>
        <v>0</v>
      </c>
      <c r="R690">
        <f t="shared" si="64"/>
        <v>0</v>
      </c>
      <c r="S690" t="str">
        <f t="shared" si="65"/>
        <v>above 1 year</v>
      </c>
    </row>
    <row r="691" spans="1:19" x14ac:dyDescent="0.25">
      <c r="A691" s="6" t="s">
        <v>726</v>
      </c>
      <c r="B691" s="6" t="s">
        <v>14</v>
      </c>
      <c r="C691" s="6" t="s">
        <v>15</v>
      </c>
      <c r="D691" s="6" t="s">
        <v>208</v>
      </c>
      <c r="E691" s="6" t="s">
        <v>209</v>
      </c>
      <c r="F691" s="6" t="s">
        <v>210</v>
      </c>
      <c r="G691" s="6" t="s">
        <v>142</v>
      </c>
      <c r="H691" s="11">
        <v>46197</v>
      </c>
      <c r="I691" s="11"/>
      <c r="J691" s="6" t="s">
        <v>27</v>
      </c>
      <c r="K691" s="6"/>
      <c r="L691" s="6"/>
      <c r="M691" s="6">
        <v>6</v>
      </c>
      <c r="N691">
        <f t="shared" si="60"/>
        <v>0</v>
      </c>
      <c r="O691" t="str">
        <f t="shared" si="61"/>
        <v>06-2026</v>
      </c>
      <c r="P691" t="str">
        <f t="shared" si="62"/>
        <v/>
      </c>
      <c r="Q691">
        <f t="shared" si="63"/>
        <v>0</v>
      </c>
      <c r="R691">
        <f t="shared" si="64"/>
        <v>0</v>
      </c>
      <c r="S691" t="str">
        <f t="shared" si="65"/>
        <v>0-90</v>
      </c>
    </row>
    <row r="692" spans="1:19" x14ac:dyDescent="0.25">
      <c r="A692" s="6" t="s">
        <v>727</v>
      </c>
      <c r="B692" s="6" t="s">
        <v>14</v>
      </c>
      <c r="C692" s="6" t="s">
        <v>15</v>
      </c>
      <c r="D692" s="6" t="s">
        <v>208</v>
      </c>
      <c r="E692" s="6" t="s">
        <v>209</v>
      </c>
      <c r="F692" s="6" t="s">
        <v>210</v>
      </c>
      <c r="G692" s="6" t="s">
        <v>142</v>
      </c>
      <c r="H692" s="11">
        <v>46166</v>
      </c>
      <c r="I692" s="11">
        <v>46166</v>
      </c>
      <c r="J692" s="6" t="s">
        <v>20</v>
      </c>
      <c r="K692" s="6" t="s">
        <v>21</v>
      </c>
      <c r="L692" s="6" t="s">
        <v>61</v>
      </c>
      <c r="M692" s="6">
        <v>0</v>
      </c>
      <c r="N692">
        <f t="shared" si="60"/>
        <v>1</v>
      </c>
      <c r="O692" t="str">
        <f t="shared" si="61"/>
        <v>05-2026</v>
      </c>
      <c r="P692" t="str">
        <f t="shared" si="62"/>
        <v>05-2026</v>
      </c>
      <c r="Q692">
        <f t="shared" si="63"/>
        <v>1</v>
      </c>
      <c r="R692">
        <f t="shared" si="64"/>
        <v>0</v>
      </c>
      <c r="S692" t="str">
        <f t="shared" si="65"/>
        <v>0-90</v>
      </c>
    </row>
    <row r="693" spans="1:19" x14ac:dyDescent="0.25">
      <c r="A693" s="6" t="s">
        <v>728</v>
      </c>
      <c r="B693" s="6" t="s">
        <v>14</v>
      </c>
      <c r="C693" s="6" t="s">
        <v>15</v>
      </c>
      <c r="D693" s="6" t="s">
        <v>208</v>
      </c>
      <c r="E693" s="6" t="s">
        <v>209</v>
      </c>
      <c r="F693" s="6" t="s">
        <v>210</v>
      </c>
      <c r="G693" s="6" t="s">
        <v>142</v>
      </c>
      <c r="H693" s="11">
        <v>45985</v>
      </c>
      <c r="I693" s="11">
        <v>46195</v>
      </c>
      <c r="J693" s="6" t="s">
        <v>20</v>
      </c>
      <c r="K693" s="6" t="s">
        <v>24</v>
      </c>
      <c r="L693" s="6" t="s">
        <v>44</v>
      </c>
      <c r="M693" s="6">
        <v>210</v>
      </c>
      <c r="N693">
        <f t="shared" si="60"/>
        <v>1</v>
      </c>
      <c r="O693" t="str">
        <f t="shared" si="61"/>
        <v>11-2025</v>
      </c>
      <c r="P693" t="str">
        <f t="shared" si="62"/>
        <v>06-2026</v>
      </c>
      <c r="Q693">
        <f t="shared" si="63"/>
        <v>0</v>
      </c>
      <c r="R693">
        <f t="shared" si="64"/>
        <v>1</v>
      </c>
      <c r="S693" t="str">
        <f t="shared" si="65"/>
        <v>180-365</v>
      </c>
    </row>
    <row r="694" spans="1:19" x14ac:dyDescent="0.25">
      <c r="A694" s="6" t="s">
        <v>729</v>
      </c>
      <c r="B694" s="6" t="s">
        <v>14</v>
      </c>
      <c r="C694" s="6" t="s">
        <v>15</v>
      </c>
      <c r="D694" s="6" t="s">
        <v>208</v>
      </c>
      <c r="E694" s="6" t="s">
        <v>209</v>
      </c>
      <c r="F694" s="6" t="s">
        <v>210</v>
      </c>
      <c r="G694" s="6" t="s">
        <v>142</v>
      </c>
      <c r="H694" s="11">
        <v>45772</v>
      </c>
      <c r="I694" s="11">
        <v>46120</v>
      </c>
      <c r="J694" s="6" t="s">
        <v>20</v>
      </c>
      <c r="K694" s="6" t="s">
        <v>24</v>
      </c>
      <c r="L694" s="6" t="s">
        <v>55</v>
      </c>
      <c r="M694" s="6">
        <v>348</v>
      </c>
      <c r="N694">
        <f t="shared" si="60"/>
        <v>1</v>
      </c>
      <c r="O694" t="str">
        <f t="shared" si="61"/>
        <v>04-2025</v>
      </c>
      <c r="P694" t="str">
        <f t="shared" si="62"/>
        <v>04-2026</v>
      </c>
      <c r="Q694">
        <f t="shared" si="63"/>
        <v>0</v>
      </c>
      <c r="R694">
        <f t="shared" si="64"/>
        <v>1</v>
      </c>
      <c r="S694" t="str">
        <f t="shared" si="65"/>
        <v>180-365</v>
      </c>
    </row>
    <row r="695" spans="1:19" x14ac:dyDescent="0.25">
      <c r="A695" s="6" t="s">
        <v>730</v>
      </c>
      <c r="B695" s="6" t="s">
        <v>14</v>
      </c>
      <c r="C695" s="6" t="s">
        <v>15</v>
      </c>
      <c r="D695" s="6" t="s">
        <v>208</v>
      </c>
      <c r="E695" s="6" t="s">
        <v>209</v>
      </c>
      <c r="F695" s="6" t="s">
        <v>210</v>
      </c>
      <c r="G695" s="6" t="s">
        <v>142</v>
      </c>
      <c r="H695" s="11">
        <v>46137</v>
      </c>
      <c r="I695" s="11"/>
      <c r="J695" s="6" t="s">
        <v>27</v>
      </c>
      <c r="K695" s="6"/>
      <c r="L695" s="6"/>
      <c r="M695" s="6">
        <v>66</v>
      </c>
      <c r="N695">
        <f t="shared" si="60"/>
        <v>0</v>
      </c>
      <c r="O695" t="str">
        <f t="shared" si="61"/>
        <v>04-2026</v>
      </c>
      <c r="P695" t="str">
        <f t="shared" si="62"/>
        <v/>
      </c>
      <c r="Q695">
        <f t="shared" si="63"/>
        <v>0</v>
      </c>
      <c r="R695">
        <f t="shared" si="64"/>
        <v>0</v>
      </c>
      <c r="S695" t="str">
        <f t="shared" si="65"/>
        <v>0-90</v>
      </c>
    </row>
    <row r="696" spans="1:19" x14ac:dyDescent="0.25">
      <c r="A696" s="6" t="s">
        <v>731</v>
      </c>
      <c r="B696" s="6" t="s">
        <v>14</v>
      </c>
      <c r="C696" s="6" t="s">
        <v>15</v>
      </c>
      <c r="D696" s="6" t="s">
        <v>208</v>
      </c>
      <c r="E696" s="6" t="s">
        <v>209</v>
      </c>
      <c r="F696" s="6" t="s">
        <v>210</v>
      </c>
      <c r="G696" s="6" t="s">
        <v>142</v>
      </c>
      <c r="H696" s="11">
        <v>46017</v>
      </c>
      <c r="I696" s="11"/>
      <c r="J696" s="6" t="s">
        <v>27</v>
      </c>
      <c r="K696" s="6"/>
      <c r="L696" s="6"/>
      <c r="M696" s="6">
        <v>186</v>
      </c>
      <c r="N696">
        <f t="shared" si="60"/>
        <v>0</v>
      </c>
      <c r="O696" t="str">
        <f t="shared" si="61"/>
        <v>12-2025</v>
      </c>
      <c r="P696" t="str">
        <f t="shared" si="62"/>
        <v/>
      </c>
      <c r="Q696">
        <f t="shared" si="63"/>
        <v>0</v>
      </c>
      <c r="R696">
        <f t="shared" si="64"/>
        <v>0</v>
      </c>
      <c r="S696" t="str">
        <f t="shared" si="65"/>
        <v>180-365</v>
      </c>
    </row>
    <row r="697" spans="1:19" x14ac:dyDescent="0.25">
      <c r="A697" s="6" t="s">
        <v>732</v>
      </c>
      <c r="B697" s="6" t="s">
        <v>14</v>
      </c>
      <c r="C697" s="6" t="s">
        <v>15</v>
      </c>
      <c r="D697" s="6" t="s">
        <v>208</v>
      </c>
      <c r="E697" s="6" t="s">
        <v>209</v>
      </c>
      <c r="F697" s="6" t="s">
        <v>210</v>
      </c>
      <c r="G697" s="6" t="s">
        <v>142</v>
      </c>
      <c r="H697" s="11">
        <v>46048</v>
      </c>
      <c r="I697" s="11">
        <v>46144</v>
      </c>
      <c r="J697" s="6" t="s">
        <v>20</v>
      </c>
      <c r="K697" s="6" t="s">
        <v>24</v>
      </c>
      <c r="L697" s="6" t="s">
        <v>55</v>
      </c>
      <c r="M697" s="6">
        <v>96</v>
      </c>
      <c r="N697">
        <f t="shared" si="60"/>
        <v>1</v>
      </c>
      <c r="O697" t="str">
        <f t="shared" si="61"/>
        <v>01-2026</v>
      </c>
      <c r="P697" t="str">
        <f t="shared" si="62"/>
        <v>05-2026</v>
      </c>
      <c r="Q697">
        <f t="shared" si="63"/>
        <v>0</v>
      </c>
      <c r="R697">
        <f t="shared" si="64"/>
        <v>1</v>
      </c>
      <c r="S697" t="str">
        <f t="shared" si="65"/>
        <v>90-180</v>
      </c>
    </row>
    <row r="698" spans="1:19" x14ac:dyDescent="0.25">
      <c r="A698" s="6" t="s">
        <v>733</v>
      </c>
      <c r="B698" s="6" t="s">
        <v>14</v>
      </c>
      <c r="C698" s="6" t="s">
        <v>15</v>
      </c>
      <c r="D698" s="6" t="s">
        <v>208</v>
      </c>
      <c r="E698" s="6" t="s">
        <v>209</v>
      </c>
      <c r="F698" s="6" t="s">
        <v>210</v>
      </c>
      <c r="G698" s="6" t="s">
        <v>142</v>
      </c>
      <c r="H698" s="11">
        <v>45834</v>
      </c>
      <c r="I698" s="11"/>
      <c r="J698" s="6" t="s">
        <v>27</v>
      </c>
      <c r="K698" s="6"/>
      <c r="L698" s="6"/>
      <c r="M698" s="6">
        <v>369</v>
      </c>
      <c r="N698">
        <f t="shared" si="60"/>
        <v>0</v>
      </c>
      <c r="O698" t="str">
        <f t="shared" si="61"/>
        <v>06-2025</v>
      </c>
      <c r="P698" t="str">
        <f t="shared" si="62"/>
        <v/>
      </c>
      <c r="Q698">
        <f t="shared" si="63"/>
        <v>0</v>
      </c>
      <c r="R698">
        <f t="shared" si="64"/>
        <v>0</v>
      </c>
      <c r="S698" t="str">
        <f t="shared" si="65"/>
        <v>above 1 year</v>
      </c>
    </row>
    <row r="699" spans="1:19" x14ac:dyDescent="0.25">
      <c r="A699" s="6" t="s">
        <v>734</v>
      </c>
      <c r="B699" s="6" t="s">
        <v>14</v>
      </c>
      <c r="C699" s="6" t="s">
        <v>15</v>
      </c>
      <c r="D699" s="6" t="s">
        <v>208</v>
      </c>
      <c r="E699" s="6" t="s">
        <v>209</v>
      </c>
      <c r="F699" s="6" t="s">
        <v>210</v>
      </c>
      <c r="G699" s="6" t="s">
        <v>142</v>
      </c>
      <c r="H699" s="11">
        <v>46168</v>
      </c>
      <c r="I699" s="11"/>
      <c r="J699" s="6" t="s">
        <v>27</v>
      </c>
      <c r="K699" s="6"/>
      <c r="L699" s="6"/>
      <c r="M699" s="6">
        <v>35</v>
      </c>
      <c r="N699">
        <f t="shared" si="60"/>
        <v>0</v>
      </c>
      <c r="O699" t="str">
        <f t="shared" si="61"/>
        <v>05-2026</v>
      </c>
      <c r="P699" t="str">
        <f t="shared" si="62"/>
        <v/>
      </c>
      <c r="Q699">
        <f t="shared" si="63"/>
        <v>0</v>
      </c>
      <c r="R699">
        <f t="shared" si="64"/>
        <v>0</v>
      </c>
      <c r="S699" t="str">
        <f t="shared" si="65"/>
        <v>0-90</v>
      </c>
    </row>
    <row r="700" spans="1:19" x14ac:dyDescent="0.25">
      <c r="A700" s="6" t="s">
        <v>735</v>
      </c>
      <c r="B700" s="6" t="s">
        <v>14</v>
      </c>
      <c r="C700" s="6" t="s">
        <v>15</v>
      </c>
      <c r="D700" s="6" t="s">
        <v>208</v>
      </c>
      <c r="E700" s="6" t="s">
        <v>209</v>
      </c>
      <c r="F700" s="6" t="s">
        <v>210</v>
      </c>
      <c r="G700" s="6" t="s">
        <v>142</v>
      </c>
      <c r="H700" s="11">
        <v>46168</v>
      </c>
      <c r="I700" s="11">
        <v>46168</v>
      </c>
      <c r="J700" s="6" t="s">
        <v>20</v>
      </c>
      <c r="K700" s="6" t="s">
        <v>21</v>
      </c>
      <c r="L700" s="6" t="s">
        <v>33</v>
      </c>
      <c r="M700" s="6">
        <v>0</v>
      </c>
      <c r="N700">
        <f t="shared" si="60"/>
        <v>1</v>
      </c>
      <c r="O700" t="str">
        <f t="shared" si="61"/>
        <v>05-2026</v>
      </c>
      <c r="P700" t="str">
        <f t="shared" si="62"/>
        <v>05-2026</v>
      </c>
      <c r="Q700">
        <f t="shared" si="63"/>
        <v>1</v>
      </c>
      <c r="R700">
        <f t="shared" si="64"/>
        <v>0</v>
      </c>
      <c r="S700" t="str">
        <f t="shared" si="65"/>
        <v>0-90</v>
      </c>
    </row>
    <row r="701" spans="1:19" x14ac:dyDescent="0.25">
      <c r="A701" s="6" t="s">
        <v>736</v>
      </c>
      <c r="B701" s="6" t="s">
        <v>14</v>
      </c>
      <c r="C701" s="6" t="s">
        <v>15</v>
      </c>
      <c r="D701" s="6" t="s">
        <v>208</v>
      </c>
      <c r="E701" s="6" t="s">
        <v>209</v>
      </c>
      <c r="F701" s="6" t="s">
        <v>210</v>
      </c>
      <c r="G701" s="6" t="s">
        <v>142</v>
      </c>
      <c r="H701" s="11">
        <v>46139</v>
      </c>
      <c r="I701" s="11">
        <v>46139</v>
      </c>
      <c r="J701" s="6" t="s">
        <v>20</v>
      </c>
      <c r="K701" s="6" t="s">
        <v>21</v>
      </c>
      <c r="L701" s="6" t="s">
        <v>33</v>
      </c>
      <c r="M701" s="6">
        <v>0</v>
      </c>
      <c r="N701">
        <f t="shared" si="60"/>
        <v>1</v>
      </c>
      <c r="O701" t="str">
        <f t="shared" si="61"/>
        <v>04-2026</v>
      </c>
      <c r="P701" t="str">
        <f t="shared" si="62"/>
        <v>04-2026</v>
      </c>
      <c r="Q701">
        <f t="shared" si="63"/>
        <v>1</v>
      </c>
      <c r="R701">
        <f t="shared" si="64"/>
        <v>0</v>
      </c>
      <c r="S701" t="str">
        <f t="shared" si="65"/>
        <v>0-90</v>
      </c>
    </row>
    <row r="702" spans="1:19" x14ac:dyDescent="0.25">
      <c r="A702" s="6" t="s">
        <v>737</v>
      </c>
      <c r="B702" s="6" t="s">
        <v>14</v>
      </c>
      <c r="C702" s="6" t="s">
        <v>15</v>
      </c>
      <c r="D702" s="6" t="s">
        <v>208</v>
      </c>
      <c r="E702" s="6" t="s">
        <v>209</v>
      </c>
      <c r="F702" s="6" t="s">
        <v>210</v>
      </c>
      <c r="G702" s="6" t="s">
        <v>142</v>
      </c>
      <c r="H702" s="11">
        <v>45715</v>
      </c>
      <c r="I702" s="11">
        <v>46125</v>
      </c>
      <c r="J702" s="6" t="s">
        <v>20</v>
      </c>
      <c r="K702" s="6" t="s">
        <v>21</v>
      </c>
      <c r="L702" s="6" t="s">
        <v>30</v>
      </c>
      <c r="M702" s="6">
        <v>410</v>
      </c>
      <c r="N702">
        <f t="shared" si="60"/>
        <v>1</v>
      </c>
      <c r="O702" t="str">
        <f t="shared" si="61"/>
        <v>02-2025</v>
      </c>
      <c r="P702" t="str">
        <f t="shared" si="62"/>
        <v>04-2026</v>
      </c>
      <c r="Q702">
        <f t="shared" si="63"/>
        <v>1</v>
      </c>
      <c r="R702">
        <f t="shared" si="64"/>
        <v>0</v>
      </c>
      <c r="S702" t="str">
        <f t="shared" si="65"/>
        <v>above 1 year</v>
      </c>
    </row>
    <row r="703" spans="1:19" x14ac:dyDescent="0.25">
      <c r="A703" s="6" t="s">
        <v>738</v>
      </c>
      <c r="B703" s="6" t="s">
        <v>14</v>
      </c>
      <c r="C703" s="6" t="s">
        <v>15</v>
      </c>
      <c r="D703" s="6" t="s">
        <v>208</v>
      </c>
      <c r="E703" s="6" t="s">
        <v>209</v>
      </c>
      <c r="F703" s="6" t="s">
        <v>210</v>
      </c>
      <c r="G703" s="6" t="s">
        <v>142</v>
      </c>
      <c r="H703" s="11">
        <v>46200</v>
      </c>
      <c r="I703" s="11"/>
      <c r="J703" s="6" t="s">
        <v>27</v>
      </c>
      <c r="K703" s="6"/>
      <c r="L703" s="6"/>
      <c r="M703" s="6">
        <v>3</v>
      </c>
      <c r="N703">
        <f t="shared" si="60"/>
        <v>0</v>
      </c>
      <c r="O703" t="str">
        <f t="shared" si="61"/>
        <v>06-2026</v>
      </c>
      <c r="P703" t="str">
        <f t="shared" si="62"/>
        <v/>
      </c>
      <c r="Q703">
        <f t="shared" si="63"/>
        <v>0</v>
      </c>
      <c r="R703">
        <f t="shared" si="64"/>
        <v>0</v>
      </c>
      <c r="S703" t="str">
        <f t="shared" si="65"/>
        <v>0-90</v>
      </c>
    </row>
    <row r="704" spans="1:19" x14ac:dyDescent="0.25">
      <c r="A704" s="6" t="s">
        <v>739</v>
      </c>
      <c r="B704" s="6" t="s">
        <v>14</v>
      </c>
      <c r="C704" s="6" t="s">
        <v>15</v>
      </c>
      <c r="D704" s="6" t="s">
        <v>208</v>
      </c>
      <c r="E704" s="6" t="s">
        <v>209</v>
      </c>
      <c r="F704" s="6" t="s">
        <v>210</v>
      </c>
      <c r="G704" s="6" t="s">
        <v>142</v>
      </c>
      <c r="H704" s="11">
        <v>46140</v>
      </c>
      <c r="I704" s="11">
        <v>46140</v>
      </c>
      <c r="J704" s="6" t="s">
        <v>20</v>
      </c>
      <c r="K704" s="6" t="s">
        <v>21</v>
      </c>
      <c r="L704" s="6" t="s">
        <v>37</v>
      </c>
      <c r="M704" s="6">
        <v>0</v>
      </c>
      <c r="N704">
        <f t="shared" si="60"/>
        <v>1</v>
      </c>
      <c r="O704" t="str">
        <f t="shared" si="61"/>
        <v>04-2026</v>
      </c>
      <c r="P704" t="str">
        <f t="shared" si="62"/>
        <v>04-2026</v>
      </c>
      <c r="Q704">
        <f t="shared" si="63"/>
        <v>1</v>
      </c>
      <c r="R704">
        <f t="shared" si="64"/>
        <v>0</v>
      </c>
      <c r="S704" t="str">
        <f t="shared" si="65"/>
        <v>0-90</v>
      </c>
    </row>
    <row r="705" spans="1:19" x14ac:dyDescent="0.25">
      <c r="A705" s="6" t="s">
        <v>740</v>
      </c>
      <c r="B705" s="6" t="s">
        <v>14</v>
      </c>
      <c r="C705" s="6" t="s">
        <v>15</v>
      </c>
      <c r="D705" s="6" t="s">
        <v>208</v>
      </c>
      <c r="E705" s="6" t="s">
        <v>209</v>
      </c>
      <c r="F705" s="6" t="s">
        <v>210</v>
      </c>
      <c r="G705" s="6" t="s">
        <v>142</v>
      </c>
      <c r="H705" s="11">
        <v>46140</v>
      </c>
      <c r="I705" s="11">
        <v>46140</v>
      </c>
      <c r="J705" s="6" t="s">
        <v>20</v>
      </c>
      <c r="K705" s="6" t="s">
        <v>21</v>
      </c>
      <c r="L705" s="6" t="s">
        <v>37</v>
      </c>
      <c r="M705" s="6">
        <v>0</v>
      </c>
      <c r="N705">
        <f t="shared" si="60"/>
        <v>1</v>
      </c>
      <c r="O705" t="str">
        <f t="shared" si="61"/>
        <v>04-2026</v>
      </c>
      <c r="P705" t="str">
        <f t="shared" si="62"/>
        <v>04-2026</v>
      </c>
      <c r="Q705">
        <f t="shared" si="63"/>
        <v>1</v>
      </c>
      <c r="R705">
        <f t="shared" si="64"/>
        <v>0</v>
      </c>
      <c r="S705" t="str">
        <f t="shared" si="65"/>
        <v>0-90</v>
      </c>
    </row>
    <row r="706" spans="1:19" x14ac:dyDescent="0.25">
      <c r="A706" s="6" t="s">
        <v>741</v>
      </c>
      <c r="B706" s="6" t="s">
        <v>14</v>
      </c>
      <c r="C706" s="6" t="s">
        <v>15</v>
      </c>
      <c r="D706" s="6" t="s">
        <v>208</v>
      </c>
      <c r="E706" s="6" t="s">
        <v>209</v>
      </c>
      <c r="F706" s="6" t="s">
        <v>210</v>
      </c>
      <c r="G706" s="6" t="s">
        <v>142</v>
      </c>
      <c r="H706" s="11">
        <v>46170</v>
      </c>
      <c r="I706" s="11"/>
      <c r="J706" s="6" t="s">
        <v>27</v>
      </c>
      <c r="K706" s="6"/>
      <c r="L706" s="6"/>
      <c r="M706" s="6">
        <v>33</v>
      </c>
      <c r="N706">
        <f t="shared" si="60"/>
        <v>0</v>
      </c>
      <c r="O706" t="str">
        <f t="shared" si="61"/>
        <v>05-2026</v>
      </c>
      <c r="P706" t="str">
        <f t="shared" si="62"/>
        <v/>
      </c>
      <c r="Q706">
        <f t="shared" si="63"/>
        <v>0</v>
      </c>
      <c r="R706">
        <f t="shared" si="64"/>
        <v>0</v>
      </c>
      <c r="S706" t="str">
        <f t="shared" si="65"/>
        <v>0-90</v>
      </c>
    </row>
    <row r="707" spans="1:19" x14ac:dyDescent="0.25">
      <c r="A707" s="6" t="s">
        <v>742</v>
      </c>
      <c r="B707" s="6" t="s">
        <v>14</v>
      </c>
      <c r="C707" s="6" t="s">
        <v>15</v>
      </c>
      <c r="D707" s="6" t="s">
        <v>208</v>
      </c>
      <c r="E707" s="6" t="s">
        <v>209</v>
      </c>
      <c r="F707" s="6" t="s">
        <v>210</v>
      </c>
      <c r="G707" s="6" t="s">
        <v>142</v>
      </c>
      <c r="H707" s="11">
        <v>46202</v>
      </c>
      <c r="I707" s="11">
        <v>46202</v>
      </c>
      <c r="J707" s="6" t="s">
        <v>20</v>
      </c>
      <c r="K707" s="6" t="s">
        <v>21</v>
      </c>
      <c r="L707" s="6" t="s">
        <v>33</v>
      </c>
      <c r="M707" s="6">
        <v>0</v>
      </c>
      <c r="N707">
        <f t="shared" ref="N707:N770" si="66">IF(J707="Relieved",1,0)</f>
        <v>1</v>
      </c>
      <c r="O707" t="str">
        <f t="shared" ref="O707:O770" si="67">TEXT(H707,"mm-yyyy")</f>
        <v>06-2026</v>
      </c>
      <c r="P707" t="str">
        <f t="shared" ref="P707:P770" si="68">IF(I707="","",TEXT(I707,"mm-yyyy"))</f>
        <v>06-2026</v>
      </c>
      <c r="Q707">
        <f t="shared" ref="Q707:Q770" si="69">IF(K707="Voluntary",1,0)</f>
        <v>1</v>
      </c>
      <c r="R707">
        <f t="shared" ref="R707:R770" si="70">IF(K707="Involuntary",1,0)</f>
        <v>0</v>
      </c>
      <c r="S707" t="str">
        <f t="shared" ref="S707:S770" si="71">IF(M707&lt;90,"0-90",IF(M707&lt;180,"90-180",IF(M707&lt;365,"180-365","above 1 year")))</f>
        <v>0-90</v>
      </c>
    </row>
    <row r="708" spans="1:19" x14ac:dyDescent="0.25">
      <c r="A708" s="6" t="s">
        <v>743</v>
      </c>
      <c r="B708" s="6" t="s">
        <v>14</v>
      </c>
      <c r="C708" s="6" t="s">
        <v>15</v>
      </c>
      <c r="D708" s="6" t="s">
        <v>208</v>
      </c>
      <c r="E708" s="6" t="s">
        <v>209</v>
      </c>
      <c r="F708" s="6" t="s">
        <v>210</v>
      </c>
      <c r="G708" s="6" t="s">
        <v>142</v>
      </c>
      <c r="H708" s="11">
        <v>46202</v>
      </c>
      <c r="I708" s="11"/>
      <c r="J708" s="6" t="s">
        <v>27</v>
      </c>
      <c r="K708" s="6"/>
      <c r="L708" s="6"/>
      <c r="M708" s="6">
        <v>1</v>
      </c>
      <c r="N708">
        <f t="shared" si="66"/>
        <v>0</v>
      </c>
      <c r="O708" t="str">
        <f t="shared" si="67"/>
        <v>06-2026</v>
      </c>
      <c r="P708" t="str">
        <f t="shared" si="68"/>
        <v/>
      </c>
      <c r="Q708">
        <f t="shared" si="69"/>
        <v>0</v>
      </c>
      <c r="R708">
        <f t="shared" si="70"/>
        <v>0</v>
      </c>
      <c r="S708" t="str">
        <f t="shared" si="71"/>
        <v>0-90</v>
      </c>
    </row>
    <row r="709" spans="1:19" x14ac:dyDescent="0.25">
      <c r="A709" s="6" t="s">
        <v>744</v>
      </c>
      <c r="B709" s="6" t="s">
        <v>14</v>
      </c>
      <c r="C709" s="6" t="s">
        <v>15</v>
      </c>
      <c r="D709" s="6" t="s">
        <v>208</v>
      </c>
      <c r="E709" s="6" t="s">
        <v>209</v>
      </c>
      <c r="F709" s="6" t="s">
        <v>210</v>
      </c>
      <c r="G709" s="6" t="s">
        <v>142</v>
      </c>
      <c r="H709" s="11">
        <v>46171</v>
      </c>
      <c r="I709" s="11"/>
      <c r="J709" s="6" t="s">
        <v>27</v>
      </c>
      <c r="K709" s="6"/>
      <c r="L709" s="6"/>
      <c r="M709" s="6">
        <v>32</v>
      </c>
      <c r="N709">
        <f t="shared" si="66"/>
        <v>0</v>
      </c>
      <c r="O709" t="str">
        <f t="shared" si="67"/>
        <v>05-2026</v>
      </c>
      <c r="P709" t="str">
        <f t="shared" si="68"/>
        <v/>
      </c>
      <c r="Q709">
        <f t="shared" si="69"/>
        <v>0</v>
      </c>
      <c r="R709">
        <f t="shared" si="70"/>
        <v>0</v>
      </c>
      <c r="S709" t="str">
        <f t="shared" si="71"/>
        <v>0-90</v>
      </c>
    </row>
    <row r="710" spans="1:19" x14ac:dyDescent="0.25">
      <c r="A710" s="6" t="s">
        <v>745</v>
      </c>
      <c r="B710" s="6" t="s">
        <v>14</v>
      </c>
      <c r="C710" s="6" t="s">
        <v>15</v>
      </c>
      <c r="D710" s="6" t="s">
        <v>208</v>
      </c>
      <c r="E710" s="6" t="s">
        <v>209</v>
      </c>
      <c r="F710" s="6" t="s">
        <v>210</v>
      </c>
      <c r="G710" s="6" t="s">
        <v>142</v>
      </c>
      <c r="H710" s="11">
        <v>45990</v>
      </c>
      <c r="I710" s="11">
        <v>46176</v>
      </c>
      <c r="J710" s="6" t="s">
        <v>20</v>
      </c>
      <c r="K710" s="6" t="s">
        <v>24</v>
      </c>
      <c r="L710" s="6" t="s">
        <v>25</v>
      </c>
      <c r="M710" s="6">
        <v>186</v>
      </c>
      <c r="N710">
        <f t="shared" si="66"/>
        <v>1</v>
      </c>
      <c r="O710" t="str">
        <f t="shared" si="67"/>
        <v>11-2025</v>
      </c>
      <c r="P710" t="str">
        <f t="shared" si="68"/>
        <v>06-2026</v>
      </c>
      <c r="Q710">
        <f t="shared" si="69"/>
        <v>0</v>
      </c>
      <c r="R710">
        <f t="shared" si="70"/>
        <v>1</v>
      </c>
      <c r="S710" t="str">
        <f t="shared" si="71"/>
        <v>180-365</v>
      </c>
    </row>
    <row r="711" spans="1:19" x14ac:dyDescent="0.25">
      <c r="A711" s="6" t="s">
        <v>746</v>
      </c>
      <c r="B711" s="6" t="s">
        <v>14</v>
      </c>
      <c r="C711" s="6" t="s">
        <v>15</v>
      </c>
      <c r="D711" s="6" t="s">
        <v>208</v>
      </c>
      <c r="E711" s="6" t="s">
        <v>209</v>
      </c>
      <c r="F711" s="6" t="s">
        <v>210</v>
      </c>
      <c r="G711" s="6" t="s">
        <v>142</v>
      </c>
      <c r="H711" s="11">
        <v>45959</v>
      </c>
      <c r="I711" s="11">
        <v>46153</v>
      </c>
      <c r="J711" s="6" t="s">
        <v>20</v>
      </c>
      <c r="K711" s="6" t="s">
        <v>24</v>
      </c>
      <c r="L711" s="6" t="s">
        <v>25</v>
      </c>
      <c r="M711" s="6">
        <v>194</v>
      </c>
      <c r="N711">
        <f t="shared" si="66"/>
        <v>1</v>
      </c>
      <c r="O711" t="str">
        <f t="shared" si="67"/>
        <v>10-2025</v>
      </c>
      <c r="P711" t="str">
        <f t="shared" si="68"/>
        <v>05-2026</v>
      </c>
      <c r="Q711">
        <f t="shared" si="69"/>
        <v>0</v>
      </c>
      <c r="R711">
        <f t="shared" si="70"/>
        <v>1</v>
      </c>
      <c r="S711" t="str">
        <f t="shared" si="71"/>
        <v>180-365</v>
      </c>
    </row>
    <row r="712" spans="1:19" x14ac:dyDescent="0.25">
      <c r="A712" s="6" t="s">
        <v>747</v>
      </c>
      <c r="B712" s="6" t="s">
        <v>14</v>
      </c>
      <c r="C712" s="6" t="s">
        <v>15</v>
      </c>
      <c r="D712" s="6" t="s">
        <v>208</v>
      </c>
      <c r="E712" s="6" t="s">
        <v>209</v>
      </c>
      <c r="F712" s="6" t="s">
        <v>210</v>
      </c>
      <c r="G712" s="6" t="s">
        <v>142</v>
      </c>
      <c r="H712" s="11">
        <v>45777</v>
      </c>
      <c r="I712" s="11">
        <v>46171</v>
      </c>
      <c r="J712" s="6" t="s">
        <v>20</v>
      </c>
      <c r="K712" s="6" t="s">
        <v>24</v>
      </c>
      <c r="L712" s="6" t="s">
        <v>55</v>
      </c>
      <c r="M712" s="6">
        <v>394</v>
      </c>
      <c r="N712">
        <f t="shared" si="66"/>
        <v>1</v>
      </c>
      <c r="O712" t="str">
        <f t="shared" si="67"/>
        <v>04-2025</v>
      </c>
      <c r="P712" t="str">
        <f t="shared" si="68"/>
        <v>05-2026</v>
      </c>
      <c r="Q712">
        <f t="shared" si="69"/>
        <v>0</v>
      </c>
      <c r="R712">
        <f t="shared" si="70"/>
        <v>1</v>
      </c>
      <c r="S712" t="str">
        <f t="shared" si="71"/>
        <v>above 1 year</v>
      </c>
    </row>
    <row r="713" spans="1:19" x14ac:dyDescent="0.25">
      <c r="A713" s="6" t="s">
        <v>748</v>
      </c>
      <c r="B713" s="6" t="s">
        <v>14</v>
      </c>
      <c r="C713" s="6" t="s">
        <v>15</v>
      </c>
      <c r="D713" s="6" t="s">
        <v>208</v>
      </c>
      <c r="E713" s="6" t="s">
        <v>209</v>
      </c>
      <c r="F713" s="6" t="s">
        <v>210</v>
      </c>
      <c r="G713" s="6" t="s">
        <v>142</v>
      </c>
      <c r="H713" s="11">
        <v>46111</v>
      </c>
      <c r="I713" s="11"/>
      <c r="J713" s="6" t="s">
        <v>27</v>
      </c>
      <c r="K713" s="6"/>
      <c r="L713" s="6"/>
      <c r="M713" s="6">
        <v>92</v>
      </c>
      <c r="N713">
        <f t="shared" si="66"/>
        <v>0</v>
      </c>
      <c r="O713" t="str">
        <f t="shared" si="67"/>
        <v>03-2026</v>
      </c>
      <c r="P713" t="str">
        <f t="shared" si="68"/>
        <v/>
      </c>
      <c r="Q713">
        <f t="shared" si="69"/>
        <v>0</v>
      </c>
      <c r="R713">
        <f t="shared" si="70"/>
        <v>0</v>
      </c>
      <c r="S713" t="str">
        <f t="shared" si="71"/>
        <v>90-180</v>
      </c>
    </row>
    <row r="714" spans="1:19" x14ac:dyDescent="0.25">
      <c r="A714" s="6" t="s">
        <v>749</v>
      </c>
      <c r="B714" s="6" t="s">
        <v>14</v>
      </c>
      <c r="C714" s="6" t="s">
        <v>15</v>
      </c>
      <c r="D714" s="6" t="s">
        <v>208</v>
      </c>
      <c r="E714" s="6" t="s">
        <v>209</v>
      </c>
      <c r="F714" s="6" t="s">
        <v>210</v>
      </c>
      <c r="G714" s="6" t="s">
        <v>142</v>
      </c>
      <c r="H714" s="11">
        <v>46172</v>
      </c>
      <c r="I714" s="11"/>
      <c r="J714" s="6" t="s">
        <v>27</v>
      </c>
      <c r="K714" s="6"/>
      <c r="L714" s="6"/>
      <c r="M714" s="6">
        <v>31</v>
      </c>
      <c r="N714">
        <f t="shared" si="66"/>
        <v>0</v>
      </c>
      <c r="O714" t="str">
        <f t="shared" si="67"/>
        <v>05-2026</v>
      </c>
      <c r="P714" t="str">
        <f t="shared" si="68"/>
        <v/>
      </c>
      <c r="Q714">
        <f t="shared" si="69"/>
        <v>0</v>
      </c>
      <c r="R714">
        <f t="shared" si="70"/>
        <v>0</v>
      </c>
      <c r="S714" t="str">
        <f t="shared" si="71"/>
        <v>0-90</v>
      </c>
    </row>
    <row r="715" spans="1:19" x14ac:dyDescent="0.25">
      <c r="A715" s="6" t="s">
        <v>750</v>
      </c>
      <c r="B715" s="6" t="s">
        <v>14</v>
      </c>
      <c r="C715" s="6" t="s">
        <v>15</v>
      </c>
      <c r="D715" s="6" t="s">
        <v>208</v>
      </c>
      <c r="E715" s="6" t="s">
        <v>209</v>
      </c>
      <c r="F715" s="6" t="s">
        <v>210</v>
      </c>
      <c r="G715" s="6" t="s">
        <v>142</v>
      </c>
      <c r="H715" s="11">
        <v>45960</v>
      </c>
      <c r="I715" s="11"/>
      <c r="J715" s="6" t="s">
        <v>27</v>
      </c>
      <c r="K715" s="6"/>
      <c r="L715" s="6"/>
      <c r="M715" s="6">
        <v>243</v>
      </c>
      <c r="N715">
        <f t="shared" si="66"/>
        <v>0</v>
      </c>
      <c r="O715" t="str">
        <f t="shared" si="67"/>
        <v>10-2025</v>
      </c>
      <c r="P715" t="str">
        <f t="shared" si="68"/>
        <v/>
      </c>
      <c r="Q715">
        <f t="shared" si="69"/>
        <v>0</v>
      </c>
      <c r="R715">
        <f t="shared" si="70"/>
        <v>0</v>
      </c>
      <c r="S715" t="str">
        <f t="shared" si="71"/>
        <v>180-365</v>
      </c>
    </row>
    <row r="716" spans="1:19" x14ac:dyDescent="0.25">
      <c r="A716" s="6" t="s">
        <v>751</v>
      </c>
      <c r="B716" s="6" t="s">
        <v>14</v>
      </c>
      <c r="C716" s="6" t="s">
        <v>15</v>
      </c>
      <c r="D716" s="6" t="s">
        <v>208</v>
      </c>
      <c r="E716" s="6" t="s">
        <v>209</v>
      </c>
      <c r="F716" s="6" t="s">
        <v>210</v>
      </c>
      <c r="G716" s="6" t="s">
        <v>142</v>
      </c>
      <c r="H716" s="11">
        <v>45808</v>
      </c>
      <c r="I716" s="11">
        <v>46173</v>
      </c>
      <c r="J716" s="6" t="s">
        <v>20</v>
      </c>
      <c r="K716" s="6" t="s">
        <v>24</v>
      </c>
      <c r="L716" s="6" t="s">
        <v>25</v>
      </c>
      <c r="M716" s="6">
        <v>365</v>
      </c>
      <c r="N716">
        <f t="shared" si="66"/>
        <v>1</v>
      </c>
      <c r="O716" t="str">
        <f t="shared" si="67"/>
        <v>05-2025</v>
      </c>
      <c r="P716" t="str">
        <f t="shared" si="68"/>
        <v>05-2026</v>
      </c>
      <c r="Q716">
        <f t="shared" si="69"/>
        <v>0</v>
      </c>
      <c r="R716">
        <f t="shared" si="70"/>
        <v>1</v>
      </c>
      <c r="S716" t="str">
        <f t="shared" si="71"/>
        <v>above 1 year</v>
      </c>
    </row>
    <row r="717" spans="1:19" x14ac:dyDescent="0.25">
      <c r="A717" s="6" t="s">
        <v>752</v>
      </c>
      <c r="B717" s="6" t="s">
        <v>14</v>
      </c>
      <c r="C717" s="6" t="s">
        <v>15</v>
      </c>
      <c r="D717" s="6" t="s">
        <v>753</v>
      </c>
      <c r="E717" s="6" t="s">
        <v>754</v>
      </c>
      <c r="F717" s="6" t="s">
        <v>755</v>
      </c>
      <c r="G717" s="6" t="s">
        <v>19</v>
      </c>
      <c r="H717" s="11">
        <v>45962</v>
      </c>
      <c r="I717" s="11"/>
      <c r="J717" s="6" t="s">
        <v>27</v>
      </c>
      <c r="K717" s="6"/>
      <c r="L717" s="6"/>
      <c r="M717" s="6">
        <v>241</v>
      </c>
      <c r="N717">
        <f t="shared" si="66"/>
        <v>0</v>
      </c>
      <c r="O717" t="str">
        <f t="shared" si="67"/>
        <v>11-2025</v>
      </c>
      <c r="P717" t="str">
        <f t="shared" si="68"/>
        <v/>
      </c>
      <c r="Q717">
        <f t="shared" si="69"/>
        <v>0</v>
      </c>
      <c r="R717">
        <f t="shared" si="70"/>
        <v>0</v>
      </c>
      <c r="S717" t="str">
        <f t="shared" si="71"/>
        <v>180-365</v>
      </c>
    </row>
    <row r="718" spans="1:19" x14ac:dyDescent="0.25">
      <c r="A718" s="6" t="s">
        <v>756</v>
      </c>
      <c r="B718" s="6" t="s">
        <v>14</v>
      </c>
      <c r="C718" s="6" t="s">
        <v>15</v>
      </c>
      <c r="D718" s="6" t="s">
        <v>753</v>
      </c>
      <c r="E718" s="6" t="s">
        <v>754</v>
      </c>
      <c r="F718" s="6" t="s">
        <v>755</v>
      </c>
      <c r="G718" s="6" t="s">
        <v>19</v>
      </c>
      <c r="H718" s="11">
        <v>46114</v>
      </c>
      <c r="I718" s="11">
        <v>46119</v>
      </c>
      <c r="J718" s="6" t="s">
        <v>20</v>
      </c>
      <c r="K718" s="6" t="s">
        <v>21</v>
      </c>
      <c r="L718" s="6" t="s">
        <v>37</v>
      </c>
      <c r="M718" s="6">
        <v>5</v>
      </c>
      <c r="N718">
        <f t="shared" si="66"/>
        <v>1</v>
      </c>
      <c r="O718" t="str">
        <f t="shared" si="67"/>
        <v>04-2026</v>
      </c>
      <c r="P718" t="str">
        <f t="shared" si="68"/>
        <v>04-2026</v>
      </c>
      <c r="Q718">
        <f t="shared" si="69"/>
        <v>1</v>
      </c>
      <c r="R718">
        <f t="shared" si="70"/>
        <v>0</v>
      </c>
      <c r="S718" t="str">
        <f t="shared" si="71"/>
        <v>0-90</v>
      </c>
    </row>
    <row r="719" spans="1:19" x14ac:dyDescent="0.25">
      <c r="A719" s="6" t="s">
        <v>757</v>
      </c>
      <c r="B719" s="6" t="s">
        <v>14</v>
      </c>
      <c r="C719" s="6" t="s">
        <v>15</v>
      </c>
      <c r="D719" s="6" t="s">
        <v>753</v>
      </c>
      <c r="E719" s="6" t="s">
        <v>754</v>
      </c>
      <c r="F719" s="6" t="s">
        <v>755</v>
      </c>
      <c r="G719" s="6" t="s">
        <v>19</v>
      </c>
      <c r="H719" s="11">
        <v>46055</v>
      </c>
      <c r="I719" s="11"/>
      <c r="J719" s="6" t="s">
        <v>27</v>
      </c>
      <c r="K719" s="6"/>
      <c r="L719" s="6"/>
      <c r="M719" s="6">
        <v>148</v>
      </c>
      <c r="N719">
        <f t="shared" si="66"/>
        <v>0</v>
      </c>
      <c r="O719" t="str">
        <f t="shared" si="67"/>
        <v>02-2026</v>
      </c>
      <c r="P719" t="str">
        <f t="shared" si="68"/>
        <v/>
      </c>
      <c r="Q719">
        <f t="shared" si="69"/>
        <v>0</v>
      </c>
      <c r="R719">
        <f t="shared" si="70"/>
        <v>0</v>
      </c>
      <c r="S719" t="str">
        <f t="shared" si="71"/>
        <v>90-180</v>
      </c>
    </row>
    <row r="720" spans="1:19" x14ac:dyDescent="0.25">
      <c r="A720" s="6" t="s">
        <v>758</v>
      </c>
      <c r="B720" s="6" t="s">
        <v>14</v>
      </c>
      <c r="C720" s="6" t="s">
        <v>15</v>
      </c>
      <c r="D720" s="6" t="s">
        <v>753</v>
      </c>
      <c r="E720" s="6" t="s">
        <v>754</v>
      </c>
      <c r="F720" s="6" t="s">
        <v>755</v>
      </c>
      <c r="G720" s="6" t="s">
        <v>19</v>
      </c>
      <c r="H720" s="11">
        <v>45964</v>
      </c>
      <c r="I720" s="11"/>
      <c r="J720" s="6" t="s">
        <v>27</v>
      </c>
      <c r="K720" s="6"/>
      <c r="L720" s="6"/>
      <c r="M720" s="6">
        <v>239</v>
      </c>
      <c r="N720">
        <f t="shared" si="66"/>
        <v>0</v>
      </c>
      <c r="O720" t="str">
        <f t="shared" si="67"/>
        <v>11-2025</v>
      </c>
      <c r="P720" t="str">
        <f t="shared" si="68"/>
        <v/>
      </c>
      <c r="Q720">
        <f t="shared" si="69"/>
        <v>0</v>
      </c>
      <c r="R720">
        <f t="shared" si="70"/>
        <v>0</v>
      </c>
      <c r="S720" t="str">
        <f t="shared" si="71"/>
        <v>180-365</v>
      </c>
    </row>
    <row r="721" spans="1:19" x14ac:dyDescent="0.25">
      <c r="A721" s="6" t="s">
        <v>759</v>
      </c>
      <c r="B721" s="6" t="s">
        <v>14</v>
      </c>
      <c r="C721" s="6" t="s">
        <v>15</v>
      </c>
      <c r="D721" s="6" t="s">
        <v>753</v>
      </c>
      <c r="E721" s="6" t="s">
        <v>754</v>
      </c>
      <c r="F721" s="6" t="s">
        <v>755</v>
      </c>
      <c r="G721" s="6" t="s">
        <v>19</v>
      </c>
      <c r="H721" s="11">
        <v>45692</v>
      </c>
      <c r="I721" s="11">
        <v>46127</v>
      </c>
      <c r="J721" s="6" t="s">
        <v>20</v>
      </c>
      <c r="K721" s="6" t="s">
        <v>24</v>
      </c>
      <c r="L721" s="6" t="s">
        <v>55</v>
      </c>
      <c r="M721" s="6">
        <v>435</v>
      </c>
      <c r="N721">
        <f t="shared" si="66"/>
        <v>1</v>
      </c>
      <c r="O721" t="str">
        <f t="shared" si="67"/>
        <v>02-2025</v>
      </c>
      <c r="P721" t="str">
        <f t="shared" si="68"/>
        <v>04-2026</v>
      </c>
      <c r="Q721">
        <f t="shared" si="69"/>
        <v>0</v>
      </c>
      <c r="R721">
        <f t="shared" si="70"/>
        <v>1</v>
      </c>
      <c r="S721" t="str">
        <f t="shared" si="71"/>
        <v>above 1 year</v>
      </c>
    </row>
    <row r="722" spans="1:19" x14ac:dyDescent="0.25">
      <c r="A722" s="6" t="s">
        <v>760</v>
      </c>
      <c r="B722" s="6" t="s">
        <v>14</v>
      </c>
      <c r="C722" s="6" t="s">
        <v>15</v>
      </c>
      <c r="D722" s="6" t="s">
        <v>753</v>
      </c>
      <c r="E722" s="6" t="s">
        <v>754</v>
      </c>
      <c r="F722" s="6" t="s">
        <v>755</v>
      </c>
      <c r="G722" s="6" t="s">
        <v>19</v>
      </c>
      <c r="H722" s="11">
        <v>46177</v>
      </c>
      <c r="I722" s="11"/>
      <c r="J722" s="6" t="s">
        <v>27</v>
      </c>
      <c r="K722" s="6"/>
      <c r="L722" s="6"/>
      <c r="M722" s="6">
        <v>26</v>
      </c>
      <c r="N722">
        <f t="shared" si="66"/>
        <v>0</v>
      </c>
      <c r="O722" t="str">
        <f t="shared" si="67"/>
        <v>06-2026</v>
      </c>
      <c r="P722" t="str">
        <f t="shared" si="68"/>
        <v/>
      </c>
      <c r="Q722">
        <f t="shared" si="69"/>
        <v>0</v>
      </c>
      <c r="R722">
        <f t="shared" si="70"/>
        <v>0</v>
      </c>
      <c r="S722" t="str">
        <f t="shared" si="71"/>
        <v>0-90</v>
      </c>
    </row>
    <row r="723" spans="1:19" x14ac:dyDescent="0.25">
      <c r="A723" s="6" t="s">
        <v>761</v>
      </c>
      <c r="B723" s="6" t="s">
        <v>14</v>
      </c>
      <c r="C723" s="6" t="s">
        <v>15</v>
      </c>
      <c r="D723" s="6" t="s">
        <v>753</v>
      </c>
      <c r="E723" s="6" t="s">
        <v>754</v>
      </c>
      <c r="F723" s="6" t="s">
        <v>755</v>
      </c>
      <c r="G723" s="6" t="s">
        <v>19</v>
      </c>
      <c r="H723" s="11">
        <v>46177</v>
      </c>
      <c r="I723" s="11">
        <v>46203</v>
      </c>
      <c r="J723" s="6" t="s">
        <v>20</v>
      </c>
      <c r="K723" s="6" t="s">
        <v>21</v>
      </c>
      <c r="L723" s="6" t="s">
        <v>50</v>
      </c>
      <c r="M723" s="6">
        <v>26</v>
      </c>
      <c r="N723">
        <f t="shared" si="66"/>
        <v>1</v>
      </c>
      <c r="O723" t="str">
        <f t="shared" si="67"/>
        <v>06-2026</v>
      </c>
      <c r="P723" t="str">
        <f t="shared" si="68"/>
        <v>06-2026</v>
      </c>
      <c r="Q723">
        <f t="shared" si="69"/>
        <v>1</v>
      </c>
      <c r="R723">
        <f t="shared" si="70"/>
        <v>0</v>
      </c>
      <c r="S723" t="str">
        <f t="shared" si="71"/>
        <v>0-90</v>
      </c>
    </row>
    <row r="724" spans="1:19" x14ac:dyDescent="0.25">
      <c r="A724" s="6" t="s">
        <v>762</v>
      </c>
      <c r="B724" s="6" t="s">
        <v>14</v>
      </c>
      <c r="C724" s="6" t="s">
        <v>15</v>
      </c>
      <c r="D724" s="6" t="s">
        <v>753</v>
      </c>
      <c r="E724" s="6" t="s">
        <v>754</v>
      </c>
      <c r="F724" s="6" t="s">
        <v>755</v>
      </c>
      <c r="G724" s="6" t="s">
        <v>19</v>
      </c>
      <c r="H724" s="11">
        <v>45781</v>
      </c>
      <c r="I724" s="11">
        <v>46124</v>
      </c>
      <c r="J724" s="6" t="s">
        <v>20</v>
      </c>
      <c r="K724" s="6" t="s">
        <v>24</v>
      </c>
      <c r="L724" s="6" t="s">
        <v>41</v>
      </c>
      <c r="M724" s="6">
        <v>343</v>
      </c>
      <c r="N724">
        <f t="shared" si="66"/>
        <v>1</v>
      </c>
      <c r="O724" t="str">
        <f t="shared" si="67"/>
        <v>05-2025</v>
      </c>
      <c r="P724" t="str">
        <f t="shared" si="68"/>
        <v>04-2026</v>
      </c>
      <c r="Q724">
        <f t="shared" si="69"/>
        <v>0</v>
      </c>
      <c r="R724">
        <f t="shared" si="70"/>
        <v>1</v>
      </c>
      <c r="S724" t="str">
        <f t="shared" si="71"/>
        <v>180-365</v>
      </c>
    </row>
    <row r="725" spans="1:19" x14ac:dyDescent="0.25">
      <c r="A725" s="6" t="s">
        <v>763</v>
      </c>
      <c r="B725" s="6" t="s">
        <v>14</v>
      </c>
      <c r="C725" s="6" t="s">
        <v>15</v>
      </c>
      <c r="D725" s="6" t="s">
        <v>753</v>
      </c>
      <c r="E725" s="6" t="s">
        <v>754</v>
      </c>
      <c r="F725" s="6" t="s">
        <v>755</v>
      </c>
      <c r="G725" s="6" t="s">
        <v>19</v>
      </c>
      <c r="H725" s="11">
        <v>45934</v>
      </c>
      <c r="I725" s="11">
        <v>46130</v>
      </c>
      <c r="J725" s="6" t="s">
        <v>20</v>
      </c>
      <c r="K725" s="6" t="s">
        <v>24</v>
      </c>
      <c r="L725" s="6" t="s">
        <v>44</v>
      </c>
      <c r="M725" s="6">
        <v>196</v>
      </c>
      <c r="N725">
        <f t="shared" si="66"/>
        <v>1</v>
      </c>
      <c r="O725" t="str">
        <f t="shared" si="67"/>
        <v>10-2025</v>
      </c>
      <c r="P725" t="str">
        <f t="shared" si="68"/>
        <v>04-2026</v>
      </c>
      <c r="Q725">
        <f t="shared" si="69"/>
        <v>0</v>
      </c>
      <c r="R725">
        <f t="shared" si="70"/>
        <v>1</v>
      </c>
      <c r="S725" t="str">
        <f t="shared" si="71"/>
        <v>180-365</v>
      </c>
    </row>
    <row r="726" spans="1:19" x14ac:dyDescent="0.25">
      <c r="A726" s="6" t="s">
        <v>764</v>
      </c>
      <c r="B726" s="6" t="s">
        <v>14</v>
      </c>
      <c r="C726" s="6" t="s">
        <v>15</v>
      </c>
      <c r="D726" s="6" t="s">
        <v>753</v>
      </c>
      <c r="E726" s="6" t="s">
        <v>754</v>
      </c>
      <c r="F726" s="6" t="s">
        <v>755</v>
      </c>
      <c r="G726" s="6" t="s">
        <v>19</v>
      </c>
      <c r="H726" s="11">
        <v>46117</v>
      </c>
      <c r="I726" s="11"/>
      <c r="J726" s="6" t="s">
        <v>27</v>
      </c>
      <c r="K726" s="6"/>
      <c r="L726" s="6"/>
      <c r="M726" s="6">
        <v>86</v>
      </c>
      <c r="N726">
        <f t="shared" si="66"/>
        <v>0</v>
      </c>
      <c r="O726" t="str">
        <f t="shared" si="67"/>
        <v>04-2026</v>
      </c>
      <c r="P726" t="str">
        <f t="shared" si="68"/>
        <v/>
      </c>
      <c r="Q726">
        <f t="shared" si="69"/>
        <v>0</v>
      </c>
      <c r="R726">
        <f t="shared" si="70"/>
        <v>0</v>
      </c>
      <c r="S726" t="str">
        <f t="shared" si="71"/>
        <v>0-90</v>
      </c>
    </row>
    <row r="727" spans="1:19" x14ac:dyDescent="0.25">
      <c r="A727" s="6" t="s">
        <v>765</v>
      </c>
      <c r="B727" s="6" t="s">
        <v>14</v>
      </c>
      <c r="C727" s="6" t="s">
        <v>15</v>
      </c>
      <c r="D727" s="6" t="s">
        <v>753</v>
      </c>
      <c r="E727" s="6" t="s">
        <v>754</v>
      </c>
      <c r="F727" s="6" t="s">
        <v>755</v>
      </c>
      <c r="G727" s="6" t="s">
        <v>19</v>
      </c>
      <c r="H727" s="11">
        <v>46178</v>
      </c>
      <c r="I727" s="11">
        <v>46179</v>
      </c>
      <c r="J727" s="6" t="s">
        <v>20</v>
      </c>
      <c r="K727" s="6" t="s">
        <v>24</v>
      </c>
      <c r="L727" s="6" t="s">
        <v>44</v>
      </c>
      <c r="M727" s="6">
        <v>1</v>
      </c>
      <c r="N727">
        <f t="shared" si="66"/>
        <v>1</v>
      </c>
      <c r="O727" t="str">
        <f t="shared" si="67"/>
        <v>06-2026</v>
      </c>
      <c r="P727" t="str">
        <f t="shared" si="68"/>
        <v>06-2026</v>
      </c>
      <c r="Q727">
        <f t="shared" si="69"/>
        <v>0</v>
      </c>
      <c r="R727">
        <f t="shared" si="70"/>
        <v>1</v>
      </c>
      <c r="S727" t="str">
        <f t="shared" si="71"/>
        <v>0-90</v>
      </c>
    </row>
    <row r="728" spans="1:19" x14ac:dyDescent="0.25">
      <c r="A728" s="6" t="s">
        <v>766</v>
      </c>
      <c r="B728" s="6" t="s">
        <v>14</v>
      </c>
      <c r="C728" s="6" t="s">
        <v>15</v>
      </c>
      <c r="D728" s="6" t="s">
        <v>753</v>
      </c>
      <c r="E728" s="6" t="s">
        <v>754</v>
      </c>
      <c r="F728" s="6" t="s">
        <v>755</v>
      </c>
      <c r="G728" s="6" t="s">
        <v>19</v>
      </c>
      <c r="H728" s="11">
        <v>46118</v>
      </c>
      <c r="I728" s="11">
        <v>46160</v>
      </c>
      <c r="J728" s="6" t="s">
        <v>20</v>
      </c>
      <c r="K728" s="6" t="s">
        <v>24</v>
      </c>
      <c r="L728" s="6" t="s">
        <v>44</v>
      </c>
      <c r="M728" s="6">
        <v>42</v>
      </c>
      <c r="N728">
        <f t="shared" si="66"/>
        <v>1</v>
      </c>
      <c r="O728" t="str">
        <f t="shared" si="67"/>
        <v>04-2026</v>
      </c>
      <c r="P728" t="str">
        <f t="shared" si="68"/>
        <v>05-2026</v>
      </c>
      <c r="Q728">
        <f t="shared" si="69"/>
        <v>0</v>
      </c>
      <c r="R728">
        <f t="shared" si="70"/>
        <v>1</v>
      </c>
      <c r="S728" t="str">
        <f t="shared" si="71"/>
        <v>0-90</v>
      </c>
    </row>
    <row r="729" spans="1:19" x14ac:dyDescent="0.25">
      <c r="A729" s="6" t="s">
        <v>767</v>
      </c>
      <c r="B729" s="6" t="s">
        <v>14</v>
      </c>
      <c r="C729" s="6" t="s">
        <v>15</v>
      </c>
      <c r="D729" s="6" t="s">
        <v>753</v>
      </c>
      <c r="E729" s="6" t="s">
        <v>754</v>
      </c>
      <c r="F729" s="6" t="s">
        <v>755</v>
      </c>
      <c r="G729" s="6" t="s">
        <v>19</v>
      </c>
      <c r="H729" s="11">
        <v>45783</v>
      </c>
      <c r="I729" s="11"/>
      <c r="J729" s="6" t="s">
        <v>27</v>
      </c>
      <c r="K729" s="6"/>
      <c r="L729" s="6"/>
      <c r="M729" s="6">
        <v>420</v>
      </c>
      <c r="N729">
        <f t="shared" si="66"/>
        <v>0</v>
      </c>
      <c r="O729" t="str">
        <f t="shared" si="67"/>
        <v>05-2025</v>
      </c>
      <c r="P729" t="str">
        <f t="shared" si="68"/>
        <v/>
      </c>
      <c r="Q729">
        <f t="shared" si="69"/>
        <v>0</v>
      </c>
      <c r="R729">
        <f t="shared" si="70"/>
        <v>0</v>
      </c>
      <c r="S729" t="str">
        <f t="shared" si="71"/>
        <v>above 1 year</v>
      </c>
    </row>
    <row r="730" spans="1:19" x14ac:dyDescent="0.25">
      <c r="A730" s="6" t="s">
        <v>768</v>
      </c>
      <c r="B730" s="6" t="s">
        <v>14</v>
      </c>
      <c r="C730" s="6" t="s">
        <v>15</v>
      </c>
      <c r="D730" s="6" t="s">
        <v>753</v>
      </c>
      <c r="E730" s="6" t="s">
        <v>754</v>
      </c>
      <c r="F730" s="6" t="s">
        <v>755</v>
      </c>
      <c r="G730" s="6" t="s">
        <v>19</v>
      </c>
      <c r="H730" s="11">
        <v>46180</v>
      </c>
      <c r="I730" s="11">
        <v>46195</v>
      </c>
      <c r="J730" s="6" t="s">
        <v>20</v>
      </c>
      <c r="K730" s="6" t="s">
        <v>21</v>
      </c>
      <c r="L730" s="6" t="s">
        <v>22</v>
      </c>
      <c r="M730" s="6">
        <v>15</v>
      </c>
      <c r="N730">
        <f t="shared" si="66"/>
        <v>1</v>
      </c>
      <c r="O730" t="str">
        <f t="shared" si="67"/>
        <v>06-2026</v>
      </c>
      <c r="P730" t="str">
        <f t="shared" si="68"/>
        <v>06-2026</v>
      </c>
      <c r="Q730">
        <f t="shared" si="69"/>
        <v>1</v>
      </c>
      <c r="R730">
        <f t="shared" si="70"/>
        <v>0</v>
      </c>
      <c r="S730" t="str">
        <f t="shared" si="71"/>
        <v>0-90</v>
      </c>
    </row>
    <row r="731" spans="1:19" x14ac:dyDescent="0.25">
      <c r="A731" s="6" t="s">
        <v>769</v>
      </c>
      <c r="B731" s="6" t="s">
        <v>14</v>
      </c>
      <c r="C731" s="6" t="s">
        <v>15</v>
      </c>
      <c r="D731" s="6" t="s">
        <v>753</v>
      </c>
      <c r="E731" s="6" t="s">
        <v>754</v>
      </c>
      <c r="F731" s="6" t="s">
        <v>755</v>
      </c>
      <c r="G731" s="6" t="s">
        <v>19</v>
      </c>
      <c r="H731" s="11">
        <v>46149</v>
      </c>
      <c r="I731" s="11"/>
      <c r="J731" s="6" t="s">
        <v>27</v>
      </c>
      <c r="K731" s="6"/>
      <c r="L731" s="6"/>
      <c r="M731" s="6">
        <v>54</v>
      </c>
      <c r="N731">
        <f t="shared" si="66"/>
        <v>0</v>
      </c>
      <c r="O731" t="str">
        <f t="shared" si="67"/>
        <v>05-2026</v>
      </c>
      <c r="P731" t="str">
        <f t="shared" si="68"/>
        <v/>
      </c>
      <c r="Q731">
        <f t="shared" si="69"/>
        <v>0</v>
      </c>
      <c r="R731">
        <f t="shared" si="70"/>
        <v>0</v>
      </c>
      <c r="S731" t="str">
        <f t="shared" si="71"/>
        <v>0-90</v>
      </c>
    </row>
    <row r="732" spans="1:19" x14ac:dyDescent="0.25">
      <c r="A732" s="6" t="s">
        <v>770</v>
      </c>
      <c r="B732" s="6" t="s">
        <v>14</v>
      </c>
      <c r="C732" s="6" t="s">
        <v>15</v>
      </c>
      <c r="D732" s="6" t="s">
        <v>753</v>
      </c>
      <c r="E732" s="6" t="s">
        <v>754</v>
      </c>
      <c r="F732" s="6" t="s">
        <v>755</v>
      </c>
      <c r="G732" s="6" t="s">
        <v>19</v>
      </c>
      <c r="H732" s="11">
        <v>46120</v>
      </c>
      <c r="I732" s="11"/>
      <c r="J732" s="6" t="s">
        <v>27</v>
      </c>
      <c r="K732" s="6"/>
      <c r="L732" s="6"/>
      <c r="M732" s="6">
        <v>83</v>
      </c>
      <c r="N732">
        <f t="shared" si="66"/>
        <v>0</v>
      </c>
      <c r="O732" t="str">
        <f t="shared" si="67"/>
        <v>04-2026</v>
      </c>
      <c r="P732" t="str">
        <f t="shared" si="68"/>
        <v/>
      </c>
      <c r="Q732">
        <f t="shared" si="69"/>
        <v>0</v>
      </c>
      <c r="R732">
        <f t="shared" si="70"/>
        <v>0</v>
      </c>
      <c r="S732" t="str">
        <f t="shared" si="71"/>
        <v>0-90</v>
      </c>
    </row>
    <row r="733" spans="1:19" x14ac:dyDescent="0.25">
      <c r="A733" s="6" t="s">
        <v>771</v>
      </c>
      <c r="B733" s="6" t="s">
        <v>14</v>
      </c>
      <c r="C733" s="6" t="s">
        <v>15</v>
      </c>
      <c r="D733" s="6" t="s">
        <v>753</v>
      </c>
      <c r="E733" s="6" t="s">
        <v>754</v>
      </c>
      <c r="F733" s="6" t="s">
        <v>755</v>
      </c>
      <c r="G733" s="6" t="s">
        <v>19</v>
      </c>
      <c r="H733" s="11">
        <v>46120</v>
      </c>
      <c r="I733" s="11"/>
      <c r="J733" s="6" t="s">
        <v>27</v>
      </c>
      <c r="K733" s="6"/>
      <c r="L733" s="6"/>
      <c r="M733" s="6">
        <v>83</v>
      </c>
      <c r="N733">
        <f t="shared" si="66"/>
        <v>0</v>
      </c>
      <c r="O733" t="str">
        <f t="shared" si="67"/>
        <v>04-2026</v>
      </c>
      <c r="P733" t="str">
        <f t="shared" si="68"/>
        <v/>
      </c>
      <c r="Q733">
        <f t="shared" si="69"/>
        <v>0</v>
      </c>
      <c r="R733">
        <f t="shared" si="70"/>
        <v>0</v>
      </c>
      <c r="S733" t="str">
        <f t="shared" si="71"/>
        <v>0-90</v>
      </c>
    </row>
    <row r="734" spans="1:19" x14ac:dyDescent="0.25">
      <c r="A734" s="6" t="s">
        <v>772</v>
      </c>
      <c r="B734" s="6" t="s">
        <v>14</v>
      </c>
      <c r="C734" s="6" t="s">
        <v>15</v>
      </c>
      <c r="D734" s="6" t="s">
        <v>753</v>
      </c>
      <c r="E734" s="6" t="s">
        <v>754</v>
      </c>
      <c r="F734" s="6" t="s">
        <v>755</v>
      </c>
      <c r="G734" s="6" t="s">
        <v>19</v>
      </c>
      <c r="H734" s="11">
        <v>46181</v>
      </c>
      <c r="I734" s="11">
        <v>46202</v>
      </c>
      <c r="J734" s="6" t="s">
        <v>20</v>
      </c>
      <c r="K734" s="6" t="s">
        <v>21</v>
      </c>
      <c r="L734" s="6" t="s">
        <v>33</v>
      </c>
      <c r="M734" s="6">
        <v>21</v>
      </c>
      <c r="N734">
        <f t="shared" si="66"/>
        <v>1</v>
      </c>
      <c r="O734" t="str">
        <f t="shared" si="67"/>
        <v>06-2026</v>
      </c>
      <c r="P734" t="str">
        <f t="shared" si="68"/>
        <v>06-2026</v>
      </c>
      <c r="Q734">
        <f t="shared" si="69"/>
        <v>1</v>
      </c>
      <c r="R734">
        <f t="shared" si="70"/>
        <v>0</v>
      </c>
      <c r="S734" t="str">
        <f t="shared" si="71"/>
        <v>0-90</v>
      </c>
    </row>
    <row r="735" spans="1:19" x14ac:dyDescent="0.25">
      <c r="A735" s="6" t="s">
        <v>773</v>
      </c>
      <c r="B735" s="6" t="s">
        <v>14</v>
      </c>
      <c r="C735" s="6" t="s">
        <v>15</v>
      </c>
      <c r="D735" s="6" t="s">
        <v>753</v>
      </c>
      <c r="E735" s="6" t="s">
        <v>754</v>
      </c>
      <c r="F735" s="6" t="s">
        <v>755</v>
      </c>
      <c r="G735" s="6" t="s">
        <v>19</v>
      </c>
      <c r="H735" s="11">
        <v>46121</v>
      </c>
      <c r="I735" s="11"/>
      <c r="J735" s="6" t="s">
        <v>27</v>
      </c>
      <c r="K735" s="6"/>
      <c r="L735" s="6"/>
      <c r="M735" s="6">
        <v>82</v>
      </c>
      <c r="N735">
        <f t="shared" si="66"/>
        <v>0</v>
      </c>
      <c r="O735" t="str">
        <f t="shared" si="67"/>
        <v>04-2026</v>
      </c>
      <c r="P735" t="str">
        <f t="shared" si="68"/>
        <v/>
      </c>
      <c r="Q735">
        <f t="shared" si="69"/>
        <v>0</v>
      </c>
      <c r="R735">
        <f t="shared" si="70"/>
        <v>0</v>
      </c>
      <c r="S735" t="str">
        <f t="shared" si="71"/>
        <v>0-90</v>
      </c>
    </row>
    <row r="736" spans="1:19" x14ac:dyDescent="0.25">
      <c r="A736" s="6" t="s">
        <v>774</v>
      </c>
      <c r="B736" s="6" t="s">
        <v>14</v>
      </c>
      <c r="C736" s="6" t="s">
        <v>15</v>
      </c>
      <c r="D736" s="6" t="s">
        <v>753</v>
      </c>
      <c r="E736" s="6" t="s">
        <v>754</v>
      </c>
      <c r="F736" s="6" t="s">
        <v>755</v>
      </c>
      <c r="G736" s="6" t="s">
        <v>19</v>
      </c>
      <c r="H736" s="11">
        <v>46122</v>
      </c>
      <c r="I736" s="11">
        <v>46122</v>
      </c>
      <c r="J736" s="6" t="s">
        <v>20</v>
      </c>
      <c r="K736" s="6" t="s">
        <v>21</v>
      </c>
      <c r="L736" s="6" t="s">
        <v>50</v>
      </c>
      <c r="M736" s="6">
        <v>0</v>
      </c>
      <c r="N736">
        <f t="shared" si="66"/>
        <v>1</v>
      </c>
      <c r="O736" t="str">
        <f t="shared" si="67"/>
        <v>04-2026</v>
      </c>
      <c r="P736" t="str">
        <f t="shared" si="68"/>
        <v>04-2026</v>
      </c>
      <c r="Q736">
        <f t="shared" si="69"/>
        <v>1</v>
      </c>
      <c r="R736">
        <f t="shared" si="70"/>
        <v>0</v>
      </c>
      <c r="S736" t="str">
        <f t="shared" si="71"/>
        <v>0-90</v>
      </c>
    </row>
    <row r="737" spans="1:19" x14ac:dyDescent="0.25">
      <c r="A737" s="6" t="s">
        <v>775</v>
      </c>
      <c r="B737" s="6" t="s">
        <v>14</v>
      </c>
      <c r="C737" s="6" t="s">
        <v>15</v>
      </c>
      <c r="D737" s="6" t="s">
        <v>753</v>
      </c>
      <c r="E737" s="6" t="s">
        <v>754</v>
      </c>
      <c r="F737" s="6" t="s">
        <v>755</v>
      </c>
      <c r="G737" s="6" t="s">
        <v>19</v>
      </c>
      <c r="H737" s="11">
        <v>46122</v>
      </c>
      <c r="I737" s="11">
        <v>46136</v>
      </c>
      <c r="J737" s="6" t="s">
        <v>20</v>
      </c>
      <c r="K737" s="6" t="s">
        <v>21</v>
      </c>
      <c r="L737" s="6" t="s">
        <v>50</v>
      </c>
      <c r="M737" s="6">
        <v>14</v>
      </c>
      <c r="N737">
        <f t="shared" si="66"/>
        <v>1</v>
      </c>
      <c r="O737" t="str">
        <f t="shared" si="67"/>
        <v>04-2026</v>
      </c>
      <c r="P737" t="str">
        <f t="shared" si="68"/>
        <v>04-2026</v>
      </c>
      <c r="Q737">
        <f t="shared" si="69"/>
        <v>1</v>
      </c>
      <c r="R737">
        <f t="shared" si="70"/>
        <v>0</v>
      </c>
      <c r="S737" t="str">
        <f t="shared" si="71"/>
        <v>0-90</v>
      </c>
    </row>
    <row r="738" spans="1:19" x14ac:dyDescent="0.25">
      <c r="A738" s="6" t="s">
        <v>776</v>
      </c>
      <c r="B738" s="6" t="s">
        <v>14</v>
      </c>
      <c r="C738" s="6" t="s">
        <v>15</v>
      </c>
      <c r="D738" s="6" t="s">
        <v>753</v>
      </c>
      <c r="E738" s="6" t="s">
        <v>754</v>
      </c>
      <c r="F738" s="6" t="s">
        <v>755</v>
      </c>
      <c r="G738" s="6" t="s">
        <v>19</v>
      </c>
      <c r="H738" s="11">
        <v>46032</v>
      </c>
      <c r="I738" s="11">
        <v>46143</v>
      </c>
      <c r="J738" s="6" t="s">
        <v>20</v>
      </c>
      <c r="K738" s="6" t="s">
        <v>21</v>
      </c>
      <c r="L738" s="6" t="s">
        <v>50</v>
      </c>
      <c r="M738" s="6">
        <v>111</v>
      </c>
      <c r="N738">
        <f t="shared" si="66"/>
        <v>1</v>
      </c>
      <c r="O738" t="str">
        <f t="shared" si="67"/>
        <v>01-2026</v>
      </c>
      <c r="P738" t="str">
        <f t="shared" si="68"/>
        <v>05-2026</v>
      </c>
      <c r="Q738">
        <f t="shared" si="69"/>
        <v>1</v>
      </c>
      <c r="R738">
        <f t="shared" si="70"/>
        <v>0</v>
      </c>
      <c r="S738" t="str">
        <f t="shared" si="71"/>
        <v>90-180</v>
      </c>
    </row>
    <row r="739" spans="1:19" x14ac:dyDescent="0.25">
      <c r="A739" s="6" t="s">
        <v>777</v>
      </c>
      <c r="B739" s="6" t="s">
        <v>14</v>
      </c>
      <c r="C739" s="6" t="s">
        <v>15</v>
      </c>
      <c r="D739" s="6" t="s">
        <v>753</v>
      </c>
      <c r="E739" s="6" t="s">
        <v>754</v>
      </c>
      <c r="F739" s="6" t="s">
        <v>755</v>
      </c>
      <c r="G739" s="6" t="s">
        <v>19</v>
      </c>
      <c r="H739" s="11">
        <v>46123</v>
      </c>
      <c r="I739" s="11">
        <v>46164</v>
      </c>
      <c r="J739" s="6" t="s">
        <v>20</v>
      </c>
      <c r="K739" s="6" t="s">
        <v>21</v>
      </c>
      <c r="L739" s="6" t="s">
        <v>61</v>
      </c>
      <c r="M739" s="6">
        <v>41</v>
      </c>
      <c r="N739">
        <f t="shared" si="66"/>
        <v>1</v>
      </c>
      <c r="O739" t="str">
        <f t="shared" si="67"/>
        <v>04-2026</v>
      </c>
      <c r="P739" t="str">
        <f t="shared" si="68"/>
        <v>05-2026</v>
      </c>
      <c r="Q739">
        <f t="shared" si="69"/>
        <v>1</v>
      </c>
      <c r="R739">
        <f t="shared" si="70"/>
        <v>0</v>
      </c>
      <c r="S739" t="str">
        <f t="shared" si="71"/>
        <v>0-90</v>
      </c>
    </row>
    <row r="740" spans="1:19" x14ac:dyDescent="0.25">
      <c r="A740" s="6" t="s">
        <v>778</v>
      </c>
      <c r="B740" s="6" t="s">
        <v>14</v>
      </c>
      <c r="C740" s="6" t="s">
        <v>15</v>
      </c>
      <c r="D740" s="6" t="s">
        <v>753</v>
      </c>
      <c r="E740" s="6" t="s">
        <v>754</v>
      </c>
      <c r="F740" s="6" t="s">
        <v>755</v>
      </c>
      <c r="G740" s="6" t="s">
        <v>19</v>
      </c>
      <c r="H740" s="11">
        <v>46002</v>
      </c>
      <c r="I740" s="11">
        <v>46183</v>
      </c>
      <c r="J740" s="6" t="s">
        <v>20</v>
      </c>
      <c r="K740" s="6" t="s">
        <v>24</v>
      </c>
      <c r="L740" s="6" t="s">
        <v>25</v>
      </c>
      <c r="M740" s="6">
        <v>181</v>
      </c>
      <c r="N740">
        <f t="shared" si="66"/>
        <v>1</v>
      </c>
      <c r="O740" t="str">
        <f t="shared" si="67"/>
        <v>12-2025</v>
      </c>
      <c r="P740" t="str">
        <f t="shared" si="68"/>
        <v>06-2026</v>
      </c>
      <c r="Q740">
        <f t="shared" si="69"/>
        <v>0</v>
      </c>
      <c r="R740">
        <f t="shared" si="70"/>
        <v>1</v>
      </c>
      <c r="S740" t="str">
        <f t="shared" si="71"/>
        <v>180-365</v>
      </c>
    </row>
    <row r="741" spans="1:19" x14ac:dyDescent="0.25">
      <c r="A741" s="6" t="s">
        <v>779</v>
      </c>
      <c r="B741" s="6" t="s">
        <v>14</v>
      </c>
      <c r="C741" s="6" t="s">
        <v>15</v>
      </c>
      <c r="D741" s="6" t="s">
        <v>753</v>
      </c>
      <c r="E741" s="6" t="s">
        <v>754</v>
      </c>
      <c r="F741" s="6" t="s">
        <v>755</v>
      </c>
      <c r="G741" s="6" t="s">
        <v>19</v>
      </c>
      <c r="H741" s="11">
        <v>46153</v>
      </c>
      <c r="I741" s="11">
        <v>46153</v>
      </c>
      <c r="J741" s="6" t="s">
        <v>20</v>
      </c>
      <c r="K741" s="6" t="s">
        <v>21</v>
      </c>
      <c r="L741" s="6" t="s">
        <v>33</v>
      </c>
      <c r="M741" s="6">
        <v>0</v>
      </c>
      <c r="N741">
        <f t="shared" si="66"/>
        <v>1</v>
      </c>
      <c r="O741" t="str">
        <f t="shared" si="67"/>
        <v>05-2026</v>
      </c>
      <c r="P741" t="str">
        <f t="shared" si="68"/>
        <v>05-2026</v>
      </c>
      <c r="Q741">
        <f t="shared" si="69"/>
        <v>1</v>
      </c>
      <c r="R741">
        <f t="shared" si="70"/>
        <v>0</v>
      </c>
      <c r="S741" t="str">
        <f t="shared" si="71"/>
        <v>0-90</v>
      </c>
    </row>
    <row r="742" spans="1:19" x14ac:dyDescent="0.25">
      <c r="A742" s="6" t="s">
        <v>780</v>
      </c>
      <c r="B742" s="6" t="s">
        <v>14</v>
      </c>
      <c r="C742" s="6" t="s">
        <v>15</v>
      </c>
      <c r="D742" s="6" t="s">
        <v>753</v>
      </c>
      <c r="E742" s="6" t="s">
        <v>754</v>
      </c>
      <c r="F742" s="6" t="s">
        <v>755</v>
      </c>
      <c r="G742" s="6" t="s">
        <v>19</v>
      </c>
      <c r="H742" s="11">
        <v>46154</v>
      </c>
      <c r="I742" s="11">
        <v>46163</v>
      </c>
      <c r="J742" s="6" t="s">
        <v>20</v>
      </c>
      <c r="K742" s="6" t="s">
        <v>21</v>
      </c>
      <c r="L742" s="6" t="s">
        <v>30</v>
      </c>
      <c r="M742" s="6">
        <v>9</v>
      </c>
      <c r="N742">
        <f t="shared" si="66"/>
        <v>1</v>
      </c>
      <c r="O742" t="str">
        <f t="shared" si="67"/>
        <v>05-2026</v>
      </c>
      <c r="P742" t="str">
        <f t="shared" si="68"/>
        <v>05-2026</v>
      </c>
      <c r="Q742">
        <f t="shared" si="69"/>
        <v>1</v>
      </c>
      <c r="R742">
        <f t="shared" si="70"/>
        <v>0</v>
      </c>
      <c r="S742" t="str">
        <f t="shared" si="71"/>
        <v>0-90</v>
      </c>
    </row>
    <row r="743" spans="1:19" x14ac:dyDescent="0.25">
      <c r="A743" s="6" t="s">
        <v>781</v>
      </c>
      <c r="B743" s="6" t="s">
        <v>14</v>
      </c>
      <c r="C743" s="6" t="s">
        <v>15</v>
      </c>
      <c r="D743" s="6" t="s">
        <v>753</v>
      </c>
      <c r="E743" s="6" t="s">
        <v>754</v>
      </c>
      <c r="F743" s="6" t="s">
        <v>755</v>
      </c>
      <c r="G743" s="6" t="s">
        <v>19</v>
      </c>
      <c r="H743" s="11">
        <v>45882</v>
      </c>
      <c r="I743" s="11">
        <v>46143</v>
      </c>
      <c r="J743" s="6" t="s">
        <v>20</v>
      </c>
      <c r="K743" s="6" t="s">
        <v>24</v>
      </c>
      <c r="L743" s="6" t="s">
        <v>41</v>
      </c>
      <c r="M743" s="6">
        <v>261</v>
      </c>
      <c r="N743">
        <f t="shared" si="66"/>
        <v>1</v>
      </c>
      <c r="O743" t="str">
        <f t="shared" si="67"/>
        <v>08-2025</v>
      </c>
      <c r="P743" t="str">
        <f t="shared" si="68"/>
        <v>05-2026</v>
      </c>
      <c r="Q743">
        <f t="shared" si="69"/>
        <v>0</v>
      </c>
      <c r="R743">
        <f t="shared" si="70"/>
        <v>1</v>
      </c>
      <c r="S743" t="str">
        <f t="shared" si="71"/>
        <v>180-365</v>
      </c>
    </row>
    <row r="744" spans="1:19" x14ac:dyDescent="0.25">
      <c r="A744" s="6" t="s">
        <v>782</v>
      </c>
      <c r="B744" s="6" t="s">
        <v>14</v>
      </c>
      <c r="C744" s="6" t="s">
        <v>15</v>
      </c>
      <c r="D744" s="6" t="s">
        <v>753</v>
      </c>
      <c r="E744" s="6" t="s">
        <v>754</v>
      </c>
      <c r="F744" s="6" t="s">
        <v>755</v>
      </c>
      <c r="G744" s="6" t="s">
        <v>19</v>
      </c>
      <c r="H744" s="11">
        <v>45821</v>
      </c>
      <c r="I744" s="11"/>
      <c r="J744" s="6" t="s">
        <v>27</v>
      </c>
      <c r="K744" s="6"/>
      <c r="L744" s="6"/>
      <c r="M744" s="6">
        <v>382</v>
      </c>
      <c r="N744">
        <f t="shared" si="66"/>
        <v>0</v>
      </c>
      <c r="O744" t="str">
        <f t="shared" si="67"/>
        <v>06-2025</v>
      </c>
      <c r="P744" t="str">
        <f t="shared" si="68"/>
        <v/>
      </c>
      <c r="Q744">
        <f t="shared" si="69"/>
        <v>0</v>
      </c>
      <c r="R744">
        <f t="shared" si="70"/>
        <v>0</v>
      </c>
      <c r="S744" t="str">
        <f t="shared" si="71"/>
        <v>above 1 year</v>
      </c>
    </row>
    <row r="745" spans="1:19" x14ac:dyDescent="0.25">
      <c r="A745" s="6" t="s">
        <v>783</v>
      </c>
      <c r="B745" s="6" t="s">
        <v>14</v>
      </c>
      <c r="C745" s="6" t="s">
        <v>15</v>
      </c>
      <c r="D745" s="6" t="s">
        <v>753</v>
      </c>
      <c r="E745" s="6" t="s">
        <v>754</v>
      </c>
      <c r="F745" s="6" t="s">
        <v>755</v>
      </c>
      <c r="G745" s="6" t="s">
        <v>19</v>
      </c>
      <c r="H745" s="11">
        <v>45729</v>
      </c>
      <c r="I745" s="11">
        <v>46192</v>
      </c>
      <c r="J745" s="6" t="s">
        <v>20</v>
      </c>
      <c r="K745" s="6" t="s">
        <v>24</v>
      </c>
      <c r="L745" s="6" t="s">
        <v>25</v>
      </c>
      <c r="M745" s="6">
        <v>463</v>
      </c>
      <c r="N745">
        <f t="shared" si="66"/>
        <v>1</v>
      </c>
      <c r="O745" t="str">
        <f t="shared" si="67"/>
        <v>03-2025</v>
      </c>
      <c r="P745" t="str">
        <f t="shared" si="68"/>
        <v>06-2026</v>
      </c>
      <c r="Q745">
        <f t="shared" si="69"/>
        <v>0</v>
      </c>
      <c r="R745">
        <f t="shared" si="70"/>
        <v>1</v>
      </c>
      <c r="S745" t="str">
        <f t="shared" si="71"/>
        <v>above 1 year</v>
      </c>
    </row>
    <row r="746" spans="1:19" x14ac:dyDescent="0.25">
      <c r="A746" s="6" t="s">
        <v>784</v>
      </c>
      <c r="B746" s="6" t="s">
        <v>14</v>
      </c>
      <c r="C746" s="6" t="s">
        <v>15</v>
      </c>
      <c r="D746" s="6" t="s">
        <v>753</v>
      </c>
      <c r="E746" s="6" t="s">
        <v>754</v>
      </c>
      <c r="F746" s="6" t="s">
        <v>755</v>
      </c>
      <c r="G746" s="6" t="s">
        <v>19</v>
      </c>
      <c r="H746" s="11">
        <v>46126</v>
      </c>
      <c r="I746" s="11">
        <v>46135</v>
      </c>
      <c r="J746" s="6" t="s">
        <v>20</v>
      </c>
      <c r="K746" s="6" t="s">
        <v>24</v>
      </c>
      <c r="L746" s="6" t="s">
        <v>25</v>
      </c>
      <c r="M746" s="6">
        <v>9</v>
      </c>
      <c r="N746">
        <f t="shared" si="66"/>
        <v>1</v>
      </c>
      <c r="O746" t="str">
        <f t="shared" si="67"/>
        <v>04-2026</v>
      </c>
      <c r="P746" t="str">
        <f t="shared" si="68"/>
        <v>04-2026</v>
      </c>
      <c r="Q746">
        <f t="shared" si="69"/>
        <v>0</v>
      </c>
      <c r="R746">
        <f t="shared" si="70"/>
        <v>1</v>
      </c>
      <c r="S746" t="str">
        <f t="shared" si="71"/>
        <v>0-90</v>
      </c>
    </row>
    <row r="747" spans="1:19" x14ac:dyDescent="0.25">
      <c r="A747" s="6" t="s">
        <v>785</v>
      </c>
      <c r="B747" s="6" t="s">
        <v>14</v>
      </c>
      <c r="C747" s="6" t="s">
        <v>15</v>
      </c>
      <c r="D747" s="6" t="s">
        <v>753</v>
      </c>
      <c r="E747" s="6" t="s">
        <v>754</v>
      </c>
      <c r="F747" s="6" t="s">
        <v>755</v>
      </c>
      <c r="G747" s="6" t="s">
        <v>19</v>
      </c>
      <c r="H747" s="11">
        <v>46037</v>
      </c>
      <c r="I747" s="11"/>
      <c r="J747" s="6" t="s">
        <v>27</v>
      </c>
      <c r="K747" s="6"/>
      <c r="L747" s="6"/>
      <c r="M747" s="6">
        <v>166</v>
      </c>
      <c r="N747">
        <f t="shared" si="66"/>
        <v>0</v>
      </c>
      <c r="O747" t="str">
        <f t="shared" si="67"/>
        <v>01-2026</v>
      </c>
      <c r="P747" t="str">
        <f t="shared" si="68"/>
        <v/>
      </c>
      <c r="Q747">
        <f t="shared" si="69"/>
        <v>0</v>
      </c>
      <c r="R747">
        <f t="shared" si="70"/>
        <v>0</v>
      </c>
      <c r="S747" t="str">
        <f t="shared" si="71"/>
        <v>90-180</v>
      </c>
    </row>
    <row r="748" spans="1:19" x14ac:dyDescent="0.25">
      <c r="A748" s="6" t="s">
        <v>786</v>
      </c>
      <c r="B748" s="6" t="s">
        <v>14</v>
      </c>
      <c r="C748" s="6" t="s">
        <v>15</v>
      </c>
      <c r="D748" s="6" t="s">
        <v>753</v>
      </c>
      <c r="E748" s="6" t="s">
        <v>754</v>
      </c>
      <c r="F748" s="6" t="s">
        <v>755</v>
      </c>
      <c r="G748" s="6" t="s">
        <v>19</v>
      </c>
      <c r="H748" s="11">
        <v>45915</v>
      </c>
      <c r="I748" s="11">
        <v>46125</v>
      </c>
      <c r="J748" s="6" t="s">
        <v>20</v>
      </c>
      <c r="K748" s="6" t="s">
        <v>24</v>
      </c>
      <c r="L748" s="6" t="s">
        <v>25</v>
      </c>
      <c r="M748" s="6">
        <v>210</v>
      </c>
      <c r="N748">
        <f t="shared" si="66"/>
        <v>1</v>
      </c>
      <c r="O748" t="str">
        <f t="shared" si="67"/>
        <v>09-2025</v>
      </c>
      <c r="P748" t="str">
        <f t="shared" si="68"/>
        <v>04-2026</v>
      </c>
      <c r="Q748">
        <f t="shared" si="69"/>
        <v>0</v>
      </c>
      <c r="R748">
        <f t="shared" si="70"/>
        <v>1</v>
      </c>
      <c r="S748" t="str">
        <f t="shared" si="71"/>
        <v>180-365</v>
      </c>
    </row>
    <row r="749" spans="1:19" x14ac:dyDescent="0.25">
      <c r="A749" s="6" t="s">
        <v>787</v>
      </c>
      <c r="B749" s="6" t="s">
        <v>14</v>
      </c>
      <c r="C749" s="6" t="s">
        <v>15</v>
      </c>
      <c r="D749" s="6" t="s">
        <v>753</v>
      </c>
      <c r="E749" s="6" t="s">
        <v>754</v>
      </c>
      <c r="F749" s="6" t="s">
        <v>755</v>
      </c>
      <c r="G749" s="6" t="s">
        <v>19</v>
      </c>
      <c r="H749" s="11">
        <v>45763</v>
      </c>
      <c r="I749" s="11">
        <v>46168</v>
      </c>
      <c r="J749" s="6" t="s">
        <v>20</v>
      </c>
      <c r="K749" s="6" t="s">
        <v>24</v>
      </c>
      <c r="L749" s="6" t="s">
        <v>25</v>
      </c>
      <c r="M749" s="6">
        <v>405</v>
      </c>
      <c r="N749">
        <f t="shared" si="66"/>
        <v>1</v>
      </c>
      <c r="O749" t="str">
        <f t="shared" si="67"/>
        <v>04-2025</v>
      </c>
      <c r="P749" t="str">
        <f t="shared" si="68"/>
        <v>05-2026</v>
      </c>
      <c r="Q749">
        <f t="shared" si="69"/>
        <v>0</v>
      </c>
      <c r="R749">
        <f t="shared" si="70"/>
        <v>1</v>
      </c>
      <c r="S749" t="str">
        <f t="shared" si="71"/>
        <v>above 1 year</v>
      </c>
    </row>
    <row r="750" spans="1:19" x14ac:dyDescent="0.25">
      <c r="A750" s="6" t="s">
        <v>788</v>
      </c>
      <c r="B750" s="6" t="s">
        <v>14</v>
      </c>
      <c r="C750" s="6" t="s">
        <v>15</v>
      </c>
      <c r="D750" s="6" t="s">
        <v>753</v>
      </c>
      <c r="E750" s="6" t="s">
        <v>754</v>
      </c>
      <c r="F750" s="6" t="s">
        <v>755</v>
      </c>
      <c r="G750" s="6" t="s">
        <v>19</v>
      </c>
      <c r="H750" s="11">
        <v>46158</v>
      </c>
      <c r="I750" s="11">
        <v>46158</v>
      </c>
      <c r="J750" s="6" t="s">
        <v>20</v>
      </c>
      <c r="K750" s="6" t="s">
        <v>21</v>
      </c>
      <c r="L750" s="6" t="s">
        <v>22</v>
      </c>
      <c r="M750" s="6">
        <v>0</v>
      </c>
      <c r="N750">
        <f t="shared" si="66"/>
        <v>1</v>
      </c>
      <c r="O750" t="str">
        <f t="shared" si="67"/>
        <v>05-2026</v>
      </c>
      <c r="P750" t="str">
        <f t="shared" si="68"/>
        <v>05-2026</v>
      </c>
      <c r="Q750">
        <f t="shared" si="69"/>
        <v>1</v>
      </c>
      <c r="R750">
        <f t="shared" si="70"/>
        <v>0</v>
      </c>
      <c r="S750" t="str">
        <f t="shared" si="71"/>
        <v>0-90</v>
      </c>
    </row>
    <row r="751" spans="1:19" x14ac:dyDescent="0.25">
      <c r="A751" s="6" t="s">
        <v>789</v>
      </c>
      <c r="B751" s="6" t="s">
        <v>14</v>
      </c>
      <c r="C751" s="6" t="s">
        <v>15</v>
      </c>
      <c r="D751" s="6" t="s">
        <v>753</v>
      </c>
      <c r="E751" s="6" t="s">
        <v>754</v>
      </c>
      <c r="F751" s="6" t="s">
        <v>755</v>
      </c>
      <c r="G751" s="6" t="s">
        <v>19</v>
      </c>
      <c r="H751" s="11">
        <v>46129</v>
      </c>
      <c r="I751" s="11"/>
      <c r="J751" s="6" t="s">
        <v>27</v>
      </c>
      <c r="K751" s="6"/>
      <c r="L751" s="6"/>
      <c r="M751" s="6">
        <v>74</v>
      </c>
      <c r="N751">
        <f t="shared" si="66"/>
        <v>0</v>
      </c>
      <c r="O751" t="str">
        <f t="shared" si="67"/>
        <v>04-2026</v>
      </c>
      <c r="P751" t="str">
        <f t="shared" si="68"/>
        <v/>
      </c>
      <c r="Q751">
        <f t="shared" si="69"/>
        <v>0</v>
      </c>
      <c r="R751">
        <f t="shared" si="70"/>
        <v>0</v>
      </c>
      <c r="S751" t="str">
        <f t="shared" si="71"/>
        <v>0-90</v>
      </c>
    </row>
    <row r="752" spans="1:19" x14ac:dyDescent="0.25">
      <c r="A752" s="6" t="s">
        <v>790</v>
      </c>
      <c r="B752" s="6" t="s">
        <v>14</v>
      </c>
      <c r="C752" s="6" t="s">
        <v>15</v>
      </c>
      <c r="D752" s="6" t="s">
        <v>753</v>
      </c>
      <c r="E752" s="6" t="s">
        <v>754</v>
      </c>
      <c r="F752" s="6" t="s">
        <v>755</v>
      </c>
      <c r="G752" s="6" t="s">
        <v>19</v>
      </c>
      <c r="H752" s="11">
        <v>45886</v>
      </c>
      <c r="I752" s="11">
        <v>46160</v>
      </c>
      <c r="J752" s="6" t="s">
        <v>20</v>
      </c>
      <c r="K752" s="6" t="s">
        <v>21</v>
      </c>
      <c r="L752" s="6" t="s">
        <v>33</v>
      </c>
      <c r="M752" s="6">
        <v>274</v>
      </c>
      <c r="N752">
        <f t="shared" si="66"/>
        <v>1</v>
      </c>
      <c r="O752" t="str">
        <f t="shared" si="67"/>
        <v>08-2025</v>
      </c>
      <c r="P752" t="str">
        <f t="shared" si="68"/>
        <v>05-2026</v>
      </c>
      <c r="Q752">
        <f t="shared" si="69"/>
        <v>1</v>
      </c>
      <c r="R752">
        <f t="shared" si="70"/>
        <v>0</v>
      </c>
      <c r="S752" t="str">
        <f t="shared" si="71"/>
        <v>180-365</v>
      </c>
    </row>
    <row r="753" spans="1:19" x14ac:dyDescent="0.25">
      <c r="A753" s="6" t="s">
        <v>791</v>
      </c>
      <c r="B753" s="6" t="s">
        <v>14</v>
      </c>
      <c r="C753" s="6" t="s">
        <v>15</v>
      </c>
      <c r="D753" s="6" t="s">
        <v>753</v>
      </c>
      <c r="E753" s="6" t="s">
        <v>754</v>
      </c>
      <c r="F753" s="6" t="s">
        <v>755</v>
      </c>
      <c r="G753" s="6" t="s">
        <v>19</v>
      </c>
      <c r="H753" s="11">
        <v>46190</v>
      </c>
      <c r="I753" s="11"/>
      <c r="J753" s="6" t="s">
        <v>27</v>
      </c>
      <c r="K753" s="6"/>
      <c r="L753" s="6"/>
      <c r="M753" s="6">
        <v>13</v>
      </c>
      <c r="N753">
        <f t="shared" si="66"/>
        <v>0</v>
      </c>
      <c r="O753" t="str">
        <f t="shared" si="67"/>
        <v>06-2026</v>
      </c>
      <c r="P753" t="str">
        <f t="shared" si="68"/>
        <v/>
      </c>
      <c r="Q753">
        <f t="shared" si="69"/>
        <v>0</v>
      </c>
      <c r="R753">
        <f t="shared" si="70"/>
        <v>0</v>
      </c>
      <c r="S753" t="str">
        <f t="shared" si="71"/>
        <v>0-90</v>
      </c>
    </row>
    <row r="754" spans="1:19" x14ac:dyDescent="0.25">
      <c r="A754" s="6" t="s">
        <v>792</v>
      </c>
      <c r="B754" s="6" t="s">
        <v>14</v>
      </c>
      <c r="C754" s="6" t="s">
        <v>15</v>
      </c>
      <c r="D754" s="6" t="s">
        <v>753</v>
      </c>
      <c r="E754" s="6" t="s">
        <v>754</v>
      </c>
      <c r="F754" s="6" t="s">
        <v>755</v>
      </c>
      <c r="G754" s="6" t="s">
        <v>19</v>
      </c>
      <c r="H754" s="11">
        <v>46130</v>
      </c>
      <c r="I754" s="11">
        <v>46203</v>
      </c>
      <c r="J754" s="6" t="s">
        <v>20</v>
      </c>
      <c r="K754" s="6" t="s">
        <v>24</v>
      </c>
      <c r="L754" s="6" t="s">
        <v>55</v>
      </c>
      <c r="M754" s="6">
        <v>73</v>
      </c>
      <c r="N754">
        <f t="shared" si="66"/>
        <v>1</v>
      </c>
      <c r="O754" t="str">
        <f t="shared" si="67"/>
        <v>04-2026</v>
      </c>
      <c r="P754" t="str">
        <f t="shared" si="68"/>
        <v>06-2026</v>
      </c>
      <c r="Q754">
        <f t="shared" si="69"/>
        <v>0</v>
      </c>
      <c r="R754">
        <f t="shared" si="70"/>
        <v>1</v>
      </c>
      <c r="S754" t="str">
        <f t="shared" si="71"/>
        <v>0-90</v>
      </c>
    </row>
    <row r="755" spans="1:19" x14ac:dyDescent="0.25">
      <c r="A755" s="6" t="s">
        <v>793</v>
      </c>
      <c r="B755" s="6" t="s">
        <v>14</v>
      </c>
      <c r="C755" s="6" t="s">
        <v>15</v>
      </c>
      <c r="D755" s="6" t="s">
        <v>753</v>
      </c>
      <c r="E755" s="6" t="s">
        <v>754</v>
      </c>
      <c r="F755" s="6" t="s">
        <v>755</v>
      </c>
      <c r="G755" s="6" t="s">
        <v>19</v>
      </c>
      <c r="H755" s="11">
        <v>45675</v>
      </c>
      <c r="I755" s="11">
        <v>46130</v>
      </c>
      <c r="J755" s="6" t="s">
        <v>20</v>
      </c>
      <c r="K755" s="6" t="s">
        <v>24</v>
      </c>
      <c r="L755" s="6" t="s">
        <v>44</v>
      </c>
      <c r="M755" s="6">
        <v>455</v>
      </c>
      <c r="N755">
        <f t="shared" si="66"/>
        <v>1</v>
      </c>
      <c r="O755" t="str">
        <f t="shared" si="67"/>
        <v>01-2025</v>
      </c>
      <c r="P755" t="str">
        <f t="shared" si="68"/>
        <v>04-2026</v>
      </c>
      <c r="Q755">
        <f t="shared" si="69"/>
        <v>0</v>
      </c>
      <c r="R755">
        <f t="shared" si="70"/>
        <v>1</v>
      </c>
      <c r="S755" t="str">
        <f t="shared" si="71"/>
        <v>above 1 year</v>
      </c>
    </row>
    <row r="756" spans="1:19" x14ac:dyDescent="0.25">
      <c r="A756" s="6" t="s">
        <v>794</v>
      </c>
      <c r="B756" s="6" t="s">
        <v>14</v>
      </c>
      <c r="C756" s="6" t="s">
        <v>15</v>
      </c>
      <c r="D756" s="6" t="s">
        <v>753</v>
      </c>
      <c r="E756" s="6" t="s">
        <v>754</v>
      </c>
      <c r="F756" s="6" t="s">
        <v>755</v>
      </c>
      <c r="G756" s="6" t="s">
        <v>19</v>
      </c>
      <c r="H756" s="11">
        <v>46131</v>
      </c>
      <c r="I756" s="11">
        <v>46140</v>
      </c>
      <c r="J756" s="6" t="s">
        <v>20</v>
      </c>
      <c r="K756" s="6" t="s">
        <v>21</v>
      </c>
      <c r="L756" s="6" t="s">
        <v>22</v>
      </c>
      <c r="M756" s="6">
        <v>9</v>
      </c>
      <c r="N756">
        <f t="shared" si="66"/>
        <v>1</v>
      </c>
      <c r="O756" t="str">
        <f t="shared" si="67"/>
        <v>04-2026</v>
      </c>
      <c r="P756" t="str">
        <f t="shared" si="68"/>
        <v>04-2026</v>
      </c>
      <c r="Q756">
        <f t="shared" si="69"/>
        <v>1</v>
      </c>
      <c r="R756">
        <f t="shared" si="70"/>
        <v>0</v>
      </c>
      <c r="S756" t="str">
        <f t="shared" si="71"/>
        <v>0-90</v>
      </c>
    </row>
    <row r="757" spans="1:19" x14ac:dyDescent="0.25">
      <c r="A757" s="6" t="s">
        <v>795</v>
      </c>
      <c r="B757" s="6" t="s">
        <v>14</v>
      </c>
      <c r="C757" s="6" t="s">
        <v>15</v>
      </c>
      <c r="D757" s="6" t="s">
        <v>753</v>
      </c>
      <c r="E757" s="6" t="s">
        <v>754</v>
      </c>
      <c r="F757" s="6" t="s">
        <v>755</v>
      </c>
      <c r="G757" s="6" t="s">
        <v>19</v>
      </c>
      <c r="H757" s="11">
        <v>46100</v>
      </c>
      <c r="I757" s="11">
        <v>46125</v>
      </c>
      <c r="J757" s="6" t="s">
        <v>20</v>
      </c>
      <c r="K757" s="6" t="s">
        <v>24</v>
      </c>
      <c r="L757" s="6" t="s">
        <v>41</v>
      </c>
      <c r="M757" s="6">
        <v>25</v>
      </c>
      <c r="N757">
        <f t="shared" si="66"/>
        <v>1</v>
      </c>
      <c r="O757" t="str">
        <f t="shared" si="67"/>
        <v>03-2026</v>
      </c>
      <c r="P757" t="str">
        <f t="shared" si="68"/>
        <v>04-2026</v>
      </c>
      <c r="Q757">
        <f t="shared" si="69"/>
        <v>0</v>
      </c>
      <c r="R757">
        <f t="shared" si="70"/>
        <v>1</v>
      </c>
      <c r="S757" t="str">
        <f t="shared" si="71"/>
        <v>0-90</v>
      </c>
    </row>
    <row r="758" spans="1:19" x14ac:dyDescent="0.25">
      <c r="A758" s="6" t="s">
        <v>796</v>
      </c>
      <c r="B758" s="6" t="s">
        <v>14</v>
      </c>
      <c r="C758" s="6" t="s">
        <v>15</v>
      </c>
      <c r="D758" s="6" t="s">
        <v>753</v>
      </c>
      <c r="E758" s="6" t="s">
        <v>754</v>
      </c>
      <c r="F758" s="6" t="s">
        <v>755</v>
      </c>
      <c r="G758" s="6" t="s">
        <v>19</v>
      </c>
      <c r="H758" s="11">
        <v>46132</v>
      </c>
      <c r="I758" s="11"/>
      <c r="J758" s="6" t="s">
        <v>27</v>
      </c>
      <c r="K758" s="6"/>
      <c r="L758" s="6"/>
      <c r="M758" s="6">
        <v>71</v>
      </c>
      <c r="N758">
        <f t="shared" si="66"/>
        <v>0</v>
      </c>
      <c r="O758" t="str">
        <f t="shared" si="67"/>
        <v>04-2026</v>
      </c>
      <c r="P758" t="str">
        <f t="shared" si="68"/>
        <v/>
      </c>
      <c r="Q758">
        <f t="shared" si="69"/>
        <v>0</v>
      </c>
      <c r="R758">
        <f t="shared" si="70"/>
        <v>0</v>
      </c>
      <c r="S758" t="str">
        <f t="shared" si="71"/>
        <v>0-90</v>
      </c>
    </row>
    <row r="759" spans="1:19" x14ac:dyDescent="0.25">
      <c r="A759" s="6" t="s">
        <v>797</v>
      </c>
      <c r="B759" s="6" t="s">
        <v>14</v>
      </c>
      <c r="C759" s="6" t="s">
        <v>15</v>
      </c>
      <c r="D759" s="6" t="s">
        <v>753</v>
      </c>
      <c r="E759" s="6" t="s">
        <v>754</v>
      </c>
      <c r="F759" s="6" t="s">
        <v>755</v>
      </c>
      <c r="G759" s="6" t="s">
        <v>19</v>
      </c>
      <c r="H759" s="11">
        <v>46193</v>
      </c>
      <c r="I759" s="11">
        <v>46193</v>
      </c>
      <c r="J759" s="6" t="s">
        <v>20</v>
      </c>
      <c r="K759" s="6" t="s">
        <v>24</v>
      </c>
      <c r="L759" s="6" t="s">
        <v>25</v>
      </c>
      <c r="M759" s="6">
        <v>0</v>
      </c>
      <c r="N759">
        <f t="shared" si="66"/>
        <v>1</v>
      </c>
      <c r="O759" t="str">
        <f t="shared" si="67"/>
        <v>06-2026</v>
      </c>
      <c r="P759" t="str">
        <f t="shared" si="68"/>
        <v>06-2026</v>
      </c>
      <c r="Q759">
        <f t="shared" si="69"/>
        <v>0</v>
      </c>
      <c r="R759">
        <f t="shared" si="70"/>
        <v>1</v>
      </c>
      <c r="S759" t="str">
        <f t="shared" si="71"/>
        <v>0-90</v>
      </c>
    </row>
    <row r="760" spans="1:19" x14ac:dyDescent="0.25">
      <c r="A760" s="6" t="s">
        <v>798</v>
      </c>
      <c r="B760" s="6" t="s">
        <v>14</v>
      </c>
      <c r="C760" s="6" t="s">
        <v>15</v>
      </c>
      <c r="D760" s="6" t="s">
        <v>753</v>
      </c>
      <c r="E760" s="6" t="s">
        <v>754</v>
      </c>
      <c r="F760" s="6" t="s">
        <v>755</v>
      </c>
      <c r="G760" s="6" t="s">
        <v>19</v>
      </c>
      <c r="H760" s="11">
        <v>46133</v>
      </c>
      <c r="I760" s="11"/>
      <c r="J760" s="6" t="s">
        <v>27</v>
      </c>
      <c r="K760" s="6"/>
      <c r="L760" s="6"/>
      <c r="M760" s="6">
        <v>70</v>
      </c>
      <c r="N760">
        <f t="shared" si="66"/>
        <v>0</v>
      </c>
      <c r="O760" t="str">
        <f t="shared" si="67"/>
        <v>04-2026</v>
      </c>
      <c r="P760" t="str">
        <f t="shared" si="68"/>
        <v/>
      </c>
      <c r="Q760">
        <f t="shared" si="69"/>
        <v>0</v>
      </c>
      <c r="R760">
        <f t="shared" si="70"/>
        <v>0</v>
      </c>
      <c r="S760" t="str">
        <f t="shared" si="71"/>
        <v>0-90</v>
      </c>
    </row>
    <row r="761" spans="1:19" x14ac:dyDescent="0.25">
      <c r="A761" s="6" t="s">
        <v>799</v>
      </c>
      <c r="B761" s="6" t="s">
        <v>14</v>
      </c>
      <c r="C761" s="6" t="s">
        <v>15</v>
      </c>
      <c r="D761" s="6" t="s">
        <v>753</v>
      </c>
      <c r="E761" s="6" t="s">
        <v>754</v>
      </c>
      <c r="F761" s="6" t="s">
        <v>755</v>
      </c>
      <c r="G761" s="6" t="s">
        <v>19</v>
      </c>
      <c r="H761" s="11">
        <v>45709</v>
      </c>
      <c r="I761" s="11"/>
      <c r="J761" s="6" t="s">
        <v>27</v>
      </c>
      <c r="K761" s="6"/>
      <c r="L761" s="6"/>
      <c r="M761" s="6">
        <v>494</v>
      </c>
      <c r="N761">
        <f t="shared" si="66"/>
        <v>0</v>
      </c>
      <c r="O761" t="str">
        <f t="shared" si="67"/>
        <v>02-2025</v>
      </c>
      <c r="P761" t="str">
        <f t="shared" si="68"/>
        <v/>
      </c>
      <c r="Q761">
        <f t="shared" si="69"/>
        <v>0</v>
      </c>
      <c r="R761">
        <f t="shared" si="70"/>
        <v>0</v>
      </c>
      <c r="S761" t="str">
        <f t="shared" si="71"/>
        <v>above 1 year</v>
      </c>
    </row>
    <row r="762" spans="1:19" x14ac:dyDescent="0.25">
      <c r="A762" s="6" t="s">
        <v>800</v>
      </c>
      <c r="B762" s="6" t="s">
        <v>14</v>
      </c>
      <c r="C762" s="6" t="s">
        <v>15</v>
      </c>
      <c r="D762" s="6" t="s">
        <v>753</v>
      </c>
      <c r="E762" s="6" t="s">
        <v>754</v>
      </c>
      <c r="F762" s="6" t="s">
        <v>755</v>
      </c>
      <c r="G762" s="6" t="s">
        <v>19</v>
      </c>
      <c r="H762" s="11">
        <v>45769</v>
      </c>
      <c r="I762" s="11">
        <v>46192</v>
      </c>
      <c r="J762" s="6" t="s">
        <v>20</v>
      </c>
      <c r="K762" s="6" t="s">
        <v>24</v>
      </c>
      <c r="L762" s="6" t="s">
        <v>41</v>
      </c>
      <c r="M762" s="6">
        <v>423</v>
      </c>
      <c r="N762">
        <f t="shared" si="66"/>
        <v>1</v>
      </c>
      <c r="O762" t="str">
        <f t="shared" si="67"/>
        <v>04-2025</v>
      </c>
      <c r="P762" t="str">
        <f t="shared" si="68"/>
        <v>06-2026</v>
      </c>
      <c r="Q762">
        <f t="shared" si="69"/>
        <v>0</v>
      </c>
      <c r="R762">
        <f t="shared" si="70"/>
        <v>1</v>
      </c>
      <c r="S762" t="str">
        <f t="shared" si="71"/>
        <v>above 1 year</v>
      </c>
    </row>
    <row r="763" spans="1:19" x14ac:dyDescent="0.25">
      <c r="A763" s="6" t="s">
        <v>801</v>
      </c>
      <c r="B763" s="6" t="s">
        <v>14</v>
      </c>
      <c r="C763" s="6" t="s">
        <v>15</v>
      </c>
      <c r="D763" s="6" t="s">
        <v>753</v>
      </c>
      <c r="E763" s="6" t="s">
        <v>754</v>
      </c>
      <c r="F763" s="6" t="s">
        <v>755</v>
      </c>
      <c r="G763" s="6" t="s">
        <v>19</v>
      </c>
      <c r="H763" s="11">
        <v>46134</v>
      </c>
      <c r="I763" s="11"/>
      <c r="J763" s="6" t="s">
        <v>27</v>
      </c>
      <c r="K763" s="6"/>
      <c r="L763" s="6"/>
      <c r="M763" s="6">
        <v>69</v>
      </c>
      <c r="N763">
        <f t="shared" si="66"/>
        <v>0</v>
      </c>
      <c r="O763" t="str">
        <f t="shared" si="67"/>
        <v>04-2026</v>
      </c>
      <c r="P763" t="str">
        <f t="shared" si="68"/>
        <v/>
      </c>
      <c r="Q763">
        <f t="shared" si="69"/>
        <v>0</v>
      </c>
      <c r="R763">
        <f t="shared" si="70"/>
        <v>0</v>
      </c>
      <c r="S763" t="str">
        <f t="shared" si="71"/>
        <v>0-90</v>
      </c>
    </row>
    <row r="764" spans="1:19" x14ac:dyDescent="0.25">
      <c r="A764" s="6" t="s">
        <v>802</v>
      </c>
      <c r="B764" s="6" t="s">
        <v>14</v>
      </c>
      <c r="C764" s="6" t="s">
        <v>15</v>
      </c>
      <c r="D764" s="6" t="s">
        <v>753</v>
      </c>
      <c r="E764" s="6" t="s">
        <v>754</v>
      </c>
      <c r="F764" s="6" t="s">
        <v>755</v>
      </c>
      <c r="G764" s="6" t="s">
        <v>19</v>
      </c>
      <c r="H764" s="11">
        <v>46134</v>
      </c>
      <c r="I764" s="11"/>
      <c r="J764" s="6" t="s">
        <v>27</v>
      </c>
      <c r="K764" s="6"/>
      <c r="L764" s="6"/>
      <c r="M764" s="6">
        <v>69</v>
      </c>
      <c r="N764">
        <f t="shared" si="66"/>
        <v>0</v>
      </c>
      <c r="O764" t="str">
        <f t="shared" si="67"/>
        <v>04-2026</v>
      </c>
      <c r="P764" t="str">
        <f t="shared" si="68"/>
        <v/>
      </c>
      <c r="Q764">
        <f t="shared" si="69"/>
        <v>0</v>
      </c>
      <c r="R764">
        <f t="shared" si="70"/>
        <v>0</v>
      </c>
      <c r="S764" t="str">
        <f t="shared" si="71"/>
        <v>0-90</v>
      </c>
    </row>
    <row r="765" spans="1:19" x14ac:dyDescent="0.25">
      <c r="A765" s="6" t="s">
        <v>803</v>
      </c>
      <c r="B765" s="6" t="s">
        <v>14</v>
      </c>
      <c r="C765" s="6" t="s">
        <v>15</v>
      </c>
      <c r="D765" s="6" t="s">
        <v>753</v>
      </c>
      <c r="E765" s="6" t="s">
        <v>754</v>
      </c>
      <c r="F765" s="6" t="s">
        <v>755</v>
      </c>
      <c r="G765" s="6" t="s">
        <v>19</v>
      </c>
      <c r="H765" s="11">
        <v>46075</v>
      </c>
      <c r="I765" s="11"/>
      <c r="J765" s="6" t="s">
        <v>27</v>
      </c>
      <c r="K765" s="6"/>
      <c r="L765" s="6"/>
      <c r="M765" s="6">
        <v>128</v>
      </c>
      <c r="N765">
        <f t="shared" si="66"/>
        <v>0</v>
      </c>
      <c r="O765" t="str">
        <f t="shared" si="67"/>
        <v>02-2026</v>
      </c>
      <c r="P765" t="str">
        <f t="shared" si="68"/>
        <v/>
      </c>
      <c r="Q765">
        <f t="shared" si="69"/>
        <v>0</v>
      </c>
      <c r="R765">
        <f t="shared" si="70"/>
        <v>0</v>
      </c>
      <c r="S765" t="str">
        <f t="shared" si="71"/>
        <v>90-180</v>
      </c>
    </row>
    <row r="766" spans="1:19" x14ac:dyDescent="0.25">
      <c r="A766" s="6" t="s">
        <v>804</v>
      </c>
      <c r="B766" s="6" t="s">
        <v>14</v>
      </c>
      <c r="C766" s="6" t="s">
        <v>15</v>
      </c>
      <c r="D766" s="6" t="s">
        <v>753</v>
      </c>
      <c r="E766" s="6" t="s">
        <v>754</v>
      </c>
      <c r="F766" s="6" t="s">
        <v>755</v>
      </c>
      <c r="G766" s="6" t="s">
        <v>19</v>
      </c>
      <c r="H766" s="11">
        <v>46044</v>
      </c>
      <c r="I766" s="11"/>
      <c r="J766" s="6" t="s">
        <v>27</v>
      </c>
      <c r="K766" s="6"/>
      <c r="L766" s="6"/>
      <c r="M766" s="6">
        <v>159</v>
      </c>
      <c r="N766">
        <f t="shared" si="66"/>
        <v>0</v>
      </c>
      <c r="O766" t="str">
        <f t="shared" si="67"/>
        <v>01-2026</v>
      </c>
      <c r="P766" t="str">
        <f t="shared" si="68"/>
        <v/>
      </c>
      <c r="Q766">
        <f t="shared" si="69"/>
        <v>0</v>
      </c>
      <c r="R766">
        <f t="shared" si="70"/>
        <v>0</v>
      </c>
      <c r="S766" t="str">
        <f t="shared" si="71"/>
        <v>90-180</v>
      </c>
    </row>
    <row r="767" spans="1:19" x14ac:dyDescent="0.25">
      <c r="A767" s="6" t="s">
        <v>805</v>
      </c>
      <c r="B767" s="6" t="s">
        <v>14</v>
      </c>
      <c r="C767" s="6" t="s">
        <v>15</v>
      </c>
      <c r="D767" s="6" t="s">
        <v>753</v>
      </c>
      <c r="E767" s="6" t="s">
        <v>754</v>
      </c>
      <c r="F767" s="6" t="s">
        <v>755</v>
      </c>
      <c r="G767" s="6" t="s">
        <v>19</v>
      </c>
      <c r="H767" s="11">
        <v>45952</v>
      </c>
      <c r="I767" s="11"/>
      <c r="J767" s="6" t="s">
        <v>27</v>
      </c>
      <c r="K767" s="6"/>
      <c r="L767" s="6"/>
      <c r="M767" s="6">
        <v>251</v>
      </c>
      <c r="N767">
        <f t="shared" si="66"/>
        <v>0</v>
      </c>
      <c r="O767" t="str">
        <f t="shared" si="67"/>
        <v>10-2025</v>
      </c>
      <c r="P767" t="str">
        <f t="shared" si="68"/>
        <v/>
      </c>
      <c r="Q767">
        <f t="shared" si="69"/>
        <v>0</v>
      </c>
      <c r="R767">
        <f t="shared" si="70"/>
        <v>0</v>
      </c>
      <c r="S767" t="str">
        <f t="shared" si="71"/>
        <v>180-365</v>
      </c>
    </row>
    <row r="768" spans="1:19" x14ac:dyDescent="0.25">
      <c r="A768" s="6" t="s">
        <v>806</v>
      </c>
      <c r="B768" s="6" t="s">
        <v>14</v>
      </c>
      <c r="C768" s="6" t="s">
        <v>15</v>
      </c>
      <c r="D768" s="6" t="s">
        <v>753</v>
      </c>
      <c r="E768" s="6" t="s">
        <v>754</v>
      </c>
      <c r="F768" s="6" t="s">
        <v>755</v>
      </c>
      <c r="G768" s="6" t="s">
        <v>19</v>
      </c>
      <c r="H768" s="11">
        <v>45680</v>
      </c>
      <c r="I768" s="11"/>
      <c r="J768" s="6" t="s">
        <v>27</v>
      </c>
      <c r="K768" s="6"/>
      <c r="L768" s="6"/>
      <c r="M768" s="6">
        <v>523</v>
      </c>
      <c r="N768">
        <f t="shared" si="66"/>
        <v>0</v>
      </c>
      <c r="O768" t="str">
        <f t="shared" si="67"/>
        <v>01-2025</v>
      </c>
      <c r="P768" t="str">
        <f t="shared" si="68"/>
        <v/>
      </c>
      <c r="Q768">
        <f t="shared" si="69"/>
        <v>0</v>
      </c>
      <c r="R768">
        <f t="shared" si="70"/>
        <v>0</v>
      </c>
      <c r="S768" t="str">
        <f t="shared" si="71"/>
        <v>above 1 year</v>
      </c>
    </row>
    <row r="769" spans="1:19" x14ac:dyDescent="0.25">
      <c r="A769" s="6" t="s">
        <v>807</v>
      </c>
      <c r="B769" s="6" t="s">
        <v>14</v>
      </c>
      <c r="C769" s="6" t="s">
        <v>15</v>
      </c>
      <c r="D769" s="6" t="s">
        <v>753</v>
      </c>
      <c r="E769" s="6" t="s">
        <v>754</v>
      </c>
      <c r="F769" s="6" t="s">
        <v>755</v>
      </c>
      <c r="G769" s="6" t="s">
        <v>19</v>
      </c>
      <c r="H769" s="11">
        <v>46104</v>
      </c>
      <c r="I769" s="11">
        <v>46156</v>
      </c>
      <c r="J769" s="6" t="s">
        <v>20</v>
      </c>
      <c r="K769" s="6" t="s">
        <v>21</v>
      </c>
      <c r="L769" s="6" t="s">
        <v>50</v>
      </c>
      <c r="M769" s="6">
        <v>52</v>
      </c>
      <c r="N769">
        <f t="shared" si="66"/>
        <v>1</v>
      </c>
      <c r="O769" t="str">
        <f t="shared" si="67"/>
        <v>03-2026</v>
      </c>
      <c r="P769" t="str">
        <f t="shared" si="68"/>
        <v>05-2026</v>
      </c>
      <c r="Q769">
        <f t="shared" si="69"/>
        <v>1</v>
      </c>
      <c r="R769">
        <f t="shared" si="70"/>
        <v>0</v>
      </c>
      <c r="S769" t="str">
        <f t="shared" si="71"/>
        <v>0-90</v>
      </c>
    </row>
    <row r="770" spans="1:19" x14ac:dyDescent="0.25">
      <c r="A770" s="6" t="s">
        <v>808</v>
      </c>
      <c r="B770" s="6" t="s">
        <v>14</v>
      </c>
      <c r="C770" s="6" t="s">
        <v>15</v>
      </c>
      <c r="D770" s="6" t="s">
        <v>753</v>
      </c>
      <c r="E770" s="6" t="s">
        <v>754</v>
      </c>
      <c r="F770" s="6" t="s">
        <v>755</v>
      </c>
      <c r="G770" s="6" t="s">
        <v>19</v>
      </c>
      <c r="H770" s="11">
        <v>45953</v>
      </c>
      <c r="I770" s="11">
        <v>46137</v>
      </c>
      <c r="J770" s="6" t="s">
        <v>20</v>
      </c>
      <c r="K770" s="6" t="s">
        <v>24</v>
      </c>
      <c r="L770" s="6" t="s">
        <v>44</v>
      </c>
      <c r="M770" s="6">
        <v>184</v>
      </c>
      <c r="N770">
        <f t="shared" si="66"/>
        <v>1</v>
      </c>
      <c r="O770" t="str">
        <f t="shared" si="67"/>
        <v>10-2025</v>
      </c>
      <c r="P770" t="str">
        <f t="shared" si="68"/>
        <v>04-2026</v>
      </c>
      <c r="Q770">
        <f t="shared" si="69"/>
        <v>0</v>
      </c>
      <c r="R770">
        <f t="shared" si="70"/>
        <v>1</v>
      </c>
      <c r="S770" t="str">
        <f t="shared" si="71"/>
        <v>180-365</v>
      </c>
    </row>
    <row r="771" spans="1:19" x14ac:dyDescent="0.25">
      <c r="A771" s="6" t="s">
        <v>809</v>
      </c>
      <c r="B771" s="6" t="s">
        <v>14</v>
      </c>
      <c r="C771" s="6" t="s">
        <v>15</v>
      </c>
      <c r="D771" s="6" t="s">
        <v>753</v>
      </c>
      <c r="E771" s="6" t="s">
        <v>754</v>
      </c>
      <c r="F771" s="6" t="s">
        <v>755</v>
      </c>
      <c r="G771" s="6" t="s">
        <v>19</v>
      </c>
      <c r="H771" s="11">
        <v>46136</v>
      </c>
      <c r="I771" s="11">
        <v>46198</v>
      </c>
      <c r="J771" s="6" t="s">
        <v>20</v>
      </c>
      <c r="K771" s="6" t="s">
        <v>24</v>
      </c>
      <c r="L771" s="6" t="s">
        <v>41</v>
      </c>
      <c r="M771" s="6">
        <v>62</v>
      </c>
      <c r="N771">
        <f t="shared" ref="N771:N834" si="72">IF(J771="Relieved",1,0)</f>
        <v>1</v>
      </c>
      <c r="O771" t="str">
        <f t="shared" ref="O771:O834" si="73">TEXT(H771,"mm-yyyy")</f>
        <v>04-2026</v>
      </c>
      <c r="P771" t="str">
        <f t="shared" ref="P771:P834" si="74">IF(I771="","",TEXT(I771,"mm-yyyy"))</f>
        <v>06-2026</v>
      </c>
      <c r="Q771">
        <f t="shared" ref="Q771:Q834" si="75">IF(K771="Voluntary",1,0)</f>
        <v>0</v>
      </c>
      <c r="R771">
        <f t="shared" ref="R771:R834" si="76">IF(K771="Involuntary",1,0)</f>
        <v>1</v>
      </c>
      <c r="S771" t="str">
        <f t="shared" ref="S771:S834" si="77">IF(M771&lt;90,"0-90",IF(M771&lt;180,"90-180",IF(M771&lt;365,"180-365","above 1 year")))</f>
        <v>0-90</v>
      </c>
    </row>
    <row r="772" spans="1:19" x14ac:dyDescent="0.25">
      <c r="A772" s="6" t="s">
        <v>810</v>
      </c>
      <c r="B772" s="6" t="s">
        <v>14</v>
      </c>
      <c r="C772" s="6" t="s">
        <v>15</v>
      </c>
      <c r="D772" s="6" t="s">
        <v>753</v>
      </c>
      <c r="E772" s="6" t="s">
        <v>754</v>
      </c>
      <c r="F772" s="6" t="s">
        <v>755</v>
      </c>
      <c r="G772" s="6" t="s">
        <v>19</v>
      </c>
      <c r="H772" s="11">
        <v>46166</v>
      </c>
      <c r="I772" s="11">
        <v>46166</v>
      </c>
      <c r="J772" s="6" t="s">
        <v>20</v>
      </c>
      <c r="K772" s="6" t="s">
        <v>21</v>
      </c>
      <c r="L772" s="6" t="s">
        <v>30</v>
      </c>
      <c r="M772" s="6">
        <v>0</v>
      </c>
      <c r="N772">
        <f t="shared" si="72"/>
        <v>1</v>
      </c>
      <c r="O772" t="str">
        <f t="shared" si="73"/>
        <v>05-2026</v>
      </c>
      <c r="P772" t="str">
        <f t="shared" si="74"/>
        <v>05-2026</v>
      </c>
      <c r="Q772">
        <f t="shared" si="75"/>
        <v>1</v>
      </c>
      <c r="R772">
        <f t="shared" si="76"/>
        <v>0</v>
      </c>
      <c r="S772" t="str">
        <f t="shared" si="77"/>
        <v>0-90</v>
      </c>
    </row>
    <row r="773" spans="1:19" x14ac:dyDescent="0.25">
      <c r="A773" s="6" t="s">
        <v>811</v>
      </c>
      <c r="B773" s="6" t="s">
        <v>14</v>
      </c>
      <c r="C773" s="6" t="s">
        <v>15</v>
      </c>
      <c r="D773" s="6" t="s">
        <v>753</v>
      </c>
      <c r="E773" s="6" t="s">
        <v>754</v>
      </c>
      <c r="F773" s="6" t="s">
        <v>755</v>
      </c>
      <c r="G773" s="6" t="s">
        <v>19</v>
      </c>
      <c r="H773" s="11">
        <v>46137</v>
      </c>
      <c r="I773" s="11"/>
      <c r="J773" s="6" t="s">
        <v>27</v>
      </c>
      <c r="K773" s="6"/>
      <c r="L773" s="6"/>
      <c r="M773" s="6">
        <v>66</v>
      </c>
      <c r="N773">
        <f t="shared" si="72"/>
        <v>0</v>
      </c>
      <c r="O773" t="str">
        <f t="shared" si="73"/>
        <v>04-2026</v>
      </c>
      <c r="P773" t="str">
        <f t="shared" si="74"/>
        <v/>
      </c>
      <c r="Q773">
        <f t="shared" si="75"/>
        <v>0</v>
      </c>
      <c r="R773">
        <f t="shared" si="76"/>
        <v>0</v>
      </c>
      <c r="S773" t="str">
        <f t="shared" si="77"/>
        <v>0-90</v>
      </c>
    </row>
    <row r="774" spans="1:19" x14ac:dyDescent="0.25">
      <c r="A774" s="6" t="s">
        <v>812</v>
      </c>
      <c r="B774" s="6" t="s">
        <v>14</v>
      </c>
      <c r="C774" s="6" t="s">
        <v>15</v>
      </c>
      <c r="D774" s="6" t="s">
        <v>753</v>
      </c>
      <c r="E774" s="6" t="s">
        <v>754</v>
      </c>
      <c r="F774" s="6" t="s">
        <v>755</v>
      </c>
      <c r="G774" s="6" t="s">
        <v>19</v>
      </c>
      <c r="H774" s="11">
        <v>45682</v>
      </c>
      <c r="I774" s="11">
        <v>46192</v>
      </c>
      <c r="J774" s="6" t="s">
        <v>20</v>
      </c>
      <c r="K774" s="6" t="s">
        <v>24</v>
      </c>
      <c r="L774" s="6" t="s">
        <v>25</v>
      </c>
      <c r="M774" s="6">
        <v>510</v>
      </c>
      <c r="N774">
        <f t="shared" si="72"/>
        <v>1</v>
      </c>
      <c r="O774" t="str">
        <f t="shared" si="73"/>
        <v>01-2025</v>
      </c>
      <c r="P774" t="str">
        <f t="shared" si="74"/>
        <v>06-2026</v>
      </c>
      <c r="Q774">
        <f t="shared" si="75"/>
        <v>0</v>
      </c>
      <c r="R774">
        <f t="shared" si="76"/>
        <v>1</v>
      </c>
      <c r="S774" t="str">
        <f t="shared" si="77"/>
        <v>above 1 year</v>
      </c>
    </row>
    <row r="775" spans="1:19" x14ac:dyDescent="0.25">
      <c r="A775" s="6" t="s">
        <v>813</v>
      </c>
      <c r="B775" s="6" t="s">
        <v>14</v>
      </c>
      <c r="C775" s="6" t="s">
        <v>15</v>
      </c>
      <c r="D775" s="6" t="s">
        <v>753</v>
      </c>
      <c r="E775" s="6" t="s">
        <v>754</v>
      </c>
      <c r="F775" s="6" t="s">
        <v>755</v>
      </c>
      <c r="G775" s="6" t="s">
        <v>19</v>
      </c>
      <c r="H775" s="11">
        <v>45863</v>
      </c>
      <c r="I775" s="11"/>
      <c r="J775" s="6" t="s">
        <v>27</v>
      </c>
      <c r="K775" s="6"/>
      <c r="L775" s="6"/>
      <c r="M775" s="6">
        <v>340</v>
      </c>
      <c r="N775">
        <f t="shared" si="72"/>
        <v>0</v>
      </c>
      <c r="O775" t="str">
        <f t="shared" si="73"/>
        <v>07-2025</v>
      </c>
      <c r="P775" t="str">
        <f t="shared" si="74"/>
        <v/>
      </c>
      <c r="Q775">
        <f t="shared" si="75"/>
        <v>0</v>
      </c>
      <c r="R775">
        <f t="shared" si="76"/>
        <v>0</v>
      </c>
      <c r="S775" t="str">
        <f t="shared" si="77"/>
        <v>180-365</v>
      </c>
    </row>
    <row r="776" spans="1:19" x14ac:dyDescent="0.25">
      <c r="A776" s="6" t="s">
        <v>814</v>
      </c>
      <c r="B776" s="6" t="s">
        <v>14</v>
      </c>
      <c r="C776" s="6" t="s">
        <v>15</v>
      </c>
      <c r="D776" s="6" t="s">
        <v>753</v>
      </c>
      <c r="E776" s="6" t="s">
        <v>754</v>
      </c>
      <c r="F776" s="6" t="s">
        <v>755</v>
      </c>
      <c r="G776" s="6" t="s">
        <v>19</v>
      </c>
      <c r="H776" s="11">
        <v>46167</v>
      </c>
      <c r="I776" s="11">
        <v>46172</v>
      </c>
      <c r="J776" s="6" t="s">
        <v>20</v>
      </c>
      <c r="K776" s="6" t="s">
        <v>21</v>
      </c>
      <c r="L776" s="6" t="s">
        <v>61</v>
      </c>
      <c r="M776" s="6">
        <v>5</v>
      </c>
      <c r="N776">
        <f t="shared" si="72"/>
        <v>1</v>
      </c>
      <c r="O776" t="str">
        <f t="shared" si="73"/>
        <v>05-2026</v>
      </c>
      <c r="P776" t="str">
        <f t="shared" si="74"/>
        <v>05-2026</v>
      </c>
      <c r="Q776">
        <f t="shared" si="75"/>
        <v>1</v>
      </c>
      <c r="R776">
        <f t="shared" si="76"/>
        <v>0</v>
      </c>
      <c r="S776" t="str">
        <f t="shared" si="77"/>
        <v>0-90</v>
      </c>
    </row>
    <row r="777" spans="1:19" x14ac:dyDescent="0.25">
      <c r="A777" s="6" t="s">
        <v>815</v>
      </c>
      <c r="B777" s="6" t="s">
        <v>14</v>
      </c>
      <c r="C777" s="6" t="s">
        <v>15</v>
      </c>
      <c r="D777" s="6" t="s">
        <v>753</v>
      </c>
      <c r="E777" s="6" t="s">
        <v>754</v>
      </c>
      <c r="F777" s="6" t="s">
        <v>755</v>
      </c>
      <c r="G777" s="6" t="s">
        <v>19</v>
      </c>
      <c r="H777" s="11">
        <v>46168</v>
      </c>
      <c r="I777" s="11">
        <v>46168</v>
      </c>
      <c r="J777" s="6" t="s">
        <v>20</v>
      </c>
      <c r="K777" s="6" t="s">
        <v>21</v>
      </c>
      <c r="L777" s="6" t="s">
        <v>50</v>
      </c>
      <c r="M777" s="6">
        <v>0</v>
      </c>
      <c r="N777">
        <f t="shared" si="72"/>
        <v>1</v>
      </c>
      <c r="O777" t="str">
        <f t="shared" si="73"/>
        <v>05-2026</v>
      </c>
      <c r="P777" t="str">
        <f t="shared" si="74"/>
        <v>05-2026</v>
      </c>
      <c r="Q777">
        <f t="shared" si="75"/>
        <v>1</v>
      </c>
      <c r="R777">
        <f t="shared" si="76"/>
        <v>0</v>
      </c>
      <c r="S777" t="str">
        <f t="shared" si="77"/>
        <v>0-90</v>
      </c>
    </row>
    <row r="778" spans="1:19" x14ac:dyDescent="0.25">
      <c r="A778" s="6" t="s">
        <v>816</v>
      </c>
      <c r="B778" s="6" t="s">
        <v>14</v>
      </c>
      <c r="C778" s="6" t="s">
        <v>15</v>
      </c>
      <c r="D778" s="6" t="s">
        <v>753</v>
      </c>
      <c r="E778" s="6" t="s">
        <v>754</v>
      </c>
      <c r="F778" s="6" t="s">
        <v>755</v>
      </c>
      <c r="G778" s="6" t="s">
        <v>19</v>
      </c>
      <c r="H778" s="11">
        <v>46139</v>
      </c>
      <c r="I778" s="11"/>
      <c r="J778" s="6" t="s">
        <v>27</v>
      </c>
      <c r="K778" s="6"/>
      <c r="L778" s="6"/>
      <c r="M778" s="6">
        <v>64</v>
      </c>
      <c r="N778">
        <f t="shared" si="72"/>
        <v>0</v>
      </c>
      <c r="O778" t="str">
        <f t="shared" si="73"/>
        <v>04-2026</v>
      </c>
      <c r="P778" t="str">
        <f t="shared" si="74"/>
        <v/>
      </c>
      <c r="Q778">
        <f t="shared" si="75"/>
        <v>0</v>
      </c>
      <c r="R778">
        <f t="shared" si="76"/>
        <v>0</v>
      </c>
      <c r="S778" t="str">
        <f t="shared" si="77"/>
        <v>0-90</v>
      </c>
    </row>
    <row r="779" spans="1:19" x14ac:dyDescent="0.25">
      <c r="A779" s="6" t="s">
        <v>817</v>
      </c>
      <c r="B779" s="6" t="s">
        <v>14</v>
      </c>
      <c r="C779" s="6" t="s">
        <v>15</v>
      </c>
      <c r="D779" s="6" t="s">
        <v>753</v>
      </c>
      <c r="E779" s="6" t="s">
        <v>754</v>
      </c>
      <c r="F779" s="6" t="s">
        <v>755</v>
      </c>
      <c r="G779" s="6" t="s">
        <v>19</v>
      </c>
      <c r="H779" s="11">
        <v>46018</v>
      </c>
      <c r="I779" s="11">
        <v>46143</v>
      </c>
      <c r="J779" s="6" t="s">
        <v>20</v>
      </c>
      <c r="K779" s="6" t="s">
        <v>24</v>
      </c>
      <c r="L779" s="6" t="s">
        <v>44</v>
      </c>
      <c r="M779" s="6">
        <v>125</v>
      </c>
      <c r="N779">
        <f t="shared" si="72"/>
        <v>1</v>
      </c>
      <c r="O779" t="str">
        <f t="shared" si="73"/>
        <v>12-2025</v>
      </c>
      <c r="P779" t="str">
        <f t="shared" si="74"/>
        <v>05-2026</v>
      </c>
      <c r="Q779">
        <f t="shared" si="75"/>
        <v>0</v>
      </c>
      <c r="R779">
        <f t="shared" si="76"/>
        <v>1</v>
      </c>
      <c r="S779" t="str">
        <f t="shared" si="77"/>
        <v>90-180</v>
      </c>
    </row>
    <row r="780" spans="1:19" x14ac:dyDescent="0.25">
      <c r="A780" s="6" t="s">
        <v>818</v>
      </c>
      <c r="B780" s="6" t="s">
        <v>14</v>
      </c>
      <c r="C780" s="6" t="s">
        <v>15</v>
      </c>
      <c r="D780" s="6" t="s">
        <v>753</v>
      </c>
      <c r="E780" s="6" t="s">
        <v>754</v>
      </c>
      <c r="F780" s="6" t="s">
        <v>755</v>
      </c>
      <c r="G780" s="6" t="s">
        <v>19</v>
      </c>
      <c r="H780" s="11">
        <v>46169</v>
      </c>
      <c r="I780" s="11">
        <v>46172</v>
      </c>
      <c r="J780" s="6" t="s">
        <v>20</v>
      </c>
      <c r="K780" s="6" t="s">
        <v>21</v>
      </c>
      <c r="L780" s="6" t="s">
        <v>33</v>
      </c>
      <c r="M780" s="6">
        <v>3</v>
      </c>
      <c r="N780">
        <f t="shared" si="72"/>
        <v>1</v>
      </c>
      <c r="O780" t="str">
        <f t="shared" si="73"/>
        <v>05-2026</v>
      </c>
      <c r="P780" t="str">
        <f t="shared" si="74"/>
        <v>05-2026</v>
      </c>
      <c r="Q780">
        <f t="shared" si="75"/>
        <v>1</v>
      </c>
      <c r="R780">
        <f t="shared" si="76"/>
        <v>0</v>
      </c>
      <c r="S780" t="str">
        <f t="shared" si="77"/>
        <v>0-90</v>
      </c>
    </row>
    <row r="781" spans="1:19" x14ac:dyDescent="0.25">
      <c r="A781" s="6" t="s">
        <v>819</v>
      </c>
      <c r="B781" s="6" t="s">
        <v>14</v>
      </c>
      <c r="C781" s="6" t="s">
        <v>15</v>
      </c>
      <c r="D781" s="6" t="s">
        <v>753</v>
      </c>
      <c r="E781" s="6" t="s">
        <v>754</v>
      </c>
      <c r="F781" s="6" t="s">
        <v>755</v>
      </c>
      <c r="G781" s="6" t="s">
        <v>19</v>
      </c>
      <c r="H781" s="11">
        <v>46141</v>
      </c>
      <c r="I781" s="11"/>
      <c r="J781" s="6" t="s">
        <v>27</v>
      </c>
      <c r="K781" s="6"/>
      <c r="L781" s="6"/>
      <c r="M781" s="6">
        <v>62</v>
      </c>
      <c r="N781">
        <f t="shared" si="72"/>
        <v>0</v>
      </c>
      <c r="O781" t="str">
        <f t="shared" si="73"/>
        <v>04-2026</v>
      </c>
      <c r="P781" t="str">
        <f t="shared" si="74"/>
        <v/>
      </c>
      <c r="Q781">
        <f t="shared" si="75"/>
        <v>0</v>
      </c>
      <c r="R781">
        <f t="shared" si="76"/>
        <v>0</v>
      </c>
      <c r="S781" t="str">
        <f t="shared" si="77"/>
        <v>0-90</v>
      </c>
    </row>
    <row r="782" spans="1:19" x14ac:dyDescent="0.25">
      <c r="A782" s="6" t="s">
        <v>820</v>
      </c>
      <c r="B782" s="6" t="s">
        <v>14</v>
      </c>
      <c r="C782" s="6" t="s">
        <v>15</v>
      </c>
      <c r="D782" s="6" t="s">
        <v>753</v>
      </c>
      <c r="E782" s="6" t="s">
        <v>754</v>
      </c>
      <c r="F782" s="6" t="s">
        <v>755</v>
      </c>
      <c r="G782" s="6" t="s">
        <v>19</v>
      </c>
      <c r="H782" s="11">
        <v>46141</v>
      </c>
      <c r="I782" s="11">
        <v>46141</v>
      </c>
      <c r="J782" s="6" t="s">
        <v>20</v>
      </c>
      <c r="K782" s="6" t="s">
        <v>21</v>
      </c>
      <c r="L782" s="6" t="s">
        <v>61</v>
      </c>
      <c r="M782" s="6">
        <v>0</v>
      </c>
      <c r="N782">
        <f t="shared" si="72"/>
        <v>1</v>
      </c>
      <c r="O782" t="str">
        <f t="shared" si="73"/>
        <v>04-2026</v>
      </c>
      <c r="P782" t="str">
        <f t="shared" si="74"/>
        <v>04-2026</v>
      </c>
      <c r="Q782">
        <f t="shared" si="75"/>
        <v>1</v>
      </c>
      <c r="R782">
        <f t="shared" si="76"/>
        <v>0</v>
      </c>
      <c r="S782" t="str">
        <f t="shared" si="77"/>
        <v>0-90</v>
      </c>
    </row>
    <row r="783" spans="1:19" x14ac:dyDescent="0.25">
      <c r="A783" s="6" t="s">
        <v>821</v>
      </c>
      <c r="B783" s="6" t="s">
        <v>14</v>
      </c>
      <c r="C783" s="6" t="s">
        <v>15</v>
      </c>
      <c r="D783" s="6" t="s">
        <v>753</v>
      </c>
      <c r="E783" s="6" t="s">
        <v>754</v>
      </c>
      <c r="F783" s="6" t="s">
        <v>755</v>
      </c>
      <c r="G783" s="6" t="s">
        <v>19</v>
      </c>
      <c r="H783" s="11">
        <v>45686</v>
      </c>
      <c r="I783" s="11">
        <v>46122</v>
      </c>
      <c r="J783" s="6" t="s">
        <v>20</v>
      </c>
      <c r="K783" s="6" t="s">
        <v>24</v>
      </c>
      <c r="L783" s="6" t="s">
        <v>44</v>
      </c>
      <c r="M783" s="6">
        <v>436</v>
      </c>
      <c r="N783">
        <f t="shared" si="72"/>
        <v>1</v>
      </c>
      <c r="O783" t="str">
        <f t="shared" si="73"/>
        <v>01-2025</v>
      </c>
      <c r="P783" t="str">
        <f t="shared" si="74"/>
        <v>04-2026</v>
      </c>
      <c r="Q783">
        <f t="shared" si="75"/>
        <v>0</v>
      </c>
      <c r="R783">
        <f t="shared" si="76"/>
        <v>1</v>
      </c>
      <c r="S783" t="str">
        <f t="shared" si="77"/>
        <v>above 1 year</v>
      </c>
    </row>
    <row r="784" spans="1:19" x14ac:dyDescent="0.25">
      <c r="A784" s="6" t="s">
        <v>822</v>
      </c>
      <c r="B784" s="6" t="s">
        <v>14</v>
      </c>
      <c r="C784" s="6" t="s">
        <v>15</v>
      </c>
      <c r="D784" s="6" t="s">
        <v>753</v>
      </c>
      <c r="E784" s="6" t="s">
        <v>754</v>
      </c>
      <c r="F784" s="6" t="s">
        <v>755</v>
      </c>
      <c r="G784" s="6" t="s">
        <v>19</v>
      </c>
      <c r="H784" s="11">
        <v>45806</v>
      </c>
      <c r="I784" s="11"/>
      <c r="J784" s="6" t="s">
        <v>27</v>
      </c>
      <c r="K784" s="6"/>
      <c r="L784" s="6"/>
      <c r="M784" s="6">
        <v>397</v>
      </c>
      <c r="N784">
        <f t="shared" si="72"/>
        <v>0</v>
      </c>
      <c r="O784" t="str">
        <f t="shared" si="73"/>
        <v>05-2025</v>
      </c>
      <c r="P784" t="str">
        <f t="shared" si="74"/>
        <v/>
      </c>
      <c r="Q784">
        <f t="shared" si="75"/>
        <v>0</v>
      </c>
      <c r="R784">
        <f t="shared" si="76"/>
        <v>0</v>
      </c>
      <c r="S784" t="str">
        <f t="shared" si="77"/>
        <v>above 1 year</v>
      </c>
    </row>
    <row r="785" spans="1:19" x14ac:dyDescent="0.25">
      <c r="A785" s="6" t="s">
        <v>823</v>
      </c>
      <c r="B785" s="6" t="s">
        <v>14</v>
      </c>
      <c r="C785" s="6" t="s">
        <v>15</v>
      </c>
      <c r="D785" s="6" t="s">
        <v>753</v>
      </c>
      <c r="E785" s="6" t="s">
        <v>754</v>
      </c>
      <c r="F785" s="6" t="s">
        <v>755</v>
      </c>
      <c r="G785" s="6" t="s">
        <v>19</v>
      </c>
      <c r="H785" s="11">
        <v>45777</v>
      </c>
      <c r="I785" s="11"/>
      <c r="J785" s="6" t="s">
        <v>27</v>
      </c>
      <c r="K785" s="6"/>
      <c r="L785" s="6"/>
      <c r="M785" s="6">
        <v>426</v>
      </c>
      <c r="N785">
        <f t="shared" si="72"/>
        <v>0</v>
      </c>
      <c r="O785" t="str">
        <f t="shared" si="73"/>
        <v>04-2025</v>
      </c>
      <c r="P785" t="str">
        <f t="shared" si="74"/>
        <v/>
      </c>
      <c r="Q785">
        <f t="shared" si="75"/>
        <v>0</v>
      </c>
      <c r="R785">
        <f t="shared" si="76"/>
        <v>0</v>
      </c>
      <c r="S785" t="str">
        <f t="shared" si="77"/>
        <v>above 1 year</v>
      </c>
    </row>
    <row r="786" spans="1:19" x14ac:dyDescent="0.25">
      <c r="A786" s="6" t="s">
        <v>824</v>
      </c>
      <c r="B786" s="6" t="s">
        <v>14</v>
      </c>
      <c r="C786" s="6" t="s">
        <v>15</v>
      </c>
      <c r="D786" s="6" t="s">
        <v>753</v>
      </c>
      <c r="E786" s="6" t="s">
        <v>754</v>
      </c>
      <c r="F786" s="6" t="s">
        <v>755</v>
      </c>
      <c r="G786" s="6" t="s">
        <v>19</v>
      </c>
      <c r="H786" s="11">
        <v>45777</v>
      </c>
      <c r="I786" s="11"/>
      <c r="J786" s="6" t="s">
        <v>27</v>
      </c>
      <c r="K786" s="6"/>
      <c r="L786" s="6"/>
      <c r="M786" s="6">
        <v>426</v>
      </c>
      <c r="N786">
        <f t="shared" si="72"/>
        <v>0</v>
      </c>
      <c r="O786" t="str">
        <f t="shared" si="73"/>
        <v>04-2025</v>
      </c>
      <c r="P786" t="str">
        <f t="shared" si="74"/>
        <v/>
      </c>
      <c r="Q786">
        <f t="shared" si="75"/>
        <v>0</v>
      </c>
      <c r="R786">
        <f t="shared" si="76"/>
        <v>0</v>
      </c>
      <c r="S786" t="str">
        <f t="shared" si="77"/>
        <v>above 1 year</v>
      </c>
    </row>
    <row r="787" spans="1:19" x14ac:dyDescent="0.25">
      <c r="A787" s="6" t="s">
        <v>825</v>
      </c>
      <c r="B787" s="6" t="s">
        <v>14</v>
      </c>
      <c r="C787" s="6" t="s">
        <v>15</v>
      </c>
      <c r="D787" s="6" t="s">
        <v>753</v>
      </c>
      <c r="E787" s="6" t="s">
        <v>754</v>
      </c>
      <c r="F787" s="6" t="s">
        <v>755</v>
      </c>
      <c r="G787" s="6" t="s">
        <v>19</v>
      </c>
      <c r="H787" s="11">
        <v>46142</v>
      </c>
      <c r="I787" s="11">
        <v>46142</v>
      </c>
      <c r="J787" s="6" t="s">
        <v>20</v>
      </c>
      <c r="K787" s="6" t="s">
        <v>24</v>
      </c>
      <c r="L787" s="6" t="s">
        <v>25</v>
      </c>
      <c r="M787" s="6">
        <v>0</v>
      </c>
      <c r="N787">
        <f t="shared" si="72"/>
        <v>1</v>
      </c>
      <c r="O787" t="str">
        <f t="shared" si="73"/>
        <v>04-2026</v>
      </c>
      <c r="P787" t="str">
        <f t="shared" si="74"/>
        <v>04-2026</v>
      </c>
      <c r="Q787">
        <f t="shared" si="75"/>
        <v>0</v>
      </c>
      <c r="R787">
        <f t="shared" si="76"/>
        <v>1</v>
      </c>
      <c r="S787" t="str">
        <f t="shared" si="77"/>
        <v>0-90</v>
      </c>
    </row>
    <row r="788" spans="1:19" x14ac:dyDescent="0.25">
      <c r="A788" s="6" t="s">
        <v>826</v>
      </c>
      <c r="B788" s="6" t="s">
        <v>14</v>
      </c>
      <c r="C788" s="6" t="s">
        <v>15</v>
      </c>
      <c r="D788" s="6" t="s">
        <v>753</v>
      </c>
      <c r="E788" s="6" t="s">
        <v>754</v>
      </c>
      <c r="F788" s="6" t="s">
        <v>755</v>
      </c>
      <c r="G788" s="6" t="s">
        <v>19</v>
      </c>
      <c r="H788" s="11">
        <v>46203</v>
      </c>
      <c r="I788" s="11">
        <v>46203</v>
      </c>
      <c r="J788" s="6" t="s">
        <v>20</v>
      </c>
      <c r="K788" s="6" t="s">
        <v>24</v>
      </c>
      <c r="L788" s="6" t="s">
        <v>55</v>
      </c>
      <c r="M788" s="6">
        <v>0</v>
      </c>
      <c r="N788">
        <f t="shared" si="72"/>
        <v>1</v>
      </c>
      <c r="O788" t="str">
        <f t="shared" si="73"/>
        <v>06-2026</v>
      </c>
      <c r="P788" t="str">
        <f t="shared" si="74"/>
        <v>06-2026</v>
      </c>
      <c r="Q788">
        <f t="shared" si="75"/>
        <v>0</v>
      </c>
      <c r="R788">
        <f t="shared" si="76"/>
        <v>1</v>
      </c>
      <c r="S788" t="str">
        <f t="shared" si="77"/>
        <v>0-90</v>
      </c>
    </row>
    <row r="789" spans="1:19" x14ac:dyDescent="0.25">
      <c r="A789" s="6" t="s">
        <v>827</v>
      </c>
      <c r="B789" s="6" t="s">
        <v>14</v>
      </c>
      <c r="C789" s="6" t="s">
        <v>15</v>
      </c>
      <c r="D789" s="6" t="s">
        <v>753</v>
      </c>
      <c r="E789" s="6" t="s">
        <v>754</v>
      </c>
      <c r="F789" s="6" t="s">
        <v>755</v>
      </c>
      <c r="G789" s="6" t="s">
        <v>19</v>
      </c>
      <c r="H789" s="11">
        <v>46172</v>
      </c>
      <c r="I789" s="11">
        <v>46172</v>
      </c>
      <c r="J789" s="6" t="s">
        <v>20</v>
      </c>
      <c r="K789" s="6" t="s">
        <v>21</v>
      </c>
      <c r="L789" s="6" t="s">
        <v>33</v>
      </c>
      <c r="M789" s="6">
        <v>0</v>
      </c>
      <c r="N789">
        <f t="shared" si="72"/>
        <v>1</v>
      </c>
      <c r="O789" t="str">
        <f t="shared" si="73"/>
        <v>05-2026</v>
      </c>
      <c r="P789" t="str">
        <f t="shared" si="74"/>
        <v>05-2026</v>
      </c>
      <c r="Q789">
        <f t="shared" si="75"/>
        <v>1</v>
      </c>
      <c r="R789">
        <f t="shared" si="76"/>
        <v>0</v>
      </c>
      <c r="S789" t="str">
        <f t="shared" si="77"/>
        <v>0-90</v>
      </c>
    </row>
    <row r="790" spans="1:19" x14ac:dyDescent="0.25">
      <c r="A790" s="6" t="s">
        <v>828</v>
      </c>
      <c r="B790" s="6" t="s">
        <v>14</v>
      </c>
      <c r="C790" s="6" t="s">
        <v>15</v>
      </c>
      <c r="D790" s="6" t="s">
        <v>829</v>
      </c>
      <c r="E790" s="6" t="s">
        <v>754</v>
      </c>
      <c r="F790" s="6" t="s">
        <v>830</v>
      </c>
      <c r="G790" s="6" t="s">
        <v>19</v>
      </c>
      <c r="H790" s="11">
        <v>46113</v>
      </c>
      <c r="I790" s="11">
        <v>46125</v>
      </c>
      <c r="J790" s="6" t="s">
        <v>20</v>
      </c>
      <c r="K790" s="6" t="s">
        <v>21</v>
      </c>
      <c r="L790" s="6" t="s">
        <v>22</v>
      </c>
      <c r="M790" s="6">
        <v>12</v>
      </c>
      <c r="N790">
        <f t="shared" si="72"/>
        <v>1</v>
      </c>
      <c r="O790" t="str">
        <f t="shared" si="73"/>
        <v>04-2026</v>
      </c>
      <c r="P790" t="str">
        <f t="shared" si="74"/>
        <v>04-2026</v>
      </c>
      <c r="Q790">
        <f t="shared" si="75"/>
        <v>1</v>
      </c>
      <c r="R790">
        <f t="shared" si="76"/>
        <v>0</v>
      </c>
      <c r="S790" t="str">
        <f t="shared" si="77"/>
        <v>0-90</v>
      </c>
    </row>
    <row r="791" spans="1:19" x14ac:dyDescent="0.25">
      <c r="A791" s="6" t="s">
        <v>831</v>
      </c>
      <c r="B791" s="6" t="s">
        <v>14</v>
      </c>
      <c r="C791" s="6" t="s">
        <v>15</v>
      </c>
      <c r="D791" s="6" t="s">
        <v>829</v>
      </c>
      <c r="E791" s="6" t="s">
        <v>754</v>
      </c>
      <c r="F791" s="6" t="s">
        <v>830</v>
      </c>
      <c r="G791" s="6" t="s">
        <v>19</v>
      </c>
      <c r="H791" s="11">
        <v>46054</v>
      </c>
      <c r="I791" s="11">
        <v>46191</v>
      </c>
      <c r="J791" s="6" t="s">
        <v>20</v>
      </c>
      <c r="K791" s="6" t="s">
        <v>24</v>
      </c>
      <c r="L791" s="6" t="s">
        <v>55</v>
      </c>
      <c r="M791" s="6">
        <v>137</v>
      </c>
      <c r="N791">
        <f t="shared" si="72"/>
        <v>1</v>
      </c>
      <c r="O791" t="str">
        <f t="shared" si="73"/>
        <v>02-2026</v>
      </c>
      <c r="P791" t="str">
        <f t="shared" si="74"/>
        <v>06-2026</v>
      </c>
      <c r="Q791">
        <f t="shared" si="75"/>
        <v>0</v>
      </c>
      <c r="R791">
        <f t="shared" si="76"/>
        <v>1</v>
      </c>
      <c r="S791" t="str">
        <f t="shared" si="77"/>
        <v>90-180</v>
      </c>
    </row>
    <row r="792" spans="1:19" x14ac:dyDescent="0.25">
      <c r="A792" s="6" t="s">
        <v>832</v>
      </c>
      <c r="B792" s="6" t="s">
        <v>14</v>
      </c>
      <c r="C792" s="6" t="s">
        <v>15</v>
      </c>
      <c r="D792" s="6" t="s">
        <v>829</v>
      </c>
      <c r="E792" s="6" t="s">
        <v>754</v>
      </c>
      <c r="F792" s="6" t="s">
        <v>830</v>
      </c>
      <c r="G792" s="6" t="s">
        <v>19</v>
      </c>
      <c r="H792" s="11">
        <v>46174</v>
      </c>
      <c r="I792" s="11">
        <v>46196</v>
      </c>
      <c r="J792" s="6" t="s">
        <v>20</v>
      </c>
      <c r="K792" s="6" t="s">
        <v>21</v>
      </c>
      <c r="L792" s="6" t="s">
        <v>61</v>
      </c>
      <c r="M792" s="6">
        <v>22</v>
      </c>
      <c r="N792">
        <f t="shared" si="72"/>
        <v>1</v>
      </c>
      <c r="O792" t="str">
        <f t="shared" si="73"/>
        <v>06-2026</v>
      </c>
      <c r="P792" t="str">
        <f t="shared" si="74"/>
        <v>06-2026</v>
      </c>
      <c r="Q792">
        <f t="shared" si="75"/>
        <v>1</v>
      </c>
      <c r="R792">
        <f t="shared" si="76"/>
        <v>0</v>
      </c>
      <c r="S792" t="str">
        <f t="shared" si="77"/>
        <v>0-90</v>
      </c>
    </row>
    <row r="793" spans="1:19" x14ac:dyDescent="0.25">
      <c r="A793" s="6" t="s">
        <v>833</v>
      </c>
      <c r="B793" s="6" t="s">
        <v>14</v>
      </c>
      <c r="C793" s="6" t="s">
        <v>15</v>
      </c>
      <c r="D793" s="6" t="s">
        <v>829</v>
      </c>
      <c r="E793" s="6" t="s">
        <v>754</v>
      </c>
      <c r="F793" s="6" t="s">
        <v>830</v>
      </c>
      <c r="G793" s="6" t="s">
        <v>19</v>
      </c>
      <c r="H793" s="11">
        <v>46174</v>
      </c>
      <c r="I793" s="11"/>
      <c r="J793" s="6" t="s">
        <v>27</v>
      </c>
      <c r="K793" s="6"/>
      <c r="L793" s="6"/>
      <c r="M793" s="6">
        <v>29</v>
      </c>
      <c r="N793">
        <f t="shared" si="72"/>
        <v>0</v>
      </c>
      <c r="O793" t="str">
        <f t="shared" si="73"/>
        <v>06-2026</v>
      </c>
      <c r="P793" t="str">
        <f t="shared" si="74"/>
        <v/>
      </c>
      <c r="Q793">
        <f t="shared" si="75"/>
        <v>0</v>
      </c>
      <c r="R793">
        <f t="shared" si="76"/>
        <v>0</v>
      </c>
      <c r="S793" t="str">
        <f t="shared" si="77"/>
        <v>0-90</v>
      </c>
    </row>
    <row r="794" spans="1:19" x14ac:dyDescent="0.25">
      <c r="A794" s="6" t="s">
        <v>834</v>
      </c>
      <c r="B794" s="6" t="s">
        <v>14</v>
      </c>
      <c r="C794" s="6" t="s">
        <v>15</v>
      </c>
      <c r="D794" s="6" t="s">
        <v>829</v>
      </c>
      <c r="E794" s="6" t="s">
        <v>754</v>
      </c>
      <c r="F794" s="6" t="s">
        <v>830</v>
      </c>
      <c r="G794" s="6" t="s">
        <v>19</v>
      </c>
      <c r="H794" s="11">
        <v>45962</v>
      </c>
      <c r="I794" s="11"/>
      <c r="J794" s="6" t="s">
        <v>27</v>
      </c>
      <c r="K794" s="6"/>
      <c r="L794" s="6"/>
      <c r="M794" s="6">
        <v>241</v>
      </c>
      <c r="N794">
        <f t="shared" si="72"/>
        <v>0</v>
      </c>
      <c r="O794" t="str">
        <f t="shared" si="73"/>
        <v>11-2025</v>
      </c>
      <c r="P794" t="str">
        <f t="shared" si="74"/>
        <v/>
      </c>
      <c r="Q794">
        <f t="shared" si="75"/>
        <v>0</v>
      </c>
      <c r="R794">
        <f t="shared" si="76"/>
        <v>0</v>
      </c>
      <c r="S794" t="str">
        <f t="shared" si="77"/>
        <v>180-365</v>
      </c>
    </row>
    <row r="795" spans="1:19" x14ac:dyDescent="0.25">
      <c r="A795" s="6" t="s">
        <v>835</v>
      </c>
      <c r="B795" s="6" t="s">
        <v>14</v>
      </c>
      <c r="C795" s="6" t="s">
        <v>15</v>
      </c>
      <c r="D795" s="6" t="s">
        <v>829</v>
      </c>
      <c r="E795" s="6" t="s">
        <v>754</v>
      </c>
      <c r="F795" s="6" t="s">
        <v>830</v>
      </c>
      <c r="G795" s="6" t="s">
        <v>19</v>
      </c>
      <c r="H795" s="11">
        <v>45840</v>
      </c>
      <c r="I795" s="11">
        <v>46185</v>
      </c>
      <c r="J795" s="6" t="s">
        <v>20</v>
      </c>
      <c r="K795" s="6" t="s">
        <v>24</v>
      </c>
      <c r="L795" s="6" t="s">
        <v>55</v>
      </c>
      <c r="M795" s="6">
        <v>345</v>
      </c>
      <c r="N795">
        <f t="shared" si="72"/>
        <v>1</v>
      </c>
      <c r="O795" t="str">
        <f t="shared" si="73"/>
        <v>07-2025</v>
      </c>
      <c r="P795" t="str">
        <f t="shared" si="74"/>
        <v>06-2026</v>
      </c>
      <c r="Q795">
        <f t="shared" si="75"/>
        <v>0</v>
      </c>
      <c r="R795">
        <f t="shared" si="76"/>
        <v>1</v>
      </c>
      <c r="S795" t="str">
        <f t="shared" si="77"/>
        <v>180-365</v>
      </c>
    </row>
    <row r="796" spans="1:19" x14ac:dyDescent="0.25">
      <c r="A796" s="6" t="s">
        <v>836</v>
      </c>
      <c r="B796" s="6" t="s">
        <v>14</v>
      </c>
      <c r="C796" s="6" t="s">
        <v>15</v>
      </c>
      <c r="D796" s="6" t="s">
        <v>829</v>
      </c>
      <c r="E796" s="6" t="s">
        <v>754</v>
      </c>
      <c r="F796" s="6" t="s">
        <v>830</v>
      </c>
      <c r="G796" s="6" t="s">
        <v>19</v>
      </c>
      <c r="H796" s="11">
        <v>46115</v>
      </c>
      <c r="I796" s="11">
        <v>46122</v>
      </c>
      <c r="J796" s="6" t="s">
        <v>20</v>
      </c>
      <c r="K796" s="6" t="s">
        <v>21</v>
      </c>
      <c r="L796" s="6" t="s">
        <v>22</v>
      </c>
      <c r="M796" s="6">
        <v>7</v>
      </c>
      <c r="N796">
        <f t="shared" si="72"/>
        <v>1</v>
      </c>
      <c r="O796" t="str">
        <f t="shared" si="73"/>
        <v>04-2026</v>
      </c>
      <c r="P796" t="str">
        <f t="shared" si="74"/>
        <v>04-2026</v>
      </c>
      <c r="Q796">
        <f t="shared" si="75"/>
        <v>1</v>
      </c>
      <c r="R796">
        <f t="shared" si="76"/>
        <v>0</v>
      </c>
      <c r="S796" t="str">
        <f t="shared" si="77"/>
        <v>0-90</v>
      </c>
    </row>
    <row r="797" spans="1:19" x14ac:dyDescent="0.25">
      <c r="A797" s="6" t="s">
        <v>837</v>
      </c>
      <c r="B797" s="6" t="s">
        <v>14</v>
      </c>
      <c r="C797" s="6" t="s">
        <v>15</v>
      </c>
      <c r="D797" s="6" t="s">
        <v>829</v>
      </c>
      <c r="E797" s="6" t="s">
        <v>754</v>
      </c>
      <c r="F797" s="6" t="s">
        <v>830</v>
      </c>
      <c r="G797" s="6" t="s">
        <v>19</v>
      </c>
      <c r="H797" s="11">
        <v>46115</v>
      </c>
      <c r="I797" s="11">
        <v>46132</v>
      </c>
      <c r="J797" s="6" t="s">
        <v>20</v>
      </c>
      <c r="K797" s="6" t="s">
        <v>21</v>
      </c>
      <c r="L797" s="6" t="s">
        <v>37</v>
      </c>
      <c r="M797" s="6">
        <v>17</v>
      </c>
      <c r="N797">
        <f t="shared" si="72"/>
        <v>1</v>
      </c>
      <c r="O797" t="str">
        <f t="shared" si="73"/>
        <v>04-2026</v>
      </c>
      <c r="P797" t="str">
        <f t="shared" si="74"/>
        <v>04-2026</v>
      </c>
      <c r="Q797">
        <f t="shared" si="75"/>
        <v>1</v>
      </c>
      <c r="R797">
        <f t="shared" si="76"/>
        <v>0</v>
      </c>
      <c r="S797" t="str">
        <f t="shared" si="77"/>
        <v>0-90</v>
      </c>
    </row>
    <row r="798" spans="1:19" x14ac:dyDescent="0.25">
      <c r="A798" s="6" t="s">
        <v>838</v>
      </c>
      <c r="B798" s="6" t="s">
        <v>14</v>
      </c>
      <c r="C798" s="6" t="s">
        <v>15</v>
      </c>
      <c r="D798" s="6" t="s">
        <v>829</v>
      </c>
      <c r="E798" s="6" t="s">
        <v>754</v>
      </c>
      <c r="F798" s="6" t="s">
        <v>830</v>
      </c>
      <c r="G798" s="6" t="s">
        <v>19</v>
      </c>
      <c r="H798" s="11">
        <v>46115</v>
      </c>
      <c r="I798" s="11">
        <v>46177</v>
      </c>
      <c r="J798" s="6" t="s">
        <v>20</v>
      </c>
      <c r="K798" s="6" t="s">
        <v>24</v>
      </c>
      <c r="L798" s="6" t="s">
        <v>44</v>
      </c>
      <c r="M798" s="6">
        <v>62</v>
      </c>
      <c r="N798">
        <f t="shared" si="72"/>
        <v>1</v>
      </c>
      <c r="O798" t="str">
        <f t="shared" si="73"/>
        <v>04-2026</v>
      </c>
      <c r="P798" t="str">
        <f t="shared" si="74"/>
        <v>06-2026</v>
      </c>
      <c r="Q798">
        <f t="shared" si="75"/>
        <v>0</v>
      </c>
      <c r="R798">
        <f t="shared" si="76"/>
        <v>1</v>
      </c>
      <c r="S798" t="str">
        <f t="shared" si="77"/>
        <v>0-90</v>
      </c>
    </row>
    <row r="799" spans="1:19" x14ac:dyDescent="0.25">
      <c r="A799" s="6" t="s">
        <v>839</v>
      </c>
      <c r="B799" s="6" t="s">
        <v>14</v>
      </c>
      <c r="C799" s="6" t="s">
        <v>15</v>
      </c>
      <c r="D799" s="6" t="s">
        <v>829</v>
      </c>
      <c r="E799" s="6" t="s">
        <v>754</v>
      </c>
      <c r="F799" s="6" t="s">
        <v>830</v>
      </c>
      <c r="G799" s="6" t="s">
        <v>19</v>
      </c>
      <c r="H799" s="11">
        <v>46115</v>
      </c>
      <c r="I799" s="11">
        <v>46150</v>
      </c>
      <c r="J799" s="6" t="s">
        <v>20</v>
      </c>
      <c r="K799" s="6" t="s">
        <v>24</v>
      </c>
      <c r="L799" s="6" t="s">
        <v>41</v>
      </c>
      <c r="M799" s="6">
        <v>35</v>
      </c>
      <c r="N799">
        <f t="shared" si="72"/>
        <v>1</v>
      </c>
      <c r="O799" t="str">
        <f t="shared" si="73"/>
        <v>04-2026</v>
      </c>
      <c r="P799" t="str">
        <f t="shared" si="74"/>
        <v>05-2026</v>
      </c>
      <c r="Q799">
        <f t="shared" si="75"/>
        <v>0</v>
      </c>
      <c r="R799">
        <f t="shared" si="76"/>
        <v>1</v>
      </c>
      <c r="S799" t="str">
        <f t="shared" si="77"/>
        <v>0-90</v>
      </c>
    </row>
    <row r="800" spans="1:19" x14ac:dyDescent="0.25">
      <c r="A800" s="6" t="s">
        <v>840</v>
      </c>
      <c r="B800" s="6" t="s">
        <v>14</v>
      </c>
      <c r="C800" s="6" t="s">
        <v>15</v>
      </c>
      <c r="D800" s="6" t="s">
        <v>829</v>
      </c>
      <c r="E800" s="6" t="s">
        <v>754</v>
      </c>
      <c r="F800" s="6" t="s">
        <v>830</v>
      </c>
      <c r="G800" s="6" t="s">
        <v>19</v>
      </c>
      <c r="H800" s="11">
        <v>46145</v>
      </c>
      <c r="I800" s="11"/>
      <c r="J800" s="6" t="s">
        <v>27</v>
      </c>
      <c r="K800" s="6"/>
      <c r="L800" s="6"/>
      <c r="M800" s="6">
        <v>58</v>
      </c>
      <c r="N800">
        <f t="shared" si="72"/>
        <v>0</v>
      </c>
      <c r="O800" t="str">
        <f t="shared" si="73"/>
        <v>05-2026</v>
      </c>
      <c r="P800" t="str">
        <f t="shared" si="74"/>
        <v/>
      </c>
      <c r="Q800">
        <f t="shared" si="75"/>
        <v>0</v>
      </c>
      <c r="R800">
        <f t="shared" si="76"/>
        <v>0</v>
      </c>
      <c r="S800" t="str">
        <f t="shared" si="77"/>
        <v>0-90</v>
      </c>
    </row>
    <row r="801" spans="1:19" x14ac:dyDescent="0.25">
      <c r="A801" s="6" t="s">
        <v>841</v>
      </c>
      <c r="B801" s="6" t="s">
        <v>14</v>
      </c>
      <c r="C801" s="6" t="s">
        <v>15</v>
      </c>
      <c r="D801" s="6" t="s">
        <v>829</v>
      </c>
      <c r="E801" s="6" t="s">
        <v>754</v>
      </c>
      <c r="F801" s="6" t="s">
        <v>830</v>
      </c>
      <c r="G801" s="6" t="s">
        <v>19</v>
      </c>
      <c r="H801" s="11">
        <v>46116</v>
      </c>
      <c r="I801" s="11"/>
      <c r="J801" s="6" t="s">
        <v>27</v>
      </c>
      <c r="K801" s="6"/>
      <c r="L801" s="6"/>
      <c r="M801" s="6">
        <v>87</v>
      </c>
      <c r="N801">
        <f t="shared" si="72"/>
        <v>0</v>
      </c>
      <c r="O801" t="str">
        <f t="shared" si="73"/>
        <v>04-2026</v>
      </c>
      <c r="P801" t="str">
        <f t="shared" si="74"/>
        <v/>
      </c>
      <c r="Q801">
        <f t="shared" si="75"/>
        <v>0</v>
      </c>
      <c r="R801">
        <f t="shared" si="76"/>
        <v>0</v>
      </c>
      <c r="S801" t="str">
        <f t="shared" si="77"/>
        <v>0-90</v>
      </c>
    </row>
    <row r="802" spans="1:19" x14ac:dyDescent="0.25">
      <c r="A802" s="6" t="s">
        <v>842</v>
      </c>
      <c r="B802" s="6" t="s">
        <v>14</v>
      </c>
      <c r="C802" s="6" t="s">
        <v>15</v>
      </c>
      <c r="D802" s="6" t="s">
        <v>829</v>
      </c>
      <c r="E802" s="6" t="s">
        <v>754</v>
      </c>
      <c r="F802" s="6" t="s">
        <v>830</v>
      </c>
      <c r="G802" s="6" t="s">
        <v>19</v>
      </c>
      <c r="H802" s="11">
        <v>45934</v>
      </c>
      <c r="I802" s="11">
        <v>46153</v>
      </c>
      <c r="J802" s="6" t="s">
        <v>20</v>
      </c>
      <c r="K802" s="6" t="s">
        <v>24</v>
      </c>
      <c r="L802" s="6" t="s">
        <v>41</v>
      </c>
      <c r="M802" s="6">
        <v>219</v>
      </c>
      <c r="N802">
        <f t="shared" si="72"/>
        <v>1</v>
      </c>
      <c r="O802" t="str">
        <f t="shared" si="73"/>
        <v>10-2025</v>
      </c>
      <c r="P802" t="str">
        <f t="shared" si="74"/>
        <v>05-2026</v>
      </c>
      <c r="Q802">
        <f t="shared" si="75"/>
        <v>0</v>
      </c>
      <c r="R802">
        <f t="shared" si="76"/>
        <v>1</v>
      </c>
      <c r="S802" t="str">
        <f t="shared" si="77"/>
        <v>180-365</v>
      </c>
    </row>
    <row r="803" spans="1:19" x14ac:dyDescent="0.25">
      <c r="A803" s="6" t="s">
        <v>843</v>
      </c>
      <c r="B803" s="6" t="s">
        <v>14</v>
      </c>
      <c r="C803" s="6" t="s">
        <v>15</v>
      </c>
      <c r="D803" s="6" t="s">
        <v>829</v>
      </c>
      <c r="E803" s="6" t="s">
        <v>754</v>
      </c>
      <c r="F803" s="6" t="s">
        <v>830</v>
      </c>
      <c r="G803" s="6" t="s">
        <v>19</v>
      </c>
      <c r="H803" s="11">
        <v>46117</v>
      </c>
      <c r="I803" s="11">
        <v>46139</v>
      </c>
      <c r="J803" s="6" t="s">
        <v>20</v>
      </c>
      <c r="K803" s="6" t="s">
        <v>21</v>
      </c>
      <c r="L803" s="6" t="s">
        <v>30</v>
      </c>
      <c r="M803" s="6">
        <v>22</v>
      </c>
      <c r="N803">
        <f t="shared" si="72"/>
        <v>1</v>
      </c>
      <c r="O803" t="str">
        <f t="shared" si="73"/>
        <v>04-2026</v>
      </c>
      <c r="P803" t="str">
        <f t="shared" si="74"/>
        <v>04-2026</v>
      </c>
      <c r="Q803">
        <f t="shared" si="75"/>
        <v>1</v>
      </c>
      <c r="R803">
        <f t="shared" si="76"/>
        <v>0</v>
      </c>
      <c r="S803" t="str">
        <f t="shared" si="77"/>
        <v>0-90</v>
      </c>
    </row>
    <row r="804" spans="1:19" x14ac:dyDescent="0.25">
      <c r="A804" s="6" t="s">
        <v>844</v>
      </c>
      <c r="B804" s="6" t="s">
        <v>14</v>
      </c>
      <c r="C804" s="6" t="s">
        <v>15</v>
      </c>
      <c r="D804" s="6" t="s">
        <v>829</v>
      </c>
      <c r="E804" s="6" t="s">
        <v>754</v>
      </c>
      <c r="F804" s="6" t="s">
        <v>830</v>
      </c>
      <c r="G804" s="6" t="s">
        <v>19</v>
      </c>
      <c r="H804" s="11">
        <v>46117</v>
      </c>
      <c r="I804" s="11"/>
      <c r="J804" s="6" t="s">
        <v>27</v>
      </c>
      <c r="K804" s="6"/>
      <c r="L804" s="6"/>
      <c r="M804" s="6">
        <v>86</v>
      </c>
      <c r="N804">
        <f t="shared" si="72"/>
        <v>0</v>
      </c>
      <c r="O804" t="str">
        <f t="shared" si="73"/>
        <v>04-2026</v>
      </c>
      <c r="P804" t="str">
        <f t="shared" si="74"/>
        <v/>
      </c>
      <c r="Q804">
        <f t="shared" si="75"/>
        <v>0</v>
      </c>
      <c r="R804">
        <f t="shared" si="76"/>
        <v>0</v>
      </c>
      <c r="S804" t="str">
        <f t="shared" si="77"/>
        <v>0-90</v>
      </c>
    </row>
    <row r="805" spans="1:19" x14ac:dyDescent="0.25">
      <c r="A805" s="6" t="s">
        <v>845</v>
      </c>
      <c r="B805" s="6" t="s">
        <v>14</v>
      </c>
      <c r="C805" s="6" t="s">
        <v>15</v>
      </c>
      <c r="D805" s="6" t="s">
        <v>829</v>
      </c>
      <c r="E805" s="6" t="s">
        <v>754</v>
      </c>
      <c r="F805" s="6" t="s">
        <v>830</v>
      </c>
      <c r="G805" s="6" t="s">
        <v>19</v>
      </c>
      <c r="H805" s="11">
        <v>46147</v>
      </c>
      <c r="I805" s="11"/>
      <c r="J805" s="6" t="s">
        <v>27</v>
      </c>
      <c r="K805" s="6"/>
      <c r="L805" s="6"/>
      <c r="M805" s="6">
        <v>56</v>
      </c>
      <c r="N805">
        <f t="shared" si="72"/>
        <v>0</v>
      </c>
      <c r="O805" t="str">
        <f t="shared" si="73"/>
        <v>05-2026</v>
      </c>
      <c r="P805" t="str">
        <f t="shared" si="74"/>
        <v/>
      </c>
      <c r="Q805">
        <f t="shared" si="75"/>
        <v>0</v>
      </c>
      <c r="R805">
        <f t="shared" si="76"/>
        <v>0</v>
      </c>
      <c r="S805" t="str">
        <f t="shared" si="77"/>
        <v>0-90</v>
      </c>
    </row>
    <row r="806" spans="1:19" x14ac:dyDescent="0.25">
      <c r="A806" s="6" t="s">
        <v>846</v>
      </c>
      <c r="B806" s="6" t="s">
        <v>14</v>
      </c>
      <c r="C806" s="6" t="s">
        <v>15</v>
      </c>
      <c r="D806" s="6" t="s">
        <v>829</v>
      </c>
      <c r="E806" s="6" t="s">
        <v>754</v>
      </c>
      <c r="F806" s="6" t="s">
        <v>830</v>
      </c>
      <c r="G806" s="6" t="s">
        <v>19</v>
      </c>
      <c r="H806" s="11">
        <v>46147</v>
      </c>
      <c r="I806" s="11">
        <v>46147</v>
      </c>
      <c r="J806" s="6" t="s">
        <v>20</v>
      </c>
      <c r="K806" s="6" t="s">
        <v>21</v>
      </c>
      <c r="L806" s="6" t="s">
        <v>22</v>
      </c>
      <c r="M806" s="6">
        <v>0</v>
      </c>
      <c r="N806">
        <f t="shared" si="72"/>
        <v>1</v>
      </c>
      <c r="O806" t="str">
        <f t="shared" si="73"/>
        <v>05-2026</v>
      </c>
      <c r="P806" t="str">
        <f t="shared" si="74"/>
        <v>05-2026</v>
      </c>
      <c r="Q806">
        <f t="shared" si="75"/>
        <v>1</v>
      </c>
      <c r="R806">
        <f t="shared" si="76"/>
        <v>0</v>
      </c>
      <c r="S806" t="str">
        <f t="shared" si="77"/>
        <v>0-90</v>
      </c>
    </row>
    <row r="807" spans="1:19" x14ac:dyDescent="0.25">
      <c r="A807" s="6" t="s">
        <v>847</v>
      </c>
      <c r="B807" s="6" t="s">
        <v>14</v>
      </c>
      <c r="C807" s="6" t="s">
        <v>15</v>
      </c>
      <c r="D807" s="6" t="s">
        <v>829</v>
      </c>
      <c r="E807" s="6" t="s">
        <v>754</v>
      </c>
      <c r="F807" s="6" t="s">
        <v>830</v>
      </c>
      <c r="G807" s="6" t="s">
        <v>19</v>
      </c>
      <c r="H807" s="11">
        <v>45753</v>
      </c>
      <c r="I807" s="11"/>
      <c r="J807" s="6" t="s">
        <v>27</v>
      </c>
      <c r="K807" s="6"/>
      <c r="L807" s="6"/>
      <c r="M807" s="6">
        <v>450</v>
      </c>
      <c r="N807">
        <f t="shared" si="72"/>
        <v>0</v>
      </c>
      <c r="O807" t="str">
        <f t="shared" si="73"/>
        <v>04-2025</v>
      </c>
      <c r="P807" t="str">
        <f t="shared" si="74"/>
        <v/>
      </c>
      <c r="Q807">
        <f t="shared" si="75"/>
        <v>0</v>
      </c>
      <c r="R807">
        <f t="shared" si="76"/>
        <v>0</v>
      </c>
      <c r="S807" t="str">
        <f t="shared" si="77"/>
        <v>above 1 year</v>
      </c>
    </row>
    <row r="808" spans="1:19" x14ac:dyDescent="0.25">
      <c r="A808" s="6" t="s">
        <v>848</v>
      </c>
      <c r="B808" s="6" t="s">
        <v>14</v>
      </c>
      <c r="C808" s="6" t="s">
        <v>15</v>
      </c>
      <c r="D808" s="6" t="s">
        <v>829</v>
      </c>
      <c r="E808" s="6" t="s">
        <v>754</v>
      </c>
      <c r="F808" s="6" t="s">
        <v>830</v>
      </c>
      <c r="G808" s="6" t="s">
        <v>19</v>
      </c>
      <c r="H808" s="11">
        <v>46059</v>
      </c>
      <c r="I808" s="11">
        <v>46121</v>
      </c>
      <c r="J808" s="6" t="s">
        <v>20</v>
      </c>
      <c r="K808" s="6" t="s">
        <v>24</v>
      </c>
      <c r="L808" s="6" t="s">
        <v>41</v>
      </c>
      <c r="M808" s="6">
        <v>62</v>
      </c>
      <c r="N808">
        <f t="shared" si="72"/>
        <v>1</v>
      </c>
      <c r="O808" t="str">
        <f t="shared" si="73"/>
        <v>02-2026</v>
      </c>
      <c r="P808" t="str">
        <f t="shared" si="74"/>
        <v>04-2026</v>
      </c>
      <c r="Q808">
        <f t="shared" si="75"/>
        <v>0</v>
      </c>
      <c r="R808">
        <f t="shared" si="76"/>
        <v>1</v>
      </c>
      <c r="S808" t="str">
        <f t="shared" si="77"/>
        <v>0-90</v>
      </c>
    </row>
    <row r="809" spans="1:19" x14ac:dyDescent="0.25">
      <c r="A809" s="6" t="s">
        <v>849</v>
      </c>
      <c r="B809" s="6" t="s">
        <v>14</v>
      </c>
      <c r="C809" s="6" t="s">
        <v>15</v>
      </c>
      <c r="D809" s="6" t="s">
        <v>829</v>
      </c>
      <c r="E809" s="6" t="s">
        <v>754</v>
      </c>
      <c r="F809" s="6" t="s">
        <v>830</v>
      </c>
      <c r="G809" s="6" t="s">
        <v>19</v>
      </c>
      <c r="H809" s="11">
        <v>46028</v>
      </c>
      <c r="I809" s="11"/>
      <c r="J809" s="6" t="s">
        <v>27</v>
      </c>
      <c r="K809" s="6"/>
      <c r="L809" s="6"/>
      <c r="M809" s="6">
        <v>175</v>
      </c>
      <c r="N809">
        <f t="shared" si="72"/>
        <v>0</v>
      </c>
      <c r="O809" t="str">
        <f t="shared" si="73"/>
        <v>01-2026</v>
      </c>
      <c r="P809" t="str">
        <f t="shared" si="74"/>
        <v/>
      </c>
      <c r="Q809">
        <f t="shared" si="75"/>
        <v>0</v>
      </c>
      <c r="R809">
        <f t="shared" si="76"/>
        <v>0</v>
      </c>
      <c r="S809" t="str">
        <f t="shared" si="77"/>
        <v>90-180</v>
      </c>
    </row>
    <row r="810" spans="1:19" x14ac:dyDescent="0.25">
      <c r="A810" s="6" t="s">
        <v>850</v>
      </c>
      <c r="B810" s="6" t="s">
        <v>14</v>
      </c>
      <c r="C810" s="6" t="s">
        <v>15</v>
      </c>
      <c r="D810" s="6" t="s">
        <v>829</v>
      </c>
      <c r="E810" s="6" t="s">
        <v>754</v>
      </c>
      <c r="F810" s="6" t="s">
        <v>830</v>
      </c>
      <c r="G810" s="6" t="s">
        <v>19</v>
      </c>
      <c r="H810" s="11">
        <v>46179</v>
      </c>
      <c r="I810" s="11"/>
      <c r="J810" s="6" t="s">
        <v>27</v>
      </c>
      <c r="K810" s="6"/>
      <c r="L810" s="6"/>
      <c r="M810" s="6">
        <v>24</v>
      </c>
      <c r="N810">
        <f t="shared" si="72"/>
        <v>0</v>
      </c>
      <c r="O810" t="str">
        <f t="shared" si="73"/>
        <v>06-2026</v>
      </c>
      <c r="P810" t="str">
        <f t="shared" si="74"/>
        <v/>
      </c>
      <c r="Q810">
        <f t="shared" si="75"/>
        <v>0</v>
      </c>
      <c r="R810">
        <f t="shared" si="76"/>
        <v>0</v>
      </c>
      <c r="S810" t="str">
        <f t="shared" si="77"/>
        <v>0-90</v>
      </c>
    </row>
    <row r="811" spans="1:19" x14ac:dyDescent="0.25">
      <c r="A811" s="6" t="s">
        <v>851</v>
      </c>
      <c r="B811" s="6" t="s">
        <v>14</v>
      </c>
      <c r="C811" s="6" t="s">
        <v>15</v>
      </c>
      <c r="D811" s="6" t="s">
        <v>829</v>
      </c>
      <c r="E811" s="6" t="s">
        <v>754</v>
      </c>
      <c r="F811" s="6" t="s">
        <v>830</v>
      </c>
      <c r="G811" s="6" t="s">
        <v>19</v>
      </c>
      <c r="H811" s="11">
        <v>46087</v>
      </c>
      <c r="I811" s="11">
        <v>46198</v>
      </c>
      <c r="J811" s="6" t="s">
        <v>20</v>
      </c>
      <c r="K811" s="6" t="s">
        <v>24</v>
      </c>
      <c r="L811" s="6" t="s">
        <v>44</v>
      </c>
      <c r="M811" s="6">
        <v>111</v>
      </c>
      <c r="N811">
        <f t="shared" si="72"/>
        <v>1</v>
      </c>
      <c r="O811" t="str">
        <f t="shared" si="73"/>
        <v>03-2026</v>
      </c>
      <c r="P811" t="str">
        <f t="shared" si="74"/>
        <v>06-2026</v>
      </c>
      <c r="Q811">
        <f t="shared" si="75"/>
        <v>0</v>
      </c>
      <c r="R811">
        <f t="shared" si="76"/>
        <v>1</v>
      </c>
      <c r="S811" t="str">
        <f t="shared" si="77"/>
        <v>90-180</v>
      </c>
    </row>
    <row r="812" spans="1:19" x14ac:dyDescent="0.25">
      <c r="A812" s="6" t="s">
        <v>852</v>
      </c>
      <c r="B812" s="6" t="s">
        <v>14</v>
      </c>
      <c r="C812" s="6" t="s">
        <v>15</v>
      </c>
      <c r="D812" s="6" t="s">
        <v>829</v>
      </c>
      <c r="E812" s="6" t="s">
        <v>754</v>
      </c>
      <c r="F812" s="6" t="s">
        <v>830</v>
      </c>
      <c r="G812" s="6" t="s">
        <v>19</v>
      </c>
      <c r="H812" s="11">
        <v>45967</v>
      </c>
      <c r="I812" s="11">
        <v>46136</v>
      </c>
      <c r="J812" s="6" t="s">
        <v>20</v>
      </c>
      <c r="K812" s="6" t="s">
        <v>24</v>
      </c>
      <c r="L812" s="6" t="s">
        <v>41</v>
      </c>
      <c r="M812" s="6">
        <v>169</v>
      </c>
      <c r="N812">
        <f t="shared" si="72"/>
        <v>1</v>
      </c>
      <c r="O812" t="str">
        <f t="shared" si="73"/>
        <v>11-2025</v>
      </c>
      <c r="P812" t="str">
        <f t="shared" si="74"/>
        <v>04-2026</v>
      </c>
      <c r="Q812">
        <f t="shared" si="75"/>
        <v>0</v>
      </c>
      <c r="R812">
        <f t="shared" si="76"/>
        <v>1</v>
      </c>
      <c r="S812" t="str">
        <f t="shared" si="77"/>
        <v>90-180</v>
      </c>
    </row>
    <row r="813" spans="1:19" x14ac:dyDescent="0.25">
      <c r="A813" s="6" t="s">
        <v>853</v>
      </c>
      <c r="B813" s="6" t="s">
        <v>14</v>
      </c>
      <c r="C813" s="6" t="s">
        <v>15</v>
      </c>
      <c r="D813" s="6" t="s">
        <v>829</v>
      </c>
      <c r="E813" s="6" t="s">
        <v>754</v>
      </c>
      <c r="F813" s="6" t="s">
        <v>830</v>
      </c>
      <c r="G813" s="6" t="s">
        <v>19</v>
      </c>
      <c r="H813" s="11">
        <v>46180</v>
      </c>
      <c r="I813" s="11">
        <v>46189</v>
      </c>
      <c r="J813" s="6" t="s">
        <v>20</v>
      </c>
      <c r="K813" s="6" t="s">
        <v>21</v>
      </c>
      <c r="L813" s="6" t="s">
        <v>61</v>
      </c>
      <c r="M813" s="6">
        <v>9</v>
      </c>
      <c r="N813">
        <f t="shared" si="72"/>
        <v>1</v>
      </c>
      <c r="O813" t="str">
        <f t="shared" si="73"/>
        <v>06-2026</v>
      </c>
      <c r="P813" t="str">
        <f t="shared" si="74"/>
        <v>06-2026</v>
      </c>
      <c r="Q813">
        <f t="shared" si="75"/>
        <v>1</v>
      </c>
      <c r="R813">
        <f t="shared" si="76"/>
        <v>0</v>
      </c>
      <c r="S813" t="str">
        <f t="shared" si="77"/>
        <v>0-90</v>
      </c>
    </row>
    <row r="814" spans="1:19" x14ac:dyDescent="0.25">
      <c r="A814" s="6" t="s">
        <v>854</v>
      </c>
      <c r="B814" s="6" t="s">
        <v>14</v>
      </c>
      <c r="C814" s="6" t="s">
        <v>15</v>
      </c>
      <c r="D814" s="6" t="s">
        <v>829</v>
      </c>
      <c r="E814" s="6" t="s">
        <v>754</v>
      </c>
      <c r="F814" s="6" t="s">
        <v>830</v>
      </c>
      <c r="G814" s="6" t="s">
        <v>19</v>
      </c>
      <c r="H814" s="11">
        <v>46180</v>
      </c>
      <c r="I814" s="11"/>
      <c r="J814" s="6" t="s">
        <v>27</v>
      </c>
      <c r="K814" s="6"/>
      <c r="L814" s="6"/>
      <c r="M814" s="6">
        <v>23</v>
      </c>
      <c r="N814">
        <f t="shared" si="72"/>
        <v>0</v>
      </c>
      <c r="O814" t="str">
        <f t="shared" si="73"/>
        <v>06-2026</v>
      </c>
      <c r="P814" t="str">
        <f t="shared" si="74"/>
        <v/>
      </c>
      <c r="Q814">
        <f t="shared" si="75"/>
        <v>0</v>
      </c>
      <c r="R814">
        <f t="shared" si="76"/>
        <v>0</v>
      </c>
      <c r="S814" t="str">
        <f t="shared" si="77"/>
        <v>0-90</v>
      </c>
    </row>
    <row r="815" spans="1:19" x14ac:dyDescent="0.25">
      <c r="A815" s="6" t="s">
        <v>855</v>
      </c>
      <c r="B815" s="6" t="s">
        <v>14</v>
      </c>
      <c r="C815" s="6" t="s">
        <v>15</v>
      </c>
      <c r="D815" s="6" t="s">
        <v>829</v>
      </c>
      <c r="E815" s="6" t="s">
        <v>754</v>
      </c>
      <c r="F815" s="6" t="s">
        <v>830</v>
      </c>
      <c r="G815" s="6" t="s">
        <v>19</v>
      </c>
      <c r="H815" s="11">
        <v>46180</v>
      </c>
      <c r="I815" s="11">
        <v>46183</v>
      </c>
      <c r="J815" s="6" t="s">
        <v>20</v>
      </c>
      <c r="K815" s="6" t="s">
        <v>21</v>
      </c>
      <c r="L815" s="6" t="s">
        <v>50</v>
      </c>
      <c r="M815" s="6">
        <v>3</v>
      </c>
      <c r="N815">
        <f t="shared" si="72"/>
        <v>1</v>
      </c>
      <c r="O815" t="str">
        <f t="shared" si="73"/>
        <v>06-2026</v>
      </c>
      <c r="P815" t="str">
        <f t="shared" si="74"/>
        <v>06-2026</v>
      </c>
      <c r="Q815">
        <f t="shared" si="75"/>
        <v>1</v>
      </c>
      <c r="R815">
        <f t="shared" si="76"/>
        <v>0</v>
      </c>
      <c r="S815" t="str">
        <f t="shared" si="77"/>
        <v>0-90</v>
      </c>
    </row>
    <row r="816" spans="1:19" x14ac:dyDescent="0.25">
      <c r="A816" s="6" t="s">
        <v>856</v>
      </c>
      <c r="B816" s="6" t="s">
        <v>14</v>
      </c>
      <c r="C816" s="6" t="s">
        <v>15</v>
      </c>
      <c r="D816" s="6" t="s">
        <v>829</v>
      </c>
      <c r="E816" s="6" t="s">
        <v>754</v>
      </c>
      <c r="F816" s="6" t="s">
        <v>830</v>
      </c>
      <c r="G816" s="6" t="s">
        <v>19</v>
      </c>
      <c r="H816" s="11">
        <v>46120</v>
      </c>
      <c r="I816" s="11">
        <v>46188</v>
      </c>
      <c r="J816" s="6" t="s">
        <v>20</v>
      </c>
      <c r="K816" s="6" t="s">
        <v>24</v>
      </c>
      <c r="L816" s="6" t="s">
        <v>44</v>
      </c>
      <c r="M816" s="6">
        <v>68</v>
      </c>
      <c r="N816">
        <f t="shared" si="72"/>
        <v>1</v>
      </c>
      <c r="O816" t="str">
        <f t="shared" si="73"/>
        <v>04-2026</v>
      </c>
      <c r="P816" t="str">
        <f t="shared" si="74"/>
        <v>06-2026</v>
      </c>
      <c r="Q816">
        <f t="shared" si="75"/>
        <v>0</v>
      </c>
      <c r="R816">
        <f t="shared" si="76"/>
        <v>1</v>
      </c>
      <c r="S816" t="str">
        <f t="shared" si="77"/>
        <v>0-90</v>
      </c>
    </row>
    <row r="817" spans="1:19" x14ac:dyDescent="0.25">
      <c r="A817" s="6" t="s">
        <v>857</v>
      </c>
      <c r="B817" s="6" t="s">
        <v>14</v>
      </c>
      <c r="C817" s="6" t="s">
        <v>15</v>
      </c>
      <c r="D817" s="6" t="s">
        <v>829</v>
      </c>
      <c r="E817" s="6" t="s">
        <v>754</v>
      </c>
      <c r="F817" s="6" t="s">
        <v>830</v>
      </c>
      <c r="G817" s="6" t="s">
        <v>19</v>
      </c>
      <c r="H817" s="11">
        <v>45696</v>
      </c>
      <c r="I817" s="11">
        <v>46142</v>
      </c>
      <c r="J817" s="6" t="s">
        <v>20</v>
      </c>
      <c r="K817" s="6" t="s">
        <v>24</v>
      </c>
      <c r="L817" s="6" t="s">
        <v>25</v>
      </c>
      <c r="M817" s="6">
        <v>446</v>
      </c>
      <c r="N817">
        <f t="shared" si="72"/>
        <v>1</v>
      </c>
      <c r="O817" t="str">
        <f t="shared" si="73"/>
        <v>02-2025</v>
      </c>
      <c r="P817" t="str">
        <f t="shared" si="74"/>
        <v>04-2026</v>
      </c>
      <c r="Q817">
        <f t="shared" si="75"/>
        <v>0</v>
      </c>
      <c r="R817">
        <f t="shared" si="76"/>
        <v>1</v>
      </c>
      <c r="S817" t="str">
        <f t="shared" si="77"/>
        <v>above 1 year</v>
      </c>
    </row>
    <row r="818" spans="1:19" x14ac:dyDescent="0.25">
      <c r="A818" s="6" t="s">
        <v>858</v>
      </c>
      <c r="B818" s="6" t="s">
        <v>14</v>
      </c>
      <c r="C818" s="6" t="s">
        <v>15</v>
      </c>
      <c r="D818" s="6" t="s">
        <v>829</v>
      </c>
      <c r="E818" s="6" t="s">
        <v>754</v>
      </c>
      <c r="F818" s="6" t="s">
        <v>830</v>
      </c>
      <c r="G818" s="6" t="s">
        <v>19</v>
      </c>
      <c r="H818" s="11">
        <v>46150</v>
      </c>
      <c r="I818" s="11"/>
      <c r="J818" s="6" t="s">
        <v>27</v>
      </c>
      <c r="K818" s="6"/>
      <c r="L818" s="6"/>
      <c r="M818" s="6">
        <v>53</v>
      </c>
      <c r="N818">
        <f t="shared" si="72"/>
        <v>0</v>
      </c>
      <c r="O818" t="str">
        <f t="shared" si="73"/>
        <v>05-2026</v>
      </c>
      <c r="P818" t="str">
        <f t="shared" si="74"/>
        <v/>
      </c>
      <c r="Q818">
        <f t="shared" si="75"/>
        <v>0</v>
      </c>
      <c r="R818">
        <f t="shared" si="76"/>
        <v>0</v>
      </c>
      <c r="S818" t="str">
        <f t="shared" si="77"/>
        <v>0-90</v>
      </c>
    </row>
    <row r="819" spans="1:19" x14ac:dyDescent="0.25">
      <c r="A819" s="6" t="s">
        <v>859</v>
      </c>
      <c r="B819" s="6" t="s">
        <v>14</v>
      </c>
      <c r="C819" s="6" t="s">
        <v>15</v>
      </c>
      <c r="D819" s="6" t="s">
        <v>829</v>
      </c>
      <c r="E819" s="6" t="s">
        <v>754</v>
      </c>
      <c r="F819" s="6" t="s">
        <v>830</v>
      </c>
      <c r="G819" s="6" t="s">
        <v>19</v>
      </c>
      <c r="H819" s="11">
        <v>46121</v>
      </c>
      <c r="I819" s="11">
        <v>46121</v>
      </c>
      <c r="J819" s="6" t="s">
        <v>20</v>
      </c>
      <c r="K819" s="6" t="s">
        <v>21</v>
      </c>
      <c r="L819" s="6" t="s">
        <v>61</v>
      </c>
      <c r="M819" s="6">
        <v>0</v>
      </c>
      <c r="N819">
        <f t="shared" si="72"/>
        <v>1</v>
      </c>
      <c r="O819" t="str">
        <f t="shared" si="73"/>
        <v>04-2026</v>
      </c>
      <c r="P819" t="str">
        <f t="shared" si="74"/>
        <v>04-2026</v>
      </c>
      <c r="Q819">
        <f t="shared" si="75"/>
        <v>1</v>
      </c>
      <c r="R819">
        <f t="shared" si="76"/>
        <v>0</v>
      </c>
      <c r="S819" t="str">
        <f t="shared" si="77"/>
        <v>0-90</v>
      </c>
    </row>
    <row r="820" spans="1:19" x14ac:dyDescent="0.25">
      <c r="A820" s="6" t="s">
        <v>860</v>
      </c>
      <c r="B820" s="6" t="s">
        <v>14</v>
      </c>
      <c r="C820" s="6" t="s">
        <v>15</v>
      </c>
      <c r="D820" s="6" t="s">
        <v>829</v>
      </c>
      <c r="E820" s="6" t="s">
        <v>754</v>
      </c>
      <c r="F820" s="6" t="s">
        <v>830</v>
      </c>
      <c r="G820" s="6" t="s">
        <v>19</v>
      </c>
      <c r="H820" s="11">
        <v>46062</v>
      </c>
      <c r="I820" s="11">
        <v>46135</v>
      </c>
      <c r="J820" s="6" t="s">
        <v>20</v>
      </c>
      <c r="K820" s="6" t="s">
        <v>24</v>
      </c>
      <c r="L820" s="6" t="s">
        <v>25</v>
      </c>
      <c r="M820" s="6">
        <v>73</v>
      </c>
      <c r="N820">
        <f t="shared" si="72"/>
        <v>1</v>
      </c>
      <c r="O820" t="str">
        <f t="shared" si="73"/>
        <v>02-2026</v>
      </c>
      <c r="P820" t="str">
        <f t="shared" si="74"/>
        <v>04-2026</v>
      </c>
      <c r="Q820">
        <f t="shared" si="75"/>
        <v>0</v>
      </c>
      <c r="R820">
        <f t="shared" si="76"/>
        <v>1</v>
      </c>
      <c r="S820" t="str">
        <f t="shared" si="77"/>
        <v>0-90</v>
      </c>
    </row>
    <row r="821" spans="1:19" x14ac:dyDescent="0.25">
      <c r="A821" s="6" t="s">
        <v>861</v>
      </c>
      <c r="B821" s="6" t="s">
        <v>14</v>
      </c>
      <c r="C821" s="6" t="s">
        <v>15</v>
      </c>
      <c r="D821" s="6" t="s">
        <v>829</v>
      </c>
      <c r="E821" s="6" t="s">
        <v>754</v>
      </c>
      <c r="F821" s="6" t="s">
        <v>830</v>
      </c>
      <c r="G821" s="6" t="s">
        <v>19</v>
      </c>
      <c r="H821" s="11">
        <v>46182</v>
      </c>
      <c r="I821" s="11">
        <v>46182</v>
      </c>
      <c r="J821" s="6" t="s">
        <v>20</v>
      </c>
      <c r="K821" s="6" t="s">
        <v>21</v>
      </c>
      <c r="L821" s="6" t="s">
        <v>37</v>
      </c>
      <c r="M821" s="6">
        <v>0</v>
      </c>
      <c r="N821">
        <f t="shared" si="72"/>
        <v>1</v>
      </c>
      <c r="O821" t="str">
        <f t="shared" si="73"/>
        <v>06-2026</v>
      </c>
      <c r="P821" t="str">
        <f t="shared" si="74"/>
        <v>06-2026</v>
      </c>
      <c r="Q821">
        <f t="shared" si="75"/>
        <v>1</v>
      </c>
      <c r="R821">
        <f t="shared" si="76"/>
        <v>0</v>
      </c>
      <c r="S821" t="str">
        <f t="shared" si="77"/>
        <v>0-90</v>
      </c>
    </row>
    <row r="822" spans="1:19" x14ac:dyDescent="0.25">
      <c r="A822" s="6" t="s">
        <v>862</v>
      </c>
      <c r="B822" s="6" t="s">
        <v>14</v>
      </c>
      <c r="C822" s="6" t="s">
        <v>15</v>
      </c>
      <c r="D822" s="6" t="s">
        <v>829</v>
      </c>
      <c r="E822" s="6" t="s">
        <v>754</v>
      </c>
      <c r="F822" s="6" t="s">
        <v>830</v>
      </c>
      <c r="G822" s="6" t="s">
        <v>19</v>
      </c>
      <c r="H822" s="11">
        <v>46151</v>
      </c>
      <c r="I822" s="11">
        <v>46154</v>
      </c>
      <c r="J822" s="6" t="s">
        <v>20</v>
      </c>
      <c r="K822" s="6" t="s">
        <v>21</v>
      </c>
      <c r="L822" s="6" t="s">
        <v>61</v>
      </c>
      <c r="M822" s="6">
        <v>3</v>
      </c>
      <c r="N822">
        <f t="shared" si="72"/>
        <v>1</v>
      </c>
      <c r="O822" t="str">
        <f t="shared" si="73"/>
        <v>05-2026</v>
      </c>
      <c r="P822" t="str">
        <f t="shared" si="74"/>
        <v>05-2026</v>
      </c>
      <c r="Q822">
        <f t="shared" si="75"/>
        <v>1</v>
      </c>
      <c r="R822">
        <f t="shared" si="76"/>
        <v>0</v>
      </c>
      <c r="S822" t="str">
        <f t="shared" si="77"/>
        <v>0-90</v>
      </c>
    </row>
    <row r="823" spans="1:19" x14ac:dyDescent="0.25">
      <c r="A823" s="6" t="s">
        <v>863</v>
      </c>
      <c r="B823" s="6" t="s">
        <v>14</v>
      </c>
      <c r="C823" s="6" t="s">
        <v>15</v>
      </c>
      <c r="D823" s="6" t="s">
        <v>829</v>
      </c>
      <c r="E823" s="6" t="s">
        <v>754</v>
      </c>
      <c r="F823" s="6" t="s">
        <v>830</v>
      </c>
      <c r="G823" s="6" t="s">
        <v>19</v>
      </c>
      <c r="H823" s="11">
        <v>45909</v>
      </c>
      <c r="I823" s="11"/>
      <c r="J823" s="6" t="s">
        <v>27</v>
      </c>
      <c r="K823" s="6"/>
      <c r="L823" s="6"/>
      <c r="M823" s="6">
        <v>294</v>
      </c>
      <c r="N823">
        <f t="shared" si="72"/>
        <v>0</v>
      </c>
      <c r="O823" t="str">
        <f t="shared" si="73"/>
        <v>09-2025</v>
      </c>
      <c r="P823" t="str">
        <f t="shared" si="74"/>
        <v/>
      </c>
      <c r="Q823">
        <f t="shared" si="75"/>
        <v>0</v>
      </c>
      <c r="R823">
        <f t="shared" si="76"/>
        <v>0</v>
      </c>
      <c r="S823" t="str">
        <f t="shared" si="77"/>
        <v>180-365</v>
      </c>
    </row>
    <row r="824" spans="1:19" x14ac:dyDescent="0.25">
      <c r="A824" s="6" t="s">
        <v>864</v>
      </c>
      <c r="B824" s="6" t="s">
        <v>14</v>
      </c>
      <c r="C824" s="6" t="s">
        <v>15</v>
      </c>
      <c r="D824" s="6" t="s">
        <v>829</v>
      </c>
      <c r="E824" s="6" t="s">
        <v>754</v>
      </c>
      <c r="F824" s="6" t="s">
        <v>830</v>
      </c>
      <c r="G824" s="6" t="s">
        <v>19</v>
      </c>
      <c r="H824" s="11">
        <v>46122</v>
      </c>
      <c r="I824" s="11"/>
      <c r="J824" s="6" t="s">
        <v>27</v>
      </c>
      <c r="K824" s="6"/>
      <c r="L824" s="6"/>
      <c r="M824" s="6">
        <v>81</v>
      </c>
      <c r="N824">
        <f t="shared" si="72"/>
        <v>0</v>
      </c>
      <c r="O824" t="str">
        <f t="shared" si="73"/>
        <v>04-2026</v>
      </c>
      <c r="P824" t="str">
        <f t="shared" si="74"/>
        <v/>
      </c>
      <c r="Q824">
        <f t="shared" si="75"/>
        <v>0</v>
      </c>
      <c r="R824">
        <f t="shared" si="76"/>
        <v>0</v>
      </c>
      <c r="S824" t="str">
        <f t="shared" si="77"/>
        <v>0-90</v>
      </c>
    </row>
    <row r="825" spans="1:19" x14ac:dyDescent="0.25">
      <c r="A825" s="6" t="s">
        <v>865</v>
      </c>
      <c r="B825" s="6" t="s">
        <v>14</v>
      </c>
      <c r="C825" s="6" t="s">
        <v>15</v>
      </c>
      <c r="D825" s="6" t="s">
        <v>829</v>
      </c>
      <c r="E825" s="6" t="s">
        <v>754</v>
      </c>
      <c r="F825" s="6" t="s">
        <v>830</v>
      </c>
      <c r="G825" s="6" t="s">
        <v>19</v>
      </c>
      <c r="H825" s="11">
        <v>46122</v>
      </c>
      <c r="I825" s="11">
        <v>46164</v>
      </c>
      <c r="J825" s="6" t="s">
        <v>20</v>
      </c>
      <c r="K825" s="6" t="s">
        <v>21</v>
      </c>
      <c r="L825" s="6" t="s">
        <v>37</v>
      </c>
      <c r="M825" s="6">
        <v>42</v>
      </c>
      <c r="N825">
        <f t="shared" si="72"/>
        <v>1</v>
      </c>
      <c r="O825" t="str">
        <f t="shared" si="73"/>
        <v>04-2026</v>
      </c>
      <c r="P825" t="str">
        <f t="shared" si="74"/>
        <v>05-2026</v>
      </c>
      <c r="Q825">
        <f t="shared" si="75"/>
        <v>1</v>
      </c>
      <c r="R825">
        <f t="shared" si="76"/>
        <v>0</v>
      </c>
      <c r="S825" t="str">
        <f t="shared" si="77"/>
        <v>0-90</v>
      </c>
    </row>
    <row r="826" spans="1:19" x14ac:dyDescent="0.25">
      <c r="A826" s="6" t="s">
        <v>866</v>
      </c>
      <c r="B826" s="6" t="s">
        <v>14</v>
      </c>
      <c r="C826" s="6" t="s">
        <v>15</v>
      </c>
      <c r="D826" s="6" t="s">
        <v>829</v>
      </c>
      <c r="E826" s="6" t="s">
        <v>754</v>
      </c>
      <c r="F826" s="6" t="s">
        <v>830</v>
      </c>
      <c r="G826" s="6" t="s">
        <v>19</v>
      </c>
      <c r="H826" s="11">
        <v>45879</v>
      </c>
      <c r="I826" s="11"/>
      <c r="J826" s="6" t="s">
        <v>27</v>
      </c>
      <c r="K826" s="6"/>
      <c r="L826" s="6"/>
      <c r="M826" s="6">
        <v>324</v>
      </c>
      <c r="N826">
        <f t="shared" si="72"/>
        <v>0</v>
      </c>
      <c r="O826" t="str">
        <f t="shared" si="73"/>
        <v>08-2025</v>
      </c>
      <c r="P826" t="str">
        <f t="shared" si="74"/>
        <v/>
      </c>
      <c r="Q826">
        <f t="shared" si="75"/>
        <v>0</v>
      </c>
      <c r="R826">
        <f t="shared" si="76"/>
        <v>0</v>
      </c>
      <c r="S826" t="str">
        <f t="shared" si="77"/>
        <v>180-365</v>
      </c>
    </row>
    <row r="827" spans="1:19" x14ac:dyDescent="0.25">
      <c r="A827" s="6" t="s">
        <v>867</v>
      </c>
      <c r="B827" s="6" t="s">
        <v>14</v>
      </c>
      <c r="C827" s="6" t="s">
        <v>15</v>
      </c>
      <c r="D827" s="6" t="s">
        <v>829</v>
      </c>
      <c r="E827" s="6" t="s">
        <v>754</v>
      </c>
      <c r="F827" s="6" t="s">
        <v>830</v>
      </c>
      <c r="G827" s="6" t="s">
        <v>19</v>
      </c>
      <c r="H827" s="11">
        <v>45698</v>
      </c>
      <c r="I827" s="11"/>
      <c r="J827" s="6" t="s">
        <v>27</v>
      </c>
      <c r="K827" s="6"/>
      <c r="L827" s="6"/>
      <c r="M827" s="6">
        <v>505</v>
      </c>
      <c r="N827">
        <f t="shared" si="72"/>
        <v>0</v>
      </c>
      <c r="O827" t="str">
        <f t="shared" si="73"/>
        <v>02-2025</v>
      </c>
      <c r="P827" t="str">
        <f t="shared" si="74"/>
        <v/>
      </c>
      <c r="Q827">
        <f t="shared" si="75"/>
        <v>0</v>
      </c>
      <c r="R827">
        <f t="shared" si="76"/>
        <v>0</v>
      </c>
      <c r="S827" t="str">
        <f t="shared" si="77"/>
        <v>above 1 year</v>
      </c>
    </row>
    <row r="828" spans="1:19" x14ac:dyDescent="0.25">
      <c r="A828" s="6" t="s">
        <v>868</v>
      </c>
      <c r="B828" s="6" t="s">
        <v>14</v>
      </c>
      <c r="C828" s="6" t="s">
        <v>15</v>
      </c>
      <c r="D828" s="6" t="s">
        <v>829</v>
      </c>
      <c r="E828" s="6" t="s">
        <v>754</v>
      </c>
      <c r="F828" s="6" t="s">
        <v>830</v>
      </c>
      <c r="G828" s="6" t="s">
        <v>19</v>
      </c>
      <c r="H828" s="11">
        <v>46152</v>
      </c>
      <c r="I828" s="11"/>
      <c r="J828" s="6" t="s">
        <v>27</v>
      </c>
      <c r="K828" s="6"/>
      <c r="L828" s="6"/>
      <c r="M828" s="6">
        <v>51</v>
      </c>
      <c r="N828">
        <f t="shared" si="72"/>
        <v>0</v>
      </c>
      <c r="O828" t="str">
        <f t="shared" si="73"/>
        <v>05-2026</v>
      </c>
      <c r="P828" t="str">
        <f t="shared" si="74"/>
        <v/>
      </c>
      <c r="Q828">
        <f t="shared" si="75"/>
        <v>0</v>
      </c>
      <c r="R828">
        <f t="shared" si="76"/>
        <v>0</v>
      </c>
      <c r="S828" t="str">
        <f t="shared" si="77"/>
        <v>0-90</v>
      </c>
    </row>
    <row r="829" spans="1:19" x14ac:dyDescent="0.25">
      <c r="A829" s="6" t="s">
        <v>869</v>
      </c>
      <c r="B829" s="6" t="s">
        <v>14</v>
      </c>
      <c r="C829" s="6" t="s">
        <v>15</v>
      </c>
      <c r="D829" s="6" t="s">
        <v>829</v>
      </c>
      <c r="E829" s="6" t="s">
        <v>754</v>
      </c>
      <c r="F829" s="6" t="s">
        <v>830</v>
      </c>
      <c r="G829" s="6" t="s">
        <v>19</v>
      </c>
      <c r="H829" s="11">
        <v>46123</v>
      </c>
      <c r="I829" s="11"/>
      <c r="J829" s="6" t="s">
        <v>27</v>
      </c>
      <c r="K829" s="6"/>
      <c r="L829" s="6"/>
      <c r="M829" s="6">
        <v>80</v>
      </c>
      <c r="N829">
        <f t="shared" si="72"/>
        <v>0</v>
      </c>
      <c r="O829" t="str">
        <f t="shared" si="73"/>
        <v>04-2026</v>
      </c>
      <c r="P829" t="str">
        <f t="shared" si="74"/>
        <v/>
      </c>
      <c r="Q829">
        <f t="shared" si="75"/>
        <v>0</v>
      </c>
      <c r="R829">
        <f t="shared" si="76"/>
        <v>0</v>
      </c>
      <c r="S829" t="str">
        <f t="shared" si="77"/>
        <v>0-90</v>
      </c>
    </row>
    <row r="830" spans="1:19" x14ac:dyDescent="0.25">
      <c r="A830" s="6" t="s">
        <v>870</v>
      </c>
      <c r="B830" s="6" t="s">
        <v>14</v>
      </c>
      <c r="C830" s="6" t="s">
        <v>15</v>
      </c>
      <c r="D830" s="6" t="s">
        <v>829</v>
      </c>
      <c r="E830" s="6" t="s">
        <v>754</v>
      </c>
      <c r="F830" s="6" t="s">
        <v>830</v>
      </c>
      <c r="G830" s="6" t="s">
        <v>19</v>
      </c>
      <c r="H830" s="11">
        <v>45972</v>
      </c>
      <c r="I830" s="11">
        <v>46127</v>
      </c>
      <c r="J830" s="6" t="s">
        <v>20</v>
      </c>
      <c r="K830" s="6" t="s">
        <v>24</v>
      </c>
      <c r="L830" s="6" t="s">
        <v>44</v>
      </c>
      <c r="M830" s="6">
        <v>155</v>
      </c>
      <c r="N830">
        <f t="shared" si="72"/>
        <v>1</v>
      </c>
      <c r="O830" t="str">
        <f t="shared" si="73"/>
        <v>11-2025</v>
      </c>
      <c r="P830" t="str">
        <f t="shared" si="74"/>
        <v>04-2026</v>
      </c>
      <c r="Q830">
        <f t="shared" si="75"/>
        <v>0</v>
      </c>
      <c r="R830">
        <f t="shared" si="76"/>
        <v>1</v>
      </c>
      <c r="S830" t="str">
        <f t="shared" si="77"/>
        <v>90-180</v>
      </c>
    </row>
    <row r="831" spans="1:19" x14ac:dyDescent="0.25">
      <c r="A831" s="6" t="s">
        <v>871</v>
      </c>
      <c r="B831" s="6" t="s">
        <v>14</v>
      </c>
      <c r="C831" s="6" t="s">
        <v>15</v>
      </c>
      <c r="D831" s="6" t="s">
        <v>829</v>
      </c>
      <c r="E831" s="6" t="s">
        <v>754</v>
      </c>
      <c r="F831" s="6" t="s">
        <v>830</v>
      </c>
      <c r="G831" s="6" t="s">
        <v>19</v>
      </c>
      <c r="H831" s="11">
        <v>45941</v>
      </c>
      <c r="I831" s="11"/>
      <c r="J831" s="6" t="s">
        <v>27</v>
      </c>
      <c r="K831" s="6"/>
      <c r="L831" s="6"/>
      <c r="M831" s="6">
        <v>262</v>
      </c>
      <c r="N831">
        <f t="shared" si="72"/>
        <v>0</v>
      </c>
      <c r="O831" t="str">
        <f t="shared" si="73"/>
        <v>10-2025</v>
      </c>
      <c r="P831" t="str">
        <f t="shared" si="74"/>
        <v/>
      </c>
      <c r="Q831">
        <f t="shared" si="75"/>
        <v>0</v>
      </c>
      <c r="R831">
        <f t="shared" si="76"/>
        <v>0</v>
      </c>
      <c r="S831" t="str">
        <f t="shared" si="77"/>
        <v>180-365</v>
      </c>
    </row>
    <row r="832" spans="1:19" x14ac:dyDescent="0.25">
      <c r="A832" s="6" t="s">
        <v>872</v>
      </c>
      <c r="B832" s="6" t="s">
        <v>14</v>
      </c>
      <c r="C832" s="6" t="s">
        <v>15</v>
      </c>
      <c r="D832" s="6" t="s">
        <v>829</v>
      </c>
      <c r="E832" s="6" t="s">
        <v>754</v>
      </c>
      <c r="F832" s="6" t="s">
        <v>830</v>
      </c>
      <c r="G832" s="6" t="s">
        <v>19</v>
      </c>
      <c r="H832" s="11">
        <v>46124</v>
      </c>
      <c r="I832" s="11">
        <v>46124</v>
      </c>
      <c r="J832" s="6" t="s">
        <v>20</v>
      </c>
      <c r="K832" s="6" t="s">
        <v>21</v>
      </c>
      <c r="L832" s="6" t="s">
        <v>37</v>
      </c>
      <c r="M832" s="6">
        <v>0</v>
      </c>
      <c r="N832">
        <f t="shared" si="72"/>
        <v>1</v>
      </c>
      <c r="O832" t="str">
        <f t="shared" si="73"/>
        <v>04-2026</v>
      </c>
      <c r="P832" t="str">
        <f t="shared" si="74"/>
        <v>04-2026</v>
      </c>
      <c r="Q832">
        <f t="shared" si="75"/>
        <v>1</v>
      </c>
      <c r="R832">
        <f t="shared" si="76"/>
        <v>0</v>
      </c>
      <c r="S832" t="str">
        <f t="shared" si="77"/>
        <v>0-90</v>
      </c>
    </row>
    <row r="833" spans="1:19" x14ac:dyDescent="0.25">
      <c r="A833" s="6" t="s">
        <v>873</v>
      </c>
      <c r="B833" s="6" t="s">
        <v>14</v>
      </c>
      <c r="C833" s="6" t="s">
        <v>15</v>
      </c>
      <c r="D833" s="6" t="s">
        <v>829</v>
      </c>
      <c r="E833" s="6" t="s">
        <v>754</v>
      </c>
      <c r="F833" s="6" t="s">
        <v>830</v>
      </c>
      <c r="G833" s="6" t="s">
        <v>19</v>
      </c>
      <c r="H833" s="11">
        <v>45881</v>
      </c>
      <c r="I833" s="11">
        <v>46183</v>
      </c>
      <c r="J833" s="6" t="s">
        <v>20</v>
      </c>
      <c r="K833" s="6" t="s">
        <v>24</v>
      </c>
      <c r="L833" s="6" t="s">
        <v>55</v>
      </c>
      <c r="M833" s="6">
        <v>302</v>
      </c>
      <c r="N833">
        <f t="shared" si="72"/>
        <v>1</v>
      </c>
      <c r="O833" t="str">
        <f t="shared" si="73"/>
        <v>08-2025</v>
      </c>
      <c r="P833" t="str">
        <f t="shared" si="74"/>
        <v>06-2026</v>
      </c>
      <c r="Q833">
        <f t="shared" si="75"/>
        <v>0</v>
      </c>
      <c r="R833">
        <f t="shared" si="76"/>
        <v>1</v>
      </c>
      <c r="S833" t="str">
        <f t="shared" si="77"/>
        <v>180-365</v>
      </c>
    </row>
    <row r="834" spans="1:19" x14ac:dyDescent="0.25">
      <c r="A834" s="6" t="s">
        <v>874</v>
      </c>
      <c r="B834" s="6" t="s">
        <v>14</v>
      </c>
      <c r="C834" s="6" t="s">
        <v>15</v>
      </c>
      <c r="D834" s="6" t="s">
        <v>829</v>
      </c>
      <c r="E834" s="6" t="s">
        <v>754</v>
      </c>
      <c r="F834" s="6" t="s">
        <v>830</v>
      </c>
      <c r="G834" s="6" t="s">
        <v>19</v>
      </c>
      <c r="H834" s="11">
        <v>45850</v>
      </c>
      <c r="I834" s="11">
        <v>46123</v>
      </c>
      <c r="J834" s="6" t="s">
        <v>20</v>
      </c>
      <c r="K834" s="6" t="s">
        <v>24</v>
      </c>
      <c r="L834" s="6" t="s">
        <v>41</v>
      </c>
      <c r="M834" s="6">
        <v>273</v>
      </c>
      <c r="N834">
        <f t="shared" si="72"/>
        <v>1</v>
      </c>
      <c r="O834" t="str">
        <f t="shared" si="73"/>
        <v>07-2025</v>
      </c>
      <c r="P834" t="str">
        <f t="shared" si="74"/>
        <v>04-2026</v>
      </c>
      <c r="Q834">
        <f t="shared" si="75"/>
        <v>0</v>
      </c>
      <c r="R834">
        <f t="shared" si="76"/>
        <v>1</v>
      </c>
      <c r="S834" t="str">
        <f t="shared" si="77"/>
        <v>180-365</v>
      </c>
    </row>
    <row r="835" spans="1:19" x14ac:dyDescent="0.25">
      <c r="A835" s="6" t="s">
        <v>875</v>
      </c>
      <c r="B835" s="6" t="s">
        <v>14</v>
      </c>
      <c r="C835" s="6" t="s">
        <v>15</v>
      </c>
      <c r="D835" s="6" t="s">
        <v>829</v>
      </c>
      <c r="E835" s="6" t="s">
        <v>754</v>
      </c>
      <c r="F835" s="6" t="s">
        <v>830</v>
      </c>
      <c r="G835" s="6" t="s">
        <v>19</v>
      </c>
      <c r="H835" s="11">
        <v>46125</v>
      </c>
      <c r="I835" s="11">
        <v>46125</v>
      </c>
      <c r="J835" s="6" t="s">
        <v>20</v>
      </c>
      <c r="K835" s="6" t="s">
        <v>21</v>
      </c>
      <c r="L835" s="6" t="s">
        <v>61</v>
      </c>
      <c r="M835" s="6">
        <v>0</v>
      </c>
      <c r="N835">
        <f t="shared" ref="N835:N898" si="78">IF(J835="Relieved",1,0)</f>
        <v>1</v>
      </c>
      <c r="O835" t="str">
        <f t="shared" ref="O835:O898" si="79">TEXT(H835,"mm-yyyy")</f>
        <v>04-2026</v>
      </c>
      <c r="P835" t="str">
        <f t="shared" ref="P835:P898" si="80">IF(I835="","",TEXT(I835,"mm-yyyy"))</f>
        <v>04-2026</v>
      </c>
      <c r="Q835">
        <f t="shared" ref="Q835:Q898" si="81">IF(K835="Voluntary",1,0)</f>
        <v>1</v>
      </c>
      <c r="R835">
        <f t="shared" ref="R835:R898" si="82">IF(K835="Involuntary",1,0)</f>
        <v>0</v>
      </c>
      <c r="S835" t="str">
        <f t="shared" ref="S835:S898" si="83">IF(M835&lt;90,"0-90",IF(M835&lt;180,"90-180",IF(M835&lt;365,"180-365","above 1 year")))</f>
        <v>0-90</v>
      </c>
    </row>
    <row r="836" spans="1:19" x14ac:dyDescent="0.25">
      <c r="A836" s="6" t="s">
        <v>876</v>
      </c>
      <c r="B836" s="6" t="s">
        <v>14</v>
      </c>
      <c r="C836" s="6" t="s">
        <v>15</v>
      </c>
      <c r="D836" s="6" t="s">
        <v>829</v>
      </c>
      <c r="E836" s="6" t="s">
        <v>754</v>
      </c>
      <c r="F836" s="6" t="s">
        <v>830</v>
      </c>
      <c r="G836" s="6" t="s">
        <v>19</v>
      </c>
      <c r="H836" s="11">
        <v>46125</v>
      </c>
      <c r="I836" s="11"/>
      <c r="J836" s="6" t="s">
        <v>27</v>
      </c>
      <c r="K836" s="6"/>
      <c r="L836" s="6"/>
      <c r="M836" s="6">
        <v>78</v>
      </c>
      <c r="N836">
        <f t="shared" si="78"/>
        <v>0</v>
      </c>
      <c r="O836" t="str">
        <f t="shared" si="79"/>
        <v>04-2026</v>
      </c>
      <c r="P836" t="str">
        <f t="shared" si="80"/>
        <v/>
      </c>
      <c r="Q836">
        <f t="shared" si="81"/>
        <v>0</v>
      </c>
      <c r="R836">
        <f t="shared" si="82"/>
        <v>0</v>
      </c>
      <c r="S836" t="str">
        <f t="shared" si="83"/>
        <v>0-90</v>
      </c>
    </row>
    <row r="837" spans="1:19" x14ac:dyDescent="0.25">
      <c r="A837" s="6" t="s">
        <v>877</v>
      </c>
      <c r="B837" s="6" t="s">
        <v>14</v>
      </c>
      <c r="C837" s="6" t="s">
        <v>15</v>
      </c>
      <c r="D837" s="6" t="s">
        <v>829</v>
      </c>
      <c r="E837" s="6" t="s">
        <v>754</v>
      </c>
      <c r="F837" s="6" t="s">
        <v>830</v>
      </c>
      <c r="G837" s="6" t="s">
        <v>19</v>
      </c>
      <c r="H837" s="11">
        <v>46125</v>
      </c>
      <c r="I837" s="11">
        <v>46125</v>
      </c>
      <c r="J837" s="6" t="s">
        <v>20</v>
      </c>
      <c r="K837" s="6" t="s">
        <v>21</v>
      </c>
      <c r="L837" s="6" t="s">
        <v>30</v>
      </c>
      <c r="M837" s="6">
        <v>0</v>
      </c>
      <c r="N837">
        <f t="shared" si="78"/>
        <v>1</v>
      </c>
      <c r="O837" t="str">
        <f t="shared" si="79"/>
        <v>04-2026</v>
      </c>
      <c r="P837" t="str">
        <f t="shared" si="80"/>
        <v>04-2026</v>
      </c>
      <c r="Q837">
        <f t="shared" si="81"/>
        <v>1</v>
      </c>
      <c r="R837">
        <f t="shared" si="82"/>
        <v>0</v>
      </c>
      <c r="S837" t="str">
        <f t="shared" si="83"/>
        <v>0-90</v>
      </c>
    </row>
    <row r="838" spans="1:19" x14ac:dyDescent="0.25">
      <c r="A838" s="6" t="s">
        <v>878</v>
      </c>
      <c r="B838" s="6" t="s">
        <v>14</v>
      </c>
      <c r="C838" s="6" t="s">
        <v>15</v>
      </c>
      <c r="D838" s="6" t="s">
        <v>829</v>
      </c>
      <c r="E838" s="6" t="s">
        <v>754</v>
      </c>
      <c r="F838" s="6" t="s">
        <v>830</v>
      </c>
      <c r="G838" s="6" t="s">
        <v>19</v>
      </c>
      <c r="H838" s="11">
        <v>46004</v>
      </c>
      <c r="I838" s="11">
        <v>46197</v>
      </c>
      <c r="J838" s="6" t="s">
        <v>20</v>
      </c>
      <c r="K838" s="6" t="s">
        <v>24</v>
      </c>
      <c r="L838" s="6" t="s">
        <v>25</v>
      </c>
      <c r="M838" s="6">
        <v>193</v>
      </c>
      <c r="N838">
        <f t="shared" si="78"/>
        <v>1</v>
      </c>
      <c r="O838" t="str">
        <f t="shared" si="79"/>
        <v>12-2025</v>
      </c>
      <c r="P838" t="str">
        <f t="shared" si="80"/>
        <v>06-2026</v>
      </c>
      <c r="Q838">
        <f t="shared" si="81"/>
        <v>0</v>
      </c>
      <c r="R838">
        <f t="shared" si="82"/>
        <v>1</v>
      </c>
      <c r="S838" t="str">
        <f t="shared" si="83"/>
        <v>180-365</v>
      </c>
    </row>
    <row r="839" spans="1:19" x14ac:dyDescent="0.25">
      <c r="A839" s="6" t="s">
        <v>879</v>
      </c>
      <c r="B839" s="6" t="s">
        <v>14</v>
      </c>
      <c r="C839" s="6" t="s">
        <v>15</v>
      </c>
      <c r="D839" s="6" t="s">
        <v>829</v>
      </c>
      <c r="E839" s="6" t="s">
        <v>754</v>
      </c>
      <c r="F839" s="6" t="s">
        <v>830</v>
      </c>
      <c r="G839" s="6" t="s">
        <v>19</v>
      </c>
      <c r="H839" s="11">
        <v>46186</v>
      </c>
      <c r="I839" s="11"/>
      <c r="J839" s="6" t="s">
        <v>27</v>
      </c>
      <c r="K839" s="6"/>
      <c r="L839" s="6"/>
      <c r="M839" s="6">
        <v>17</v>
      </c>
      <c r="N839">
        <f t="shared" si="78"/>
        <v>0</v>
      </c>
      <c r="O839" t="str">
        <f t="shared" si="79"/>
        <v>06-2026</v>
      </c>
      <c r="P839" t="str">
        <f t="shared" si="80"/>
        <v/>
      </c>
      <c r="Q839">
        <f t="shared" si="81"/>
        <v>0</v>
      </c>
      <c r="R839">
        <f t="shared" si="82"/>
        <v>0</v>
      </c>
      <c r="S839" t="str">
        <f t="shared" si="83"/>
        <v>0-90</v>
      </c>
    </row>
    <row r="840" spans="1:19" x14ac:dyDescent="0.25">
      <c r="A840" s="6" t="s">
        <v>880</v>
      </c>
      <c r="B840" s="6" t="s">
        <v>14</v>
      </c>
      <c r="C840" s="6" t="s">
        <v>15</v>
      </c>
      <c r="D840" s="6" t="s">
        <v>829</v>
      </c>
      <c r="E840" s="6" t="s">
        <v>754</v>
      </c>
      <c r="F840" s="6" t="s">
        <v>830</v>
      </c>
      <c r="G840" s="6" t="s">
        <v>19</v>
      </c>
      <c r="H840" s="11">
        <v>46186</v>
      </c>
      <c r="I840" s="11">
        <v>46186</v>
      </c>
      <c r="J840" s="6" t="s">
        <v>20</v>
      </c>
      <c r="K840" s="6" t="s">
        <v>21</v>
      </c>
      <c r="L840" s="6" t="s">
        <v>61</v>
      </c>
      <c r="M840" s="6">
        <v>0</v>
      </c>
      <c r="N840">
        <f t="shared" si="78"/>
        <v>1</v>
      </c>
      <c r="O840" t="str">
        <f t="shared" si="79"/>
        <v>06-2026</v>
      </c>
      <c r="P840" t="str">
        <f t="shared" si="80"/>
        <v>06-2026</v>
      </c>
      <c r="Q840">
        <f t="shared" si="81"/>
        <v>1</v>
      </c>
      <c r="R840">
        <f t="shared" si="82"/>
        <v>0</v>
      </c>
      <c r="S840" t="str">
        <f t="shared" si="83"/>
        <v>0-90</v>
      </c>
    </row>
    <row r="841" spans="1:19" x14ac:dyDescent="0.25">
      <c r="A841" s="6" t="s">
        <v>881</v>
      </c>
      <c r="B841" s="6" t="s">
        <v>14</v>
      </c>
      <c r="C841" s="6" t="s">
        <v>15</v>
      </c>
      <c r="D841" s="6" t="s">
        <v>829</v>
      </c>
      <c r="E841" s="6" t="s">
        <v>754</v>
      </c>
      <c r="F841" s="6" t="s">
        <v>830</v>
      </c>
      <c r="G841" s="6" t="s">
        <v>19</v>
      </c>
      <c r="H841" s="11">
        <v>45729</v>
      </c>
      <c r="I841" s="11">
        <v>46188</v>
      </c>
      <c r="J841" s="6" t="s">
        <v>20</v>
      </c>
      <c r="K841" s="6" t="s">
        <v>24</v>
      </c>
      <c r="L841" s="6" t="s">
        <v>55</v>
      </c>
      <c r="M841" s="6">
        <v>459</v>
      </c>
      <c r="N841">
        <f t="shared" si="78"/>
        <v>1</v>
      </c>
      <c r="O841" t="str">
        <f t="shared" si="79"/>
        <v>03-2025</v>
      </c>
      <c r="P841" t="str">
        <f t="shared" si="80"/>
        <v>06-2026</v>
      </c>
      <c r="Q841">
        <f t="shared" si="81"/>
        <v>0</v>
      </c>
      <c r="R841">
        <f t="shared" si="82"/>
        <v>1</v>
      </c>
      <c r="S841" t="str">
        <f t="shared" si="83"/>
        <v>above 1 year</v>
      </c>
    </row>
    <row r="842" spans="1:19" x14ac:dyDescent="0.25">
      <c r="A842" s="6" t="s">
        <v>882</v>
      </c>
      <c r="B842" s="6" t="s">
        <v>14</v>
      </c>
      <c r="C842" s="6" t="s">
        <v>15</v>
      </c>
      <c r="D842" s="6" t="s">
        <v>829</v>
      </c>
      <c r="E842" s="6" t="s">
        <v>754</v>
      </c>
      <c r="F842" s="6" t="s">
        <v>830</v>
      </c>
      <c r="G842" s="6" t="s">
        <v>19</v>
      </c>
      <c r="H842" s="11">
        <v>46036</v>
      </c>
      <c r="I842" s="11">
        <v>46163</v>
      </c>
      <c r="J842" s="6" t="s">
        <v>20</v>
      </c>
      <c r="K842" s="6" t="s">
        <v>24</v>
      </c>
      <c r="L842" s="6" t="s">
        <v>25</v>
      </c>
      <c r="M842" s="6">
        <v>127</v>
      </c>
      <c r="N842">
        <f t="shared" si="78"/>
        <v>1</v>
      </c>
      <c r="O842" t="str">
        <f t="shared" si="79"/>
        <v>01-2026</v>
      </c>
      <c r="P842" t="str">
        <f t="shared" si="80"/>
        <v>05-2026</v>
      </c>
      <c r="Q842">
        <f t="shared" si="81"/>
        <v>0</v>
      </c>
      <c r="R842">
        <f t="shared" si="82"/>
        <v>1</v>
      </c>
      <c r="S842" t="str">
        <f t="shared" si="83"/>
        <v>90-180</v>
      </c>
    </row>
    <row r="843" spans="1:19" x14ac:dyDescent="0.25">
      <c r="A843" s="6" t="s">
        <v>883</v>
      </c>
      <c r="B843" s="6" t="s">
        <v>14</v>
      </c>
      <c r="C843" s="6" t="s">
        <v>15</v>
      </c>
      <c r="D843" s="6" t="s">
        <v>829</v>
      </c>
      <c r="E843" s="6" t="s">
        <v>754</v>
      </c>
      <c r="F843" s="6" t="s">
        <v>830</v>
      </c>
      <c r="G843" s="6" t="s">
        <v>19</v>
      </c>
      <c r="H843" s="11">
        <v>46187</v>
      </c>
      <c r="I843" s="11">
        <v>46189</v>
      </c>
      <c r="J843" s="6" t="s">
        <v>20</v>
      </c>
      <c r="K843" s="6" t="s">
        <v>21</v>
      </c>
      <c r="L843" s="6" t="s">
        <v>37</v>
      </c>
      <c r="M843" s="6">
        <v>2</v>
      </c>
      <c r="N843">
        <f t="shared" si="78"/>
        <v>1</v>
      </c>
      <c r="O843" t="str">
        <f t="shared" si="79"/>
        <v>06-2026</v>
      </c>
      <c r="P843" t="str">
        <f t="shared" si="80"/>
        <v>06-2026</v>
      </c>
      <c r="Q843">
        <f t="shared" si="81"/>
        <v>1</v>
      </c>
      <c r="R843">
        <f t="shared" si="82"/>
        <v>0</v>
      </c>
      <c r="S843" t="str">
        <f t="shared" si="83"/>
        <v>0-90</v>
      </c>
    </row>
    <row r="844" spans="1:19" x14ac:dyDescent="0.25">
      <c r="A844" s="6" t="s">
        <v>884</v>
      </c>
      <c r="B844" s="6" t="s">
        <v>14</v>
      </c>
      <c r="C844" s="6" t="s">
        <v>15</v>
      </c>
      <c r="D844" s="6" t="s">
        <v>829</v>
      </c>
      <c r="E844" s="6" t="s">
        <v>754</v>
      </c>
      <c r="F844" s="6" t="s">
        <v>830</v>
      </c>
      <c r="G844" s="6" t="s">
        <v>19</v>
      </c>
      <c r="H844" s="11">
        <v>46187</v>
      </c>
      <c r="I844" s="11">
        <v>46198</v>
      </c>
      <c r="J844" s="6" t="s">
        <v>20</v>
      </c>
      <c r="K844" s="6" t="s">
        <v>21</v>
      </c>
      <c r="L844" s="6" t="s">
        <v>61</v>
      </c>
      <c r="M844" s="6">
        <v>11</v>
      </c>
      <c r="N844">
        <f t="shared" si="78"/>
        <v>1</v>
      </c>
      <c r="O844" t="str">
        <f t="shared" si="79"/>
        <v>06-2026</v>
      </c>
      <c r="P844" t="str">
        <f t="shared" si="80"/>
        <v>06-2026</v>
      </c>
      <c r="Q844">
        <f t="shared" si="81"/>
        <v>1</v>
      </c>
      <c r="R844">
        <f t="shared" si="82"/>
        <v>0</v>
      </c>
      <c r="S844" t="str">
        <f t="shared" si="83"/>
        <v>0-90</v>
      </c>
    </row>
    <row r="845" spans="1:19" x14ac:dyDescent="0.25">
      <c r="A845" s="6" t="s">
        <v>885</v>
      </c>
      <c r="B845" s="6" t="s">
        <v>14</v>
      </c>
      <c r="C845" s="6" t="s">
        <v>15</v>
      </c>
      <c r="D845" s="6" t="s">
        <v>829</v>
      </c>
      <c r="E845" s="6" t="s">
        <v>754</v>
      </c>
      <c r="F845" s="6" t="s">
        <v>830</v>
      </c>
      <c r="G845" s="6" t="s">
        <v>19</v>
      </c>
      <c r="H845" s="11">
        <v>46156</v>
      </c>
      <c r="I845" s="11"/>
      <c r="J845" s="6" t="s">
        <v>27</v>
      </c>
      <c r="K845" s="6"/>
      <c r="L845" s="6"/>
      <c r="M845" s="6">
        <v>47</v>
      </c>
      <c r="N845">
        <f t="shared" si="78"/>
        <v>0</v>
      </c>
      <c r="O845" t="str">
        <f t="shared" si="79"/>
        <v>05-2026</v>
      </c>
      <c r="P845" t="str">
        <f t="shared" si="80"/>
        <v/>
      </c>
      <c r="Q845">
        <f t="shared" si="81"/>
        <v>0</v>
      </c>
      <c r="R845">
        <f t="shared" si="82"/>
        <v>0</v>
      </c>
      <c r="S845" t="str">
        <f t="shared" si="83"/>
        <v>0-90</v>
      </c>
    </row>
    <row r="846" spans="1:19" x14ac:dyDescent="0.25">
      <c r="A846" s="6" t="s">
        <v>886</v>
      </c>
      <c r="B846" s="6" t="s">
        <v>14</v>
      </c>
      <c r="C846" s="6" t="s">
        <v>15</v>
      </c>
      <c r="D846" s="6" t="s">
        <v>829</v>
      </c>
      <c r="E846" s="6" t="s">
        <v>754</v>
      </c>
      <c r="F846" s="6" t="s">
        <v>830</v>
      </c>
      <c r="G846" s="6" t="s">
        <v>19</v>
      </c>
      <c r="H846" s="11">
        <v>46156</v>
      </c>
      <c r="I846" s="11">
        <v>46157</v>
      </c>
      <c r="J846" s="6" t="s">
        <v>20</v>
      </c>
      <c r="K846" s="6" t="s">
        <v>21</v>
      </c>
      <c r="L846" s="6" t="s">
        <v>37</v>
      </c>
      <c r="M846" s="6">
        <v>1</v>
      </c>
      <c r="N846">
        <f t="shared" si="78"/>
        <v>1</v>
      </c>
      <c r="O846" t="str">
        <f t="shared" si="79"/>
        <v>05-2026</v>
      </c>
      <c r="P846" t="str">
        <f t="shared" si="80"/>
        <v>05-2026</v>
      </c>
      <c r="Q846">
        <f t="shared" si="81"/>
        <v>1</v>
      </c>
      <c r="R846">
        <f t="shared" si="82"/>
        <v>0</v>
      </c>
      <c r="S846" t="str">
        <f t="shared" si="83"/>
        <v>0-90</v>
      </c>
    </row>
    <row r="847" spans="1:19" x14ac:dyDescent="0.25">
      <c r="A847" s="6" t="s">
        <v>887</v>
      </c>
      <c r="B847" s="6" t="s">
        <v>14</v>
      </c>
      <c r="C847" s="6" t="s">
        <v>15</v>
      </c>
      <c r="D847" s="6" t="s">
        <v>829</v>
      </c>
      <c r="E847" s="6" t="s">
        <v>754</v>
      </c>
      <c r="F847" s="6" t="s">
        <v>830</v>
      </c>
      <c r="G847" s="6" t="s">
        <v>19</v>
      </c>
      <c r="H847" s="11">
        <v>45914</v>
      </c>
      <c r="I847" s="11">
        <v>46177</v>
      </c>
      <c r="J847" s="6" t="s">
        <v>20</v>
      </c>
      <c r="K847" s="6" t="s">
        <v>21</v>
      </c>
      <c r="L847" s="6" t="s">
        <v>33</v>
      </c>
      <c r="M847" s="6">
        <v>263</v>
      </c>
      <c r="N847">
        <f t="shared" si="78"/>
        <v>1</v>
      </c>
      <c r="O847" t="str">
        <f t="shared" si="79"/>
        <v>09-2025</v>
      </c>
      <c r="P847" t="str">
        <f t="shared" si="80"/>
        <v>06-2026</v>
      </c>
      <c r="Q847">
        <f t="shared" si="81"/>
        <v>1</v>
      </c>
      <c r="R847">
        <f t="shared" si="82"/>
        <v>0</v>
      </c>
      <c r="S847" t="str">
        <f t="shared" si="83"/>
        <v>180-365</v>
      </c>
    </row>
    <row r="848" spans="1:19" x14ac:dyDescent="0.25">
      <c r="A848" s="6" t="s">
        <v>888</v>
      </c>
      <c r="B848" s="6" t="s">
        <v>14</v>
      </c>
      <c r="C848" s="6" t="s">
        <v>15</v>
      </c>
      <c r="D848" s="6" t="s">
        <v>829</v>
      </c>
      <c r="E848" s="6" t="s">
        <v>754</v>
      </c>
      <c r="F848" s="6" t="s">
        <v>830</v>
      </c>
      <c r="G848" s="6" t="s">
        <v>19</v>
      </c>
      <c r="H848" s="11">
        <v>46006</v>
      </c>
      <c r="I848" s="11">
        <v>46172</v>
      </c>
      <c r="J848" s="6" t="s">
        <v>20</v>
      </c>
      <c r="K848" s="6" t="s">
        <v>21</v>
      </c>
      <c r="L848" s="6" t="s">
        <v>30</v>
      </c>
      <c r="M848" s="6">
        <v>166</v>
      </c>
      <c r="N848">
        <f t="shared" si="78"/>
        <v>1</v>
      </c>
      <c r="O848" t="str">
        <f t="shared" si="79"/>
        <v>12-2025</v>
      </c>
      <c r="P848" t="str">
        <f t="shared" si="80"/>
        <v>05-2026</v>
      </c>
      <c r="Q848">
        <f t="shared" si="81"/>
        <v>1</v>
      </c>
      <c r="R848">
        <f t="shared" si="82"/>
        <v>0</v>
      </c>
      <c r="S848" t="str">
        <f t="shared" si="83"/>
        <v>90-180</v>
      </c>
    </row>
    <row r="849" spans="1:19" x14ac:dyDescent="0.25">
      <c r="A849" s="6" t="s">
        <v>889</v>
      </c>
      <c r="B849" s="6" t="s">
        <v>14</v>
      </c>
      <c r="C849" s="6" t="s">
        <v>15</v>
      </c>
      <c r="D849" s="6" t="s">
        <v>829</v>
      </c>
      <c r="E849" s="6" t="s">
        <v>754</v>
      </c>
      <c r="F849" s="6" t="s">
        <v>830</v>
      </c>
      <c r="G849" s="6" t="s">
        <v>19</v>
      </c>
      <c r="H849" s="11">
        <v>46188</v>
      </c>
      <c r="I849" s="11"/>
      <c r="J849" s="6" t="s">
        <v>27</v>
      </c>
      <c r="K849" s="6"/>
      <c r="L849" s="6"/>
      <c r="M849" s="6">
        <v>15</v>
      </c>
      <c r="N849">
        <f t="shared" si="78"/>
        <v>0</v>
      </c>
      <c r="O849" t="str">
        <f t="shared" si="79"/>
        <v>06-2026</v>
      </c>
      <c r="P849" t="str">
        <f t="shared" si="80"/>
        <v/>
      </c>
      <c r="Q849">
        <f t="shared" si="81"/>
        <v>0</v>
      </c>
      <c r="R849">
        <f t="shared" si="82"/>
        <v>0</v>
      </c>
      <c r="S849" t="str">
        <f t="shared" si="83"/>
        <v>0-90</v>
      </c>
    </row>
    <row r="850" spans="1:19" x14ac:dyDescent="0.25">
      <c r="A850" s="6" t="s">
        <v>890</v>
      </c>
      <c r="B850" s="6" t="s">
        <v>14</v>
      </c>
      <c r="C850" s="6" t="s">
        <v>15</v>
      </c>
      <c r="D850" s="6" t="s">
        <v>829</v>
      </c>
      <c r="E850" s="6" t="s">
        <v>754</v>
      </c>
      <c r="F850" s="6" t="s">
        <v>830</v>
      </c>
      <c r="G850" s="6" t="s">
        <v>19</v>
      </c>
      <c r="H850" s="11">
        <v>45673</v>
      </c>
      <c r="I850" s="11"/>
      <c r="J850" s="6" t="s">
        <v>27</v>
      </c>
      <c r="K850" s="6"/>
      <c r="L850" s="6"/>
      <c r="M850" s="6">
        <v>530</v>
      </c>
      <c r="N850">
        <f t="shared" si="78"/>
        <v>0</v>
      </c>
      <c r="O850" t="str">
        <f t="shared" si="79"/>
        <v>01-2025</v>
      </c>
      <c r="P850" t="str">
        <f t="shared" si="80"/>
        <v/>
      </c>
      <c r="Q850">
        <f t="shared" si="81"/>
        <v>0</v>
      </c>
      <c r="R850">
        <f t="shared" si="82"/>
        <v>0</v>
      </c>
      <c r="S850" t="str">
        <f t="shared" si="83"/>
        <v>above 1 year</v>
      </c>
    </row>
    <row r="851" spans="1:19" x14ac:dyDescent="0.25">
      <c r="A851" s="6" t="s">
        <v>891</v>
      </c>
      <c r="B851" s="6" t="s">
        <v>14</v>
      </c>
      <c r="C851" s="6" t="s">
        <v>15</v>
      </c>
      <c r="D851" s="6" t="s">
        <v>829</v>
      </c>
      <c r="E851" s="6" t="s">
        <v>754</v>
      </c>
      <c r="F851" s="6" t="s">
        <v>830</v>
      </c>
      <c r="G851" s="6" t="s">
        <v>19</v>
      </c>
      <c r="H851" s="11">
        <v>45854</v>
      </c>
      <c r="I851" s="11">
        <v>46131</v>
      </c>
      <c r="J851" s="6" t="s">
        <v>20</v>
      </c>
      <c r="K851" s="6" t="s">
        <v>24</v>
      </c>
      <c r="L851" s="6" t="s">
        <v>25</v>
      </c>
      <c r="M851" s="6">
        <v>277</v>
      </c>
      <c r="N851">
        <f t="shared" si="78"/>
        <v>1</v>
      </c>
      <c r="O851" t="str">
        <f t="shared" si="79"/>
        <v>07-2025</v>
      </c>
      <c r="P851" t="str">
        <f t="shared" si="80"/>
        <v>04-2026</v>
      </c>
      <c r="Q851">
        <f t="shared" si="81"/>
        <v>0</v>
      </c>
      <c r="R851">
        <f t="shared" si="82"/>
        <v>1</v>
      </c>
      <c r="S851" t="str">
        <f t="shared" si="83"/>
        <v>180-365</v>
      </c>
    </row>
    <row r="852" spans="1:19" x14ac:dyDescent="0.25">
      <c r="A852" s="6" t="s">
        <v>892</v>
      </c>
      <c r="B852" s="6" t="s">
        <v>14</v>
      </c>
      <c r="C852" s="6" t="s">
        <v>15</v>
      </c>
      <c r="D852" s="6" t="s">
        <v>829</v>
      </c>
      <c r="E852" s="6" t="s">
        <v>754</v>
      </c>
      <c r="F852" s="6" t="s">
        <v>830</v>
      </c>
      <c r="G852" s="6" t="s">
        <v>19</v>
      </c>
      <c r="H852" s="11">
        <v>46158</v>
      </c>
      <c r="I852" s="11"/>
      <c r="J852" s="6" t="s">
        <v>27</v>
      </c>
      <c r="K852" s="6"/>
      <c r="L852" s="6"/>
      <c r="M852" s="6">
        <v>45</v>
      </c>
      <c r="N852">
        <f t="shared" si="78"/>
        <v>0</v>
      </c>
      <c r="O852" t="str">
        <f t="shared" si="79"/>
        <v>05-2026</v>
      </c>
      <c r="P852" t="str">
        <f t="shared" si="80"/>
        <v/>
      </c>
      <c r="Q852">
        <f t="shared" si="81"/>
        <v>0</v>
      </c>
      <c r="R852">
        <f t="shared" si="82"/>
        <v>0</v>
      </c>
      <c r="S852" t="str">
        <f t="shared" si="83"/>
        <v>0-90</v>
      </c>
    </row>
    <row r="853" spans="1:19" x14ac:dyDescent="0.25">
      <c r="A853" s="6" t="s">
        <v>893</v>
      </c>
      <c r="B853" s="6" t="s">
        <v>14</v>
      </c>
      <c r="C853" s="6" t="s">
        <v>15</v>
      </c>
      <c r="D853" s="6" t="s">
        <v>829</v>
      </c>
      <c r="E853" s="6" t="s">
        <v>754</v>
      </c>
      <c r="F853" s="6" t="s">
        <v>830</v>
      </c>
      <c r="G853" s="6" t="s">
        <v>19</v>
      </c>
      <c r="H853" s="11">
        <v>46039</v>
      </c>
      <c r="I853" s="11">
        <v>46124</v>
      </c>
      <c r="J853" s="6" t="s">
        <v>20</v>
      </c>
      <c r="K853" s="6" t="s">
        <v>24</v>
      </c>
      <c r="L853" s="6" t="s">
        <v>55</v>
      </c>
      <c r="M853" s="6">
        <v>85</v>
      </c>
      <c r="N853">
        <f t="shared" si="78"/>
        <v>1</v>
      </c>
      <c r="O853" t="str">
        <f t="shared" si="79"/>
        <v>01-2026</v>
      </c>
      <c r="P853" t="str">
        <f t="shared" si="80"/>
        <v>04-2026</v>
      </c>
      <c r="Q853">
        <f t="shared" si="81"/>
        <v>0</v>
      </c>
      <c r="R853">
        <f t="shared" si="82"/>
        <v>1</v>
      </c>
      <c r="S853" t="str">
        <f t="shared" si="83"/>
        <v>0-90</v>
      </c>
    </row>
    <row r="854" spans="1:19" x14ac:dyDescent="0.25">
      <c r="A854" s="6" t="s">
        <v>894</v>
      </c>
      <c r="B854" s="6" t="s">
        <v>14</v>
      </c>
      <c r="C854" s="6" t="s">
        <v>15</v>
      </c>
      <c r="D854" s="6" t="s">
        <v>829</v>
      </c>
      <c r="E854" s="6" t="s">
        <v>754</v>
      </c>
      <c r="F854" s="6" t="s">
        <v>830</v>
      </c>
      <c r="G854" s="6" t="s">
        <v>19</v>
      </c>
      <c r="H854" s="11">
        <v>45825</v>
      </c>
      <c r="I854" s="11">
        <v>46150</v>
      </c>
      <c r="J854" s="6" t="s">
        <v>20</v>
      </c>
      <c r="K854" s="6" t="s">
        <v>24</v>
      </c>
      <c r="L854" s="6" t="s">
        <v>25</v>
      </c>
      <c r="M854" s="6">
        <v>325</v>
      </c>
      <c r="N854">
        <f t="shared" si="78"/>
        <v>1</v>
      </c>
      <c r="O854" t="str">
        <f t="shared" si="79"/>
        <v>06-2025</v>
      </c>
      <c r="P854" t="str">
        <f t="shared" si="80"/>
        <v>05-2026</v>
      </c>
      <c r="Q854">
        <f t="shared" si="81"/>
        <v>0</v>
      </c>
      <c r="R854">
        <f t="shared" si="82"/>
        <v>1</v>
      </c>
      <c r="S854" t="str">
        <f t="shared" si="83"/>
        <v>180-365</v>
      </c>
    </row>
    <row r="855" spans="1:19" x14ac:dyDescent="0.25">
      <c r="A855" s="6" t="s">
        <v>895</v>
      </c>
      <c r="B855" s="6" t="s">
        <v>14</v>
      </c>
      <c r="C855" s="6" t="s">
        <v>15</v>
      </c>
      <c r="D855" s="6" t="s">
        <v>829</v>
      </c>
      <c r="E855" s="6" t="s">
        <v>754</v>
      </c>
      <c r="F855" s="6" t="s">
        <v>830</v>
      </c>
      <c r="G855" s="6" t="s">
        <v>19</v>
      </c>
      <c r="H855" s="11">
        <v>45888</v>
      </c>
      <c r="I855" s="11"/>
      <c r="J855" s="6" t="s">
        <v>27</v>
      </c>
      <c r="K855" s="6"/>
      <c r="L855" s="6"/>
      <c r="M855" s="6">
        <v>315</v>
      </c>
      <c r="N855">
        <f t="shared" si="78"/>
        <v>0</v>
      </c>
      <c r="O855" t="str">
        <f t="shared" si="79"/>
        <v>08-2025</v>
      </c>
      <c r="P855" t="str">
        <f t="shared" si="80"/>
        <v/>
      </c>
      <c r="Q855">
        <f t="shared" si="81"/>
        <v>0</v>
      </c>
      <c r="R855">
        <f t="shared" si="82"/>
        <v>0</v>
      </c>
      <c r="S855" t="str">
        <f t="shared" si="83"/>
        <v>180-365</v>
      </c>
    </row>
    <row r="856" spans="1:19" x14ac:dyDescent="0.25">
      <c r="A856" s="6" t="s">
        <v>896</v>
      </c>
      <c r="B856" s="6" t="s">
        <v>14</v>
      </c>
      <c r="C856" s="6" t="s">
        <v>15</v>
      </c>
      <c r="D856" s="6" t="s">
        <v>829</v>
      </c>
      <c r="E856" s="6" t="s">
        <v>754</v>
      </c>
      <c r="F856" s="6" t="s">
        <v>830</v>
      </c>
      <c r="G856" s="6" t="s">
        <v>19</v>
      </c>
      <c r="H856" s="11">
        <v>46010</v>
      </c>
      <c r="I856" s="11">
        <v>46191</v>
      </c>
      <c r="J856" s="6" t="s">
        <v>20</v>
      </c>
      <c r="K856" s="6" t="s">
        <v>24</v>
      </c>
      <c r="L856" s="6" t="s">
        <v>25</v>
      </c>
      <c r="M856" s="6">
        <v>181</v>
      </c>
      <c r="N856">
        <f t="shared" si="78"/>
        <v>1</v>
      </c>
      <c r="O856" t="str">
        <f t="shared" si="79"/>
        <v>12-2025</v>
      </c>
      <c r="P856" t="str">
        <f t="shared" si="80"/>
        <v>06-2026</v>
      </c>
      <c r="Q856">
        <f t="shared" si="81"/>
        <v>0</v>
      </c>
      <c r="R856">
        <f t="shared" si="82"/>
        <v>1</v>
      </c>
      <c r="S856" t="str">
        <f t="shared" si="83"/>
        <v>180-365</v>
      </c>
    </row>
    <row r="857" spans="1:19" x14ac:dyDescent="0.25">
      <c r="A857" s="6" t="s">
        <v>897</v>
      </c>
      <c r="B857" s="6" t="s">
        <v>14</v>
      </c>
      <c r="C857" s="6" t="s">
        <v>15</v>
      </c>
      <c r="D857" s="6" t="s">
        <v>829</v>
      </c>
      <c r="E857" s="6" t="s">
        <v>754</v>
      </c>
      <c r="F857" s="6" t="s">
        <v>830</v>
      </c>
      <c r="G857" s="6" t="s">
        <v>19</v>
      </c>
      <c r="H857" s="11">
        <v>45827</v>
      </c>
      <c r="I857" s="11">
        <v>46198</v>
      </c>
      <c r="J857" s="6" t="s">
        <v>20</v>
      </c>
      <c r="K857" s="6" t="s">
        <v>24</v>
      </c>
      <c r="L857" s="6" t="s">
        <v>41</v>
      </c>
      <c r="M857" s="6">
        <v>371</v>
      </c>
      <c r="N857">
        <f t="shared" si="78"/>
        <v>1</v>
      </c>
      <c r="O857" t="str">
        <f t="shared" si="79"/>
        <v>06-2025</v>
      </c>
      <c r="P857" t="str">
        <f t="shared" si="80"/>
        <v>06-2026</v>
      </c>
      <c r="Q857">
        <f t="shared" si="81"/>
        <v>0</v>
      </c>
      <c r="R857">
        <f t="shared" si="82"/>
        <v>1</v>
      </c>
      <c r="S857" t="str">
        <f t="shared" si="83"/>
        <v>above 1 year</v>
      </c>
    </row>
    <row r="858" spans="1:19" x14ac:dyDescent="0.25">
      <c r="A858" s="6" t="s">
        <v>898</v>
      </c>
      <c r="B858" s="6" t="s">
        <v>14</v>
      </c>
      <c r="C858" s="6" t="s">
        <v>15</v>
      </c>
      <c r="D858" s="6" t="s">
        <v>829</v>
      </c>
      <c r="E858" s="6" t="s">
        <v>754</v>
      </c>
      <c r="F858" s="6" t="s">
        <v>830</v>
      </c>
      <c r="G858" s="6" t="s">
        <v>19</v>
      </c>
      <c r="H858" s="11">
        <v>46192</v>
      </c>
      <c r="I858" s="11"/>
      <c r="J858" s="6" t="s">
        <v>27</v>
      </c>
      <c r="K858" s="6"/>
      <c r="L858" s="6"/>
      <c r="M858" s="6">
        <v>11</v>
      </c>
      <c r="N858">
        <f t="shared" si="78"/>
        <v>0</v>
      </c>
      <c r="O858" t="str">
        <f t="shared" si="79"/>
        <v>06-2026</v>
      </c>
      <c r="P858" t="str">
        <f t="shared" si="80"/>
        <v/>
      </c>
      <c r="Q858">
        <f t="shared" si="81"/>
        <v>0</v>
      </c>
      <c r="R858">
        <f t="shared" si="82"/>
        <v>0</v>
      </c>
      <c r="S858" t="str">
        <f t="shared" si="83"/>
        <v>0-90</v>
      </c>
    </row>
    <row r="859" spans="1:19" x14ac:dyDescent="0.25">
      <c r="A859" s="6" t="s">
        <v>899</v>
      </c>
      <c r="B859" s="6" t="s">
        <v>14</v>
      </c>
      <c r="C859" s="6" t="s">
        <v>15</v>
      </c>
      <c r="D859" s="6" t="s">
        <v>829</v>
      </c>
      <c r="E859" s="6" t="s">
        <v>754</v>
      </c>
      <c r="F859" s="6" t="s">
        <v>830</v>
      </c>
      <c r="G859" s="6" t="s">
        <v>19</v>
      </c>
      <c r="H859" s="11">
        <v>46132</v>
      </c>
      <c r="I859" s="11"/>
      <c r="J859" s="6" t="s">
        <v>27</v>
      </c>
      <c r="K859" s="6"/>
      <c r="L859" s="6"/>
      <c r="M859" s="6">
        <v>71</v>
      </c>
      <c r="N859">
        <f t="shared" si="78"/>
        <v>0</v>
      </c>
      <c r="O859" t="str">
        <f t="shared" si="79"/>
        <v>04-2026</v>
      </c>
      <c r="P859" t="str">
        <f t="shared" si="80"/>
        <v/>
      </c>
      <c r="Q859">
        <f t="shared" si="81"/>
        <v>0</v>
      </c>
      <c r="R859">
        <f t="shared" si="82"/>
        <v>0</v>
      </c>
      <c r="S859" t="str">
        <f t="shared" si="83"/>
        <v>0-90</v>
      </c>
    </row>
    <row r="860" spans="1:19" x14ac:dyDescent="0.25">
      <c r="A860" s="6" t="s">
        <v>900</v>
      </c>
      <c r="B860" s="6" t="s">
        <v>14</v>
      </c>
      <c r="C860" s="6" t="s">
        <v>15</v>
      </c>
      <c r="D860" s="6" t="s">
        <v>829</v>
      </c>
      <c r="E860" s="6" t="s">
        <v>754</v>
      </c>
      <c r="F860" s="6" t="s">
        <v>830</v>
      </c>
      <c r="G860" s="6" t="s">
        <v>19</v>
      </c>
      <c r="H860" s="11">
        <v>45708</v>
      </c>
      <c r="I860" s="11"/>
      <c r="J860" s="6" t="s">
        <v>27</v>
      </c>
      <c r="K860" s="6"/>
      <c r="L860" s="6"/>
      <c r="M860" s="6">
        <v>495</v>
      </c>
      <c r="N860">
        <f t="shared" si="78"/>
        <v>0</v>
      </c>
      <c r="O860" t="str">
        <f t="shared" si="79"/>
        <v>02-2025</v>
      </c>
      <c r="P860" t="str">
        <f t="shared" si="80"/>
        <v/>
      </c>
      <c r="Q860">
        <f t="shared" si="81"/>
        <v>0</v>
      </c>
      <c r="R860">
        <f t="shared" si="82"/>
        <v>0</v>
      </c>
      <c r="S860" t="str">
        <f t="shared" si="83"/>
        <v>above 1 year</v>
      </c>
    </row>
    <row r="861" spans="1:19" x14ac:dyDescent="0.25">
      <c r="A861" s="6" t="s">
        <v>901</v>
      </c>
      <c r="B861" s="6" t="s">
        <v>14</v>
      </c>
      <c r="C861" s="6" t="s">
        <v>15</v>
      </c>
      <c r="D861" s="6" t="s">
        <v>829</v>
      </c>
      <c r="E861" s="6" t="s">
        <v>754</v>
      </c>
      <c r="F861" s="6" t="s">
        <v>830</v>
      </c>
      <c r="G861" s="6" t="s">
        <v>19</v>
      </c>
      <c r="H861" s="11">
        <v>46193</v>
      </c>
      <c r="I861" s="11"/>
      <c r="J861" s="6" t="s">
        <v>27</v>
      </c>
      <c r="K861" s="6"/>
      <c r="L861" s="6"/>
      <c r="M861" s="6">
        <v>10</v>
      </c>
      <c r="N861">
        <f t="shared" si="78"/>
        <v>0</v>
      </c>
      <c r="O861" t="str">
        <f t="shared" si="79"/>
        <v>06-2026</v>
      </c>
      <c r="P861" t="str">
        <f t="shared" si="80"/>
        <v/>
      </c>
      <c r="Q861">
        <f t="shared" si="81"/>
        <v>0</v>
      </c>
      <c r="R861">
        <f t="shared" si="82"/>
        <v>0</v>
      </c>
      <c r="S861" t="str">
        <f t="shared" si="83"/>
        <v>0-90</v>
      </c>
    </row>
    <row r="862" spans="1:19" x14ac:dyDescent="0.25">
      <c r="A862" s="6" t="s">
        <v>902</v>
      </c>
      <c r="B862" s="6" t="s">
        <v>14</v>
      </c>
      <c r="C862" s="6" t="s">
        <v>15</v>
      </c>
      <c r="D862" s="6" t="s">
        <v>829</v>
      </c>
      <c r="E862" s="6" t="s">
        <v>754</v>
      </c>
      <c r="F862" s="6" t="s">
        <v>830</v>
      </c>
      <c r="G862" s="6" t="s">
        <v>19</v>
      </c>
      <c r="H862" s="11">
        <v>45797</v>
      </c>
      <c r="I862" s="11">
        <v>46198</v>
      </c>
      <c r="J862" s="6" t="s">
        <v>20</v>
      </c>
      <c r="K862" s="6" t="s">
        <v>24</v>
      </c>
      <c r="L862" s="6" t="s">
        <v>25</v>
      </c>
      <c r="M862" s="6">
        <v>401</v>
      </c>
      <c r="N862">
        <f t="shared" si="78"/>
        <v>1</v>
      </c>
      <c r="O862" t="str">
        <f t="shared" si="79"/>
        <v>05-2025</v>
      </c>
      <c r="P862" t="str">
        <f t="shared" si="80"/>
        <v>06-2026</v>
      </c>
      <c r="Q862">
        <f t="shared" si="81"/>
        <v>0</v>
      </c>
      <c r="R862">
        <f t="shared" si="82"/>
        <v>1</v>
      </c>
      <c r="S862" t="str">
        <f t="shared" si="83"/>
        <v>above 1 year</v>
      </c>
    </row>
    <row r="863" spans="1:19" x14ac:dyDescent="0.25">
      <c r="A863" s="6" t="s">
        <v>903</v>
      </c>
      <c r="B863" s="6" t="s">
        <v>14</v>
      </c>
      <c r="C863" s="6" t="s">
        <v>15</v>
      </c>
      <c r="D863" s="6" t="s">
        <v>829</v>
      </c>
      <c r="E863" s="6" t="s">
        <v>754</v>
      </c>
      <c r="F863" s="6" t="s">
        <v>830</v>
      </c>
      <c r="G863" s="6" t="s">
        <v>19</v>
      </c>
      <c r="H863" s="11">
        <v>46133</v>
      </c>
      <c r="I863" s="11"/>
      <c r="J863" s="6" t="s">
        <v>27</v>
      </c>
      <c r="K863" s="6"/>
      <c r="L863" s="6"/>
      <c r="M863" s="6">
        <v>70</v>
      </c>
      <c r="N863">
        <f t="shared" si="78"/>
        <v>0</v>
      </c>
      <c r="O863" t="str">
        <f t="shared" si="79"/>
        <v>04-2026</v>
      </c>
      <c r="P863" t="str">
        <f t="shared" si="80"/>
        <v/>
      </c>
      <c r="Q863">
        <f t="shared" si="81"/>
        <v>0</v>
      </c>
      <c r="R863">
        <f t="shared" si="82"/>
        <v>0</v>
      </c>
      <c r="S863" t="str">
        <f t="shared" si="83"/>
        <v>0-90</v>
      </c>
    </row>
    <row r="864" spans="1:19" x14ac:dyDescent="0.25">
      <c r="A864" s="6" t="s">
        <v>904</v>
      </c>
      <c r="B864" s="6" t="s">
        <v>14</v>
      </c>
      <c r="C864" s="6" t="s">
        <v>15</v>
      </c>
      <c r="D864" s="6" t="s">
        <v>829</v>
      </c>
      <c r="E864" s="6" t="s">
        <v>754</v>
      </c>
      <c r="F864" s="6" t="s">
        <v>830</v>
      </c>
      <c r="G864" s="6" t="s">
        <v>19</v>
      </c>
      <c r="H864" s="11">
        <v>46194</v>
      </c>
      <c r="I864" s="11">
        <v>46194</v>
      </c>
      <c r="J864" s="6" t="s">
        <v>20</v>
      </c>
      <c r="K864" s="6" t="s">
        <v>21</v>
      </c>
      <c r="L864" s="6" t="s">
        <v>33</v>
      </c>
      <c r="M864" s="6">
        <v>0</v>
      </c>
      <c r="N864">
        <f t="shared" si="78"/>
        <v>1</v>
      </c>
      <c r="O864" t="str">
        <f t="shared" si="79"/>
        <v>06-2026</v>
      </c>
      <c r="P864" t="str">
        <f t="shared" si="80"/>
        <v>06-2026</v>
      </c>
      <c r="Q864">
        <f t="shared" si="81"/>
        <v>1</v>
      </c>
      <c r="R864">
        <f t="shared" si="82"/>
        <v>0</v>
      </c>
      <c r="S864" t="str">
        <f t="shared" si="83"/>
        <v>0-90</v>
      </c>
    </row>
    <row r="865" spans="1:19" x14ac:dyDescent="0.25">
      <c r="A865" s="6" t="s">
        <v>905</v>
      </c>
      <c r="B865" s="6" t="s">
        <v>14</v>
      </c>
      <c r="C865" s="6" t="s">
        <v>15</v>
      </c>
      <c r="D865" s="6" t="s">
        <v>829</v>
      </c>
      <c r="E865" s="6" t="s">
        <v>754</v>
      </c>
      <c r="F865" s="6" t="s">
        <v>830</v>
      </c>
      <c r="G865" s="6" t="s">
        <v>19</v>
      </c>
      <c r="H865" s="11">
        <v>46163</v>
      </c>
      <c r="I865" s="11">
        <v>46163</v>
      </c>
      <c r="J865" s="6" t="s">
        <v>20</v>
      </c>
      <c r="K865" s="6" t="s">
        <v>21</v>
      </c>
      <c r="L865" s="6" t="s">
        <v>22</v>
      </c>
      <c r="M865" s="6">
        <v>0</v>
      </c>
      <c r="N865">
        <f t="shared" si="78"/>
        <v>1</v>
      </c>
      <c r="O865" t="str">
        <f t="shared" si="79"/>
        <v>05-2026</v>
      </c>
      <c r="P865" t="str">
        <f t="shared" si="80"/>
        <v>05-2026</v>
      </c>
      <c r="Q865">
        <f t="shared" si="81"/>
        <v>1</v>
      </c>
      <c r="R865">
        <f t="shared" si="82"/>
        <v>0</v>
      </c>
      <c r="S865" t="str">
        <f t="shared" si="83"/>
        <v>0-90</v>
      </c>
    </row>
    <row r="866" spans="1:19" x14ac:dyDescent="0.25">
      <c r="A866" s="6" t="s">
        <v>906</v>
      </c>
      <c r="B866" s="6" t="s">
        <v>14</v>
      </c>
      <c r="C866" s="6" t="s">
        <v>15</v>
      </c>
      <c r="D866" s="6" t="s">
        <v>829</v>
      </c>
      <c r="E866" s="6" t="s">
        <v>754</v>
      </c>
      <c r="F866" s="6" t="s">
        <v>830</v>
      </c>
      <c r="G866" s="6" t="s">
        <v>19</v>
      </c>
      <c r="H866" s="11">
        <v>45982</v>
      </c>
      <c r="I866" s="11"/>
      <c r="J866" s="6" t="s">
        <v>27</v>
      </c>
      <c r="K866" s="6"/>
      <c r="L866" s="6"/>
      <c r="M866" s="6">
        <v>221</v>
      </c>
      <c r="N866">
        <f t="shared" si="78"/>
        <v>0</v>
      </c>
      <c r="O866" t="str">
        <f t="shared" si="79"/>
        <v>11-2025</v>
      </c>
      <c r="P866" t="str">
        <f t="shared" si="80"/>
        <v/>
      </c>
      <c r="Q866">
        <f t="shared" si="81"/>
        <v>0</v>
      </c>
      <c r="R866">
        <f t="shared" si="82"/>
        <v>0</v>
      </c>
      <c r="S866" t="str">
        <f t="shared" si="83"/>
        <v>180-365</v>
      </c>
    </row>
    <row r="867" spans="1:19" x14ac:dyDescent="0.25">
      <c r="A867" s="6" t="s">
        <v>907</v>
      </c>
      <c r="B867" s="6" t="s">
        <v>14</v>
      </c>
      <c r="C867" s="6" t="s">
        <v>15</v>
      </c>
      <c r="D867" s="6" t="s">
        <v>829</v>
      </c>
      <c r="E867" s="6" t="s">
        <v>754</v>
      </c>
      <c r="F867" s="6" t="s">
        <v>830</v>
      </c>
      <c r="G867" s="6" t="s">
        <v>19</v>
      </c>
      <c r="H867" s="11">
        <v>46134</v>
      </c>
      <c r="I867" s="11">
        <v>46135</v>
      </c>
      <c r="J867" s="6" t="s">
        <v>20</v>
      </c>
      <c r="K867" s="6" t="s">
        <v>24</v>
      </c>
      <c r="L867" s="6" t="s">
        <v>41</v>
      </c>
      <c r="M867" s="6">
        <v>1</v>
      </c>
      <c r="N867">
        <f t="shared" si="78"/>
        <v>1</v>
      </c>
      <c r="O867" t="str">
        <f t="shared" si="79"/>
        <v>04-2026</v>
      </c>
      <c r="P867" t="str">
        <f t="shared" si="80"/>
        <v>04-2026</v>
      </c>
      <c r="Q867">
        <f t="shared" si="81"/>
        <v>0</v>
      </c>
      <c r="R867">
        <f t="shared" si="82"/>
        <v>1</v>
      </c>
      <c r="S867" t="str">
        <f t="shared" si="83"/>
        <v>0-90</v>
      </c>
    </row>
    <row r="868" spans="1:19" x14ac:dyDescent="0.25">
      <c r="A868" s="6" t="s">
        <v>908</v>
      </c>
      <c r="B868" s="6" t="s">
        <v>14</v>
      </c>
      <c r="C868" s="6" t="s">
        <v>15</v>
      </c>
      <c r="D868" s="6" t="s">
        <v>829</v>
      </c>
      <c r="E868" s="6" t="s">
        <v>754</v>
      </c>
      <c r="F868" s="6" t="s">
        <v>830</v>
      </c>
      <c r="G868" s="6" t="s">
        <v>19</v>
      </c>
      <c r="H868" s="11">
        <v>46044</v>
      </c>
      <c r="I868" s="11">
        <v>46163</v>
      </c>
      <c r="J868" s="6" t="s">
        <v>20</v>
      </c>
      <c r="K868" s="6" t="s">
        <v>21</v>
      </c>
      <c r="L868" s="6" t="s">
        <v>50</v>
      </c>
      <c r="M868" s="6">
        <v>119</v>
      </c>
      <c r="N868">
        <f t="shared" si="78"/>
        <v>1</v>
      </c>
      <c r="O868" t="str">
        <f t="shared" si="79"/>
        <v>01-2026</v>
      </c>
      <c r="P868" t="str">
        <f t="shared" si="80"/>
        <v>05-2026</v>
      </c>
      <c r="Q868">
        <f t="shared" si="81"/>
        <v>1</v>
      </c>
      <c r="R868">
        <f t="shared" si="82"/>
        <v>0</v>
      </c>
      <c r="S868" t="str">
        <f t="shared" si="83"/>
        <v>90-180</v>
      </c>
    </row>
    <row r="869" spans="1:19" x14ac:dyDescent="0.25">
      <c r="A869" s="6" t="s">
        <v>909</v>
      </c>
      <c r="B869" s="6" t="s">
        <v>14</v>
      </c>
      <c r="C869" s="6" t="s">
        <v>15</v>
      </c>
      <c r="D869" s="6" t="s">
        <v>829</v>
      </c>
      <c r="E869" s="6" t="s">
        <v>754</v>
      </c>
      <c r="F869" s="6" t="s">
        <v>830</v>
      </c>
      <c r="G869" s="6" t="s">
        <v>19</v>
      </c>
      <c r="H869" s="11">
        <v>46195</v>
      </c>
      <c r="I869" s="11"/>
      <c r="J869" s="6" t="s">
        <v>27</v>
      </c>
      <c r="K869" s="6"/>
      <c r="L869" s="6"/>
      <c r="M869" s="6">
        <v>8</v>
      </c>
      <c r="N869">
        <f t="shared" si="78"/>
        <v>0</v>
      </c>
      <c r="O869" t="str">
        <f t="shared" si="79"/>
        <v>06-2026</v>
      </c>
      <c r="P869" t="str">
        <f t="shared" si="80"/>
        <v/>
      </c>
      <c r="Q869">
        <f t="shared" si="81"/>
        <v>0</v>
      </c>
      <c r="R869">
        <f t="shared" si="82"/>
        <v>0</v>
      </c>
      <c r="S869" t="str">
        <f t="shared" si="83"/>
        <v>0-90</v>
      </c>
    </row>
    <row r="870" spans="1:19" x14ac:dyDescent="0.25">
      <c r="A870" s="6" t="s">
        <v>910</v>
      </c>
      <c r="B870" s="6" t="s">
        <v>14</v>
      </c>
      <c r="C870" s="6" t="s">
        <v>15</v>
      </c>
      <c r="D870" s="6" t="s">
        <v>829</v>
      </c>
      <c r="E870" s="6" t="s">
        <v>754</v>
      </c>
      <c r="F870" s="6" t="s">
        <v>830</v>
      </c>
      <c r="G870" s="6" t="s">
        <v>19</v>
      </c>
      <c r="H870" s="11">
        <v>46164</v>
      </c>
      <c r="I870" s="11"/>
      <c r="J870" s="6" t="s">
        <v>27</v>
      </c>
      <c r="K870" s="6"/>
      <c r="L870" s="6"/>
      <c r="M870" s="6">
        <v>39</v>
      </c>
      <c r="N870">
        <f t="shared" si="78"/>
        <v>0</v>
      </c>
      <c r="O870" t="str">
        <f t="shared" si="79"/>
        <v>05-2026</v>
      </c>
      <c r="P870" t="str">
        <f t="shared" si="80"/>
        <v/>
      </c>
      <c r="Q870">
        <f t="shared" si="81"/>
        <v>0</v>
      </c>
      <c r="R870">
        <f t="shared" si="82"/>
        <v>0</v>
      </c>
      <c r="S870" t="str">
        <f t="shared" si="83"/>
        <v>0-90</v>
      </c>
    </row>
    <row r="871" spans="1:19" x14ac:dyDescent="0.25">
      <c r="A871" s="6" t="s">
        <v>911</v>
      </c>
      <c r="B871" s="6" t="s">
        <v>14</v>
      </c>
      <c r="C871" s="6" t="s">
        <v>15</v>
      </c>
      <c r="D871" s="6" t="s">
        <v>829</v>
      </c>
      <c r="E871" s="6" t="s">
        <v>754</v>
      </c>
      <c r="F871" s="6" t="s">
        <v>830</v>
      </c>
      <c r="G871" s="6" t="s">
        <v>19</v>
      </c>
      <c r="H871" s="11">
        <v>46164</v>
      </c>
      <c r="I871" s="11">
        <v>46164</v>
      </c>
      <c r="J871" s="6" t="s">
        <v>20</v>
      </c>
      <c r="K871" s="6" t="s">
        <v>21</v>
      </c>
      <c r="L871" s="6" t="s">
        <v>50</v>
      </c>
      <c r="M871" s="6">
        <v>0</v>
      </c>
      <c r="N871">
        <f t="shared" si="78"/>
        <v>1</v>
      </c>
      <c r="O871" t="str">
        <f t="shared" si="79"/>
        <v>05-2026</v>
      </c>
      <c r="P871" t="str">
        <f t="shared" si="80"/>
        <v>05-2026</v>
      </c>
      <c r="Q871">
        <f t="shared" si="81"/>
        <v>1</v>
      </c>
      <c r="R871">
        <f t="shared" si="82"/>
        <v>0</v>
      </c>
      <c r="S871" t="str">
        <f t="shared" si="83"/>
        <v>0-90</v>
      </c>
    </row>
    <row r="872" spans="1:19" x14ac:dyDescent="0.25">
      <c r="A872" s="6" t="s">
        <v>912</v>
      </c>
      <c r="B872" s="6" t="s">
        <v>14</v>
      </c>
      <c r="C872" s="6" t="s">
        <v>15</v>
      </c>
      <c r="D872" s="6" t="s">
        <v>829</v>
      </c>
      <c r="E872" s="6" t="s">
        <v>754</v>
      </c>
      <c r="F872" s="6" t="s">
        <v>830</v>
      </c>
      <c r="G872" s="6" t="s">
        <v>19</v>
      </c>
      <c r="H872" s="11">
        <v>46135</v>
      </c>
      <c r="I872" s="11"/>
      <c r="J872" s="6" t="s">
        <v>27</v>
      </c>
      <c r="K872" s="6"/>
      <c r="L872" s="6"/>
      <c r="M872" s="6">
        <v>68</v>
      </c>
      <c r="N872">
        <f t="shared" si="78"/>
        <v>0</v>
      </c>
      <c r="O872" t="str">
        <f t="shared" si="79"/>
        <v>04-2026</v>
      </c>
      <c r="P872" t="str">
        <f t="shared" si="80"/>
        <v/>
      </c>
      <c r="Q872">
        <f t="shared" si="81"/>
        <v>0</v>
      </c>
      <c r="R872">
        <f t="shared" si="82"/>
        <v>0</v>
      </c>
      <c r="S872" t="str">
        <f t="shared" si="83"/>
        <v>0-90</v>
      </c>
    </row>
    <row r="873" spans="1:19" x14ac:dyDescent="0.25">
      <c r="A873" s="6" t="s">
        <v>913</v>
      </c>
      <c r="B873" s="6" t="s">
        <v>14</v>
      </c>
      <c r="C873" s="6" t="s">
        <v>15</v>
      </c>
      <c r="D873" s="6" t="s">
        <v>829</v>
      </c>
      <c r="E873" s="6" t="s">
        <v>754</v>
      </c>
      <c r="F873" s="6" t="s">
        <v>830</v>
      </c>
      <c r="G873" s="6" t="s">
        <v>19</v>
      </c>
      <c r="H873" s="11">
        <v>46135</v>
      </c>
      <c r="I873" s="11">
        <v>46187</v>
      </c>
      <c r="J873" s="6" t="s">
        <v>20</v>
      </c>
      <c r="K873" s="6" t="s">
        <v>24</v>
      </c>
      <c r="L873" s="6" t="s">
        <v>55</v>
      </c>
      <c r="M873" s="6">
        <v>52</v>
      </c>
      <c r="N873">
        <f t="shared" si="78"/>
        <v>1</v>
      </c>
      <c r="O873" t="str">
        <f t="shared" si="79"/>
        <v>04-2026</v>
      </c>
      <c r="P873" t="str">
        <f t="shared" si="80"/>
        <v>06-2026</v>
      </c>
      <c r="Q873">
        <f t="shared" si="81"/>
        <v>0</v>
      </c>
      <c r="R873">
        <f t="shared" si="82"/>
        <v>1</v>
      </c>
      <c r="S873" t="str">
        <f t="shared" si="83"/>
        <v>0-90</v>
      </c>
    </row>
    <row r="874" spans="1:19" x14ac:dyDescent="0.25">
      <c r="A874" s="6" t="s">
        <v>914</v>
      </c>
      <c r="B874" s="6" t="s">
        <v>14</v>
      </c>
      <c r="C874" s="6" t="s">
        <v>15</v>
      </c>
      <c r="D874" s="6" t="s">
        <v>829</v>
      </c>
      <c r="E874" s="6" t="s">
        <v>754</v>
      </c>
      <c r="F874" s="6" t="s">
        <v>830</v>
      </c>
      <c r="G874" s="6" t="s">
        <v>19</v>
      </c>
      <c r="H874" s="11">
        <v>45861</v>
      </c>
      <c r="I874" s="11">
        <v>46131</v>
      </c>
      <c r="J874" s="6" t="s">
        <v>20</v>
      </c>
      <c r="K874" s="6" t="s">
        <v>24</v>
      </c>
      <c r="L874" s="6" t="s">
        <v>25</v>
      </c>
      <c r="M874" s="6">
        <v>270</v>
      </c>
      <c r="N874">
        <f t="shared" si="78"/>
        <v>1</v>
      </c>
      <c r="O874" t="str">
        <f t="shared" si="79"/>
        <v>07-2025</v>
      </c>
      <c r="P874" t="str">
        <f t="shared" si="80"/>
        <v>04-2026</v>
      </c>
      <c r="Q874">
        <f t="shared" si="81"/>
        <v>0</v>
      </c>
      <c r="R874">
        <f t="shared" si="82"/>
        <v>1</v>
      </c>
      <c r="S874" t="str">
        <f t="shared" si="83"/>
        <v>180-365</v>
      </c>
    </row>
    <row r="875" spans="1:19" x14ac:dyDescent="0.25">
      <c r="A875" s="6" t="s">
        <v>915</v>
      </c>
      <c r="B875" s="6" t="s">
        <v>14</v>
      </c>
      <c r="C875" s="6" t="s">
        <v>15</v>
      </c>
      <c r="D875" s="6" t="s">
        <v>829</v>
      </c>
      <c r="E875" s="6" t="s">
        <v>754</v>
      </c>
      <c r="F875" s="6" t="s">
        <v>830</v>
      </c>
      <c r="G875" s="6" t="s">
        <v>19</v>
      </c>
      <c r="H875" s="11">
        <v>46196</v>
      </c>
      <c r="I875" s="11">
        <v>46196</v>
      </c>
      <c r="J875" s="6" t="s">
        <v>20</v>
      </c>
      <c r="K875" s="6" t="s">
        <v>21</v>
      </c>
      <c r="L875" s="6" t="s">
        <v>33</v>
      </c>
      <c r="M875" s="6">
        <v>0</v>
      </c>
      <c r="N875">
        <f t="shared" si="78"/>
        <v>1</v>
      </c>
      <c r="O875" t="str">
        <f t="shared" si="79"/>
        <v>06-2026</v>
      </c>
      <c r="P875" t="str">
        <f t="shared" si="80"/>
        <v>06-2026</v>
      </c>
      <c r="Q875">
        <f t="shared" si="81"/>
        <v>1</v>
      </c>
      <c r="R875">
        <f t="shared" si="82"/>
        <v>0</v>
      </c>
      <c r="S875" t="str">
        <f t="shared" si="83"/>
        <v>0-90</v>
      </c>
    </row>
    <row r="876" spans="1:19" x14ac:dyDescent="0.25">
      <c r="A876" s="6" t="s">
        <v>916</v>
      </c>
      <c r="B876" s="6" t="s">
        <v>14</v>
      </c>
      <c r="C876" s="6" t="s">
        <v>15</v>
      </c>
      <c r="D876" s="6" t="s">
        <v>829</v>
      </c>
      <c r="E876" s="6" t="s">
        <v>754</v>
      </c>
      <c r="F876" s="6" t="s">
        <v>830</v>
      </c>
      <c r="G876" s="6" t="s">
        <v>19</v>
      </c>
      <c r="H876" s="11">
        <v>46196</v>
      </c>
      <c r="I876" s="11">
        <v>46196</v>
      </c>
      <c r="J876" s="6" t="s">
        <v>20</v>
      </c>
      <c r="K876" s="6" t="s">
        <v>21</v>
      </c>
      <c r="L876" s="6" t="s">
        <v>22</v>
      </c>
      <c r="M876" s="6">
        <v>0</v>
      </c>
      <c r="N876">
        <f t="shared" si="78"/>
        <v>1</v>
      </c>
      <c r="O876" t="str">
        <f t="shared" si="79"/>
        <v>06-2026</v>
      </c>
      <c r="P876" t="str">
        <f t="shared" si="80"/>
        <v>06-2026</v>
      </c>
      <c r="Q876">
        <f t="shared" si="81"/>
        <v>1</v>
      </c>
      <c r="R876">
        <f t="shared" si="82"/>
        <v>0</v>
      </c>
      <c r="S876" t="str">
        <f t="shared" si="83"/>
        <v>0-90</v>
      </c>
    </row>
    <row r="877" spans="1:19" x14ac:dyDescent="0.25">
      <c r="A877" s="6" t="s">
        <v>917</v>
      </c>
      <c r="B877" s="6" t="s">
        <v>14</v>
      </c>
      <c r="C877" s="6" t="s">
        <v>15</v>
      </c>
      <c r="D877" s="6" t="s">
        <v>829</v>
      </c>
      <c r="E877" s="6" t="s">
        <v>754</v>
      </c>
      <c r="F877" s="6" t="s">
        <v>830</v>
      </c>
      <c r="G877" s="6" t="s">
        <v>19</v>
      </c>
      <c r="H877" s="11">
        <v>46165</v>
      </c>
      <c r="I877" s="11">
        <v>46165</v>
      </c>
      <c r="J877" s="6" t="s">
        <v>20</v>
      </c>
      <c r="K877" s="6" t="s">
        <v>21</v>
      </c>
      <c r="L877" s="6" t="s">
        <v>61</v>
      </c>
      <c r="M877" s="6">
        <v>0</v>
      </c>
      <c r="N877">
        <f t="shared" si="78"/>
        <v>1</v>
      </c>
      <c r="O877" t="str">
        <f t="shared" si="79"/>
        <v>05-2026</v>
      </c>
      <c r="P877" t="str">
        <f t="shared" si="80"/>
        <v>05-2026</v>
      </c>
      <c r="Q877">
        <f t="shared" si="81"/>
        <v>1</v>
      </c>
      <c r="R877">
        <f t="shared" si="82"/>
        <v>0</v>
      </c>
      <c r="S877" t="str">
        <f t="shared" si="83"/>
        <v>0-90</v>
      </c>
    </row>
    <row r="878" spans="1:19" x14ac:dyDescent="0.25">
      <c r="A878" s="6" t="s">
        <v>918</v>
      </c>
      <c r="B878" s="6" t="s">
        <v>14</v>
      </c>
      <c r="C878" s="6" t="s">
        <v>15</v>
      </c>
      <c r="D878" s="6" t="s">
        <v>829</v>
      </c>
      <c r="E878" s="6" t="s">
        <v>754</v>
      </c>
      <c r="F878" s="6" t="s">
        <v>830</v>
      </c>
      <c r="G878" s="6" t="s">
        <v>19</v>
      </c>
      <c r="H878" s="11">
        <v>46165</v>
      </c>
      <c r="I878" s="11">
        <v>46165</v>
      </c>
      <c r="J878" s="6" t="s">
        <v>20</v>
      </c>
      <c r="K878" s="6" t="s">
        <v>21</v>
      </c>
      <c r="L878" s="6" t="s">
        <v>61</v>
      </c>
      <c r="M878" s="6">
        <v>0</v>
      </c>
      <c r="N878">
        <f t="shared" si="78"/>
        <v>1</v>
      </c>
      <c r="O878" t="str">
        <f t="shared" si="79"/>
        <v>05-2026</v>
      </c>
      <c r="P878" t="str">
        <f t="shared" si="80"/>
        <v>05-2026</v>
      </c>
      <c r="Q878">
        <f t="shared" si="81"/>
        <v>1</v>
      </c>
      <c r="R878">
        <f t="shared" si="82"/>
        <v>0</v>
      </c>
      <c r="S878" t="str">
        <f t="shared" si="83"/>
        <v>0-90</v>
      </c>
    </row>
    <row r="879" spans="1:19" x14ac:dyDescent="0.25">
      <c r="A879" s="6" t="s">
        <v>919</v>
      </c>
      <c r="B879" s="6" t="s">
        <v>14</v>
      </c>
      <c r="C879" s="6" t="s">
        <v>15</v>
      </c>
      <c r="D879" s="6" t="s">
        <v>829</v>
      </c>
      <c r="E879" s="6" t="s">
        <v>754</v>
      </c>
      <c r="F879" s="6" t="s">
        <v>830</v>
      </c>
      <c r="G879" s="6" t="s">
        <v>19</v>
      </c>
      <c r="H879" s="11">
        <v>46136</v>
      </c>
      <c r="I879" s="11">
        <v>46136</v>
      </c>
      <c r="J879" s="6" t="s">
        <v>20</v>
      </c>
      <c r="K879" s="6" t="s">
        <v>21</v>
      </c>
      <c r="L879" s="6" t="s">
        <v>30</v>
      </c>
      <c r="M879" s="6">
        <v>0</v>
      </c>
      <c r="N879">
        <f t="shared" si="78"/>
        <v>1</v>
      </c>
      <c r="O879" t="str">
        <f t="shared" si="79"/>
        <v>04-2026</v>
      </c>
      <c r="P879" t="str">
        <f t="shared" si="80"/>
        <v>04-2026</v>
      </c>
      <c r="Q879">
        <f t="shared" si="81"/>
        <v>1</v>
      </c>
      <c r="R879">
        <f t="shared" si="82"/>
        <v>0</v>
      </c>
      <c r="S879" t="str">
        <f t="shared" si="83"/>
        <v>0-90</v>
      </c>
    </row>
    <row r="880" spans="1:19" x14ac:dyDescent="0.25">
      <c r="A880" s="6" t="s">
        <v>920</v>
      </c>
      <c r="B880" s="6" t="s">
        <v>14</v>
      </c>
      <c r="C880" s="6" t="s">
        <v>15</v>
      </c>
      <c r="D880" s="6" t="s">
        <v>829</v>
      </c>
      <c r="E880" s="6" t="s">
        <v>754</v>
      </c>
      <c r="F880" s="6" t="s">
        <v>830</v>
      </c>
      <c r="G880" s="6" t="s">
        <v>19</v>
      </c>
      <c r="H880" s="11">
        <v>45832</v>
      </c>
      <c r="I880" s="11"/>
      <c r="J880" s="6" t="s">
        <v>27</v>
      </c>
      <c r="K880" s="6"/>
      <c r="L880" s="6"/>
      <c r="M880" s="6">
        <v>371</v>
      </c>
      <c r="N880">
        <f t="shared" si="78"/>
        <v>0</v>
      </c>
      <c r="O880" t="str">
        <f t="shared" si="79"/>
        <v>06-2025</v>
      </c>
      <c r="P880" t="str">
        <f t="shared" si="80"/>
        <v/>
      </c>
      <c r="Q880">
        <f t="shared" si="81"/>
        <v>0</v>
      </c>
      <c r="R880">
        <f t="shared" si="82"/>
        <v>0</v>
      </c>
      <c r="S880" t="str">
        <f t="shared" si="83"/>
        <v>above 1 year</v>
      </c>
    </row>
    <row r="881" spans="1:19" x14ac:dyDescent="0.25">
      <c r="A881" s="6" t="s">
        <v>921</v>
      </c>
      <c r="B881" s="6" t="s">
        <v>14</v>
      </c>
      <c r="C881" s="6" t="s">
        <v>15</v>
      </c>
      <c r="D881" s="6" t="s">
        <v>829</v>
      </c>
      <c r="E881" s="6" t="s">
        <v>754</v>
      </c>
      <c r="F881" s="6" t="s">
        <v>830</v>
      </c>
      <c r="G881" s="6" t="s">
        <v>19</v>
      </c>
      <c r="H881" s="11">
        <v>46197</v>
      </c>
      <c r="I881" s="11">
        <v>46197</v>
      </c>
      <c r="J881" s="6" t="s">
        <v>20</v>
      </c>
      <c r="K881" s="6" t="s">
        <v>21</v>
      </c>
      <c r="L881" s="6" t="s">
        <v>30</v>
      </c>
      <c r="M881" s="6">
        <v>0</v>
      </c>
      <c r="N881">
        <f t="shared" si="78"/>
        <v>1</v>
      </c>
      <c r="O881" t="str">
        <f t="shared" si="79"/>
        <v>06-2026</v>
      </c>
      <c r="P881" t="str">
        <f t="shared" si="80"/>
        <v>06-2026</v>
      </c>
      <c r="Q881">
        <f t="shared" si="81"/>
        <v>1</v>
      </c>
      <c r="R881">
        <f t="shared" si="82"/>
        <v>0</v>
      </c>
      <c r="S881" t="str">
        <f t="shared" si="83"/>
        <v>0-90</v>
      </c>
    </row>
    <row r="882" spans="1:19" x14ac:dyDescent="0.25">
      <c r="A882" s="6" t="s">
        <v>922</v>
      </c>
      <c r="B882" s="6" t="s">
        <v>14</v>
      </c>
      <c r="C882" s="6" t="s">
        <v>15</v>
      </c>
      <c r="D882" s="6" t="s">
        <v>829</v>
      </c>
      <c r="E882" s="6" t="s">
        <v>754</v>
      </c>
      <c r="F882" s="6" t="s">
        <v>830</v>
      </c>
      <c r="G882" s="6" t="s">
        <v>19</v>
      </c>
      <c r="H882" s="11">
        <v>46137</v>
      </c>
      <c r="I882" s="11"/>
      <c r="J882" s="6" t="s">
        <v>27</v>
      </c>
      <c r="K882" s="6"/>
      <c r="L882" s="6"/>
      <c r="M882" s="6">
        <v>66</v>
      </c>
      <c r="N882">
        <f t="shared" si="78"/>
        <v>0</v>
      </c>
      <c r="O882" t="str">
        <f t="shared" si="79"/>
        <v>04-2026</v>
      </c>
      <c r="P882" t="str">
        <f t="shared" si="80"/>
        <v/>
      </c>
      <c r="Q882">
        <f t="shared" si="81"/>
        <v>0</v>
      </c>
      <c r="R882">
        <f t="shared" si="82"/>
        <v>0</v>
      </c>
      <c r="S882" t="str">
        <f t="shared" si="83"/>
        <v>0-90</v>
      </c>
    </row>
    <row r="883" spans="1:19" x14ac:dyDescent="0.25">
      <c r="A883" s="6" t="s">
        <v>923</v>
      </c>
      <c r="B883" s="6" t="s">
        <v>14</v>
      </c>
      <c r="C883" s="6" t="s">
        <v>15</v>
      </c>
      <c r="D883" s="6" t="s">
        <v>829</v>
      </c>
      <c r="E883" s="6" t="s">
        <v>754</v>
      </c>
      <c r="F883" s="6" t="s">
        <v>830</v>
      </c>
      <c r="G883" s="6" t="s">
        <v>19</v>
      </c>
      <c r="H883" s="11">
        <v>46198</v>
      </c>
      <c r="I883" s="11">
        <v>46198</v>
      </c>
      <c r="J883" s="6" t="s">
        <v>20</v>
      </c>
      <c r="K883" s="6" t="s">
        <v>21</v>
      </c>
      <c r="L883" s="6" t="s">
        <v>30</v>
      </c>
      <c r="M883" s="6">
        <v>0</v>
      </c>
      <c r="N883">
        <f t="shared" si="78"/>
        <v>1</v>
      </c>
      <c r="O883" t="str">
        <f t="shared" si="79"/>
        <v>06-2026</v>
      </c>
      <c r="P883" t="str">
        <f t="shared" si="80"/>
        <v>06-2026</v>
      </c>
      <c r="Q883">
        <f t="shared" si="81"/>
        <v>1</v>
      </c>
      <c r="R883">
        <f t="shared" si="82"/>
        <v>0</v>
      </c>
      <c r="S883" t="str">
        <f t="shared" si="83"/>
        <v>0-90</v>
      </c>
    </row>
    <row r="884" spans="1:19" x14ac:dyDescent="0.25">
      <c r="A884" s="6" t="s">
        <v>924</v>
      </c>
      <c r="B884" s="6" t="s">
        <v>14</v>
      </c>
      <c r="C884" s="6" t="s">
        <v>15</v>
      </c>
      <c r="D884" s="6" t="s">
        <v>829</v>
      </c>
      <c r="E884" s="6" t="s">
        <v>754</v>
      </c>
      <c r="F884" s="6" t="s">
        <v>830</v>
      </c>
      <c r="G884" s="6" t="s">
        <v>19</v>
      </c>
      <c r="H884" s="11">
        <v>46138</v>
      </c>
      <c r="I884" s="11">
        <v>46173</v>
      </c>
      <c r="J884" s="6" t="s">
        <v>20</v>
      </c>
      <c r="K884" s="6" t="s">
        <v>24</v>
      </c>
      <c r="L884" s="6" t="s">
        <v>41</v>
      </c>
      <c r="M884" s="6">
        <v>35</v>
      </c>
      <c r="N884">
        <f t="shared" si="78"/>
        <v>1</v>
      </c>
      <c r="O884" t="str">
        <f t="shared" si="79"/>
        <v>04-2026</v>
      </c>
      <c r="P884" t="str">
        <f t="shared" si="80"/>
        <v>05-2026</v>
      </c>
      <c r="Q884">
        <f t="shared" si="81"/>
        <v>0</v>
      </c>
      <c r="R884">
        <f t="shared" si="82"/>
        <v>1</v>
      </c>
      <c r="S884" t="str">
        <f t="shared" si="83"/>
        <v>0-90</v>
      </c>
    </row>
    <row r="885" spans="1:19" x14ac:dyDescent="0.25">
      <c r="A885" s="6" t="s">
        <v>925</v>
      </c>
      <c r="B885" s="6" t="s">
        <v>14</v>
      </c>
      <c r="C885" s="6" t="s">
        <v>15</v>
      </c>
      <c r="D885" s="6" t="s">
        <v>829</v>
      </c>
      <c r="E885" s="6" t="s">
        <v>754</v>
      </c>
      <c r="F885" s="6" t="s">
        <v>830</v>
      </c>
      <c r="G885" s="6" t="s">
        <v>19</v>
      </c>
      <c r="H885" s="11">
        <v>46138</v>
      </c>
      <c r="I885" s="11"/>
      <c r="J885" s="6" t="s">
        <v>27</v>
      </c>
      <c r="K885" s="6"/>
      <c r="L885" s="6"/>
      <c r="M885" s="6">
        <v>65</v>
      </c>
      <c r="N885">
        <f t="shared" si="78"/>
        <v>0</v>
      </c>
      <c r="O885" t="str">
        <f t="shared" si="79"/>
        <v>04-2026</v>
      </c>
      <c r="P885" t="str">
        <f t="shared" si="80"/>
        <v/>
      </c>
      <c r="Q885">
        <f t="shared" si="81"/>
        <v>0</v>
      </c>
      <c r="R885">
        <f t="shared" si="82"/>
        <v>0</v>
      </c>
      <c r="S885" t="str">
        <f t="shared" si="83"/>
        <v>0-90</v>
      </c>
    </row>
    <row r="886" spans="1:19" x14ac:dyDescent="0.25">
      <c r="A886" s="6" t="s">
        <v>926</v>
      </c>
      <c r="B886" s="6" t="s">
        <v>14</v>
      </c>
      <c r="C886" s="6" t="s">
        <v>15</v>
      </c>
      <c r="D886" s="6" t="s">
        <v>829</v>
      </c>
      <c r="E886" s="6" t="s">
        <v>754</v>
      </c>
      <c r="F886" s="6" t="s">
        <v>830</v>
      </c>
      <c r="G886" s="6" t="s">
        <v>19</v>
      </c>
      <c r="H886" s="11">
        <v>46199</v>
      </c>
      <c r="I886" s="11"/>
      <c r="J886" s="6" t="s">
        <v>27</v>
      </c>
      <c r="K886" s="6"/>
      <c r="L886" s="6"/>
      <c r="M886" s="6">
        <v>4</v>
      </c>
      <c r="N886">
        <f t="shared" si="78"/>
        <v>0</v>
      </c>
      <c r="O886" t="str">
        <f t="shared" si="79"/>
        <v>06-2026</v>
      </c>
      <c r="P886" t="str">
        <f t="shared" si="80"/>
        <v/>
      </c>
      <c r="Q886">
        <f t="shared" si="81"/>
        <v>0</v>
      </c>
      <c r="R886">
        <f t="shared" si="82"/>
        <v>0</v>
      </c>
      <c r="S886" t="str">
        <f t="shared" si="83"/>
        <v>0-90</v>
      </c>
    </row>
    <row r="887" spans="1:19" x14ac:dyDescent="0.25">
      <c r="A887" s="6" t="s">
        <v>927</v>
      </c>
      <c r="B887" s="6" t="s">
        <v>14</v>
      </c>
      <c r="C887" s="6" t="s">
        <v>15</v>
      </c>
      <c r="D887" s="6" t="s">
        <v>829</v>
      </c>
      <c r="E887" s="6" t="s">
        <v>754</v>
      </c>
      <c r="F887" s="6" t="s">
        <v>830</v>
      </c>
      <c r="G887" s="6" t="s">
        <v>19</v>
      </c>
      <c r="H887" s="11">
        <v>46168</v>
      </c>
      <c r="I887" s="11"/>
      <c r="J887" s="6" t="s">
        <v>27</v>
      </c>
      <c r="K887" s="6"/>
      <c r="L887" s="6"/>
      <c r="M887" s="6">
        <v>35</v>
      </c>
      <c r="N887">
        <f t="shared" si="78"/>
        <v>0</v>
      </c>
      <c r="O887" t="str">
        <f t="shared" si="79"/>
        <v>05-2026</v>
      </c>
      <c r="P887" t="str">
        <f t="shared" si="80"/>
        <v/>
      </c>
      <c r="Q887">
        <f t="shared" si="81"/>
        <v>0</v>
      </c>
      <c r="R887">
        <f t="shared" si="82"/>
        <v>0</v>
      </c>
      <c r="S887" t="str">
        <f t="shared" si="83"/>
        <v>0-90</v>
      </c>
    </row>
    <row r="888" spans="1:19" x14ac:dyDescent="0.25">
      <c r="A888" s="6" t="s">
        <v>928</v>
      </c>
      <c r="B888" s="6" t="s">
        <v>14</v>
      </c>
      <c r="C888" s="6" t="s">
        <v>15</v>
      </c>
      <c r="D888" s="6" t="s">
        <v>829</v>
      </c>
      <c r="E888" s="6" t="s">
        <v>754</v>
      </c>
      <c r="F888" s="6" t="s">
        <v>830</v>
      </c>
      <c r="G888" s="6" t="s">
        <v>19</v>
      </c>
      <c r="H888" s="11">
        <v>46168</v>
      </c>
      <c r="I888" s="11"/>
      <c r="J888" s="6" t="s">
        <v>27</v>
      </c>
      <c r="K888" s="6"/>
      <c r="L888" s="6"/>
      <c r="M888" s="6">
        <v>35</v>
      </c>
      <c r="N888">
        <f t="shared" si="78"/>
        <v>0</v>
      </c>
      <c r="O888" t="str">
        <f t="shared" si="79"/>
        <v>05-2026</v>
      </c>
      <c r="P888" t="str">
        <f t="shared" si="80"/>
        <v/>
      </c>
      <c r="Q888">
        <f t="shared" si="81"/>
        <v>0</v>
      </c>
      <c r="R888">
        <f t="shared" si="82"/>
        <v>0</v>
      </c>
      <c r="S888" t="str">
        <f t="shared" si="83"/>
        <v>0-90</v>
      </c>
    </row>
    <row r="889" spans="1:19" x14ac:dyDescent="0.25">
      <c r="A889" s="6" t="s">
        <v>929</v>
      </c>
      <c r="B889" s="6" t="s">
        <v>14</v>
      </c>
      <c r="C889" s="6" t="s">
        <v>15</v>
      </c>
      <c r="D889" s="6" t="s">
        <v>829</v>
      </c>
      <c r="E889" s="6" t="s">
        <v>754</v>
      </c>
      <c r="F889" s="6" t="s">
        <v>830</v>
      </c>
      <c r="G889" s="6" t="s">
        <v>19</v>
      </c>
      <c r="H889" s="11">
        <v>45774</v>
      </c>
      <c r="I889" s="11"/>
      <c r="J889" s="6" t="s">
        <v>27</v>
      </c>
      <c r="K889" s="6"/>
      <c r="L889" s="6"/>
      <c r="M889" s="6">
        <v>429</v>
      </c>
      <c r="N889">
        <f t="shared" si="78"/>
        <v>0</v>
      </c>
      <c r="O889" t="str">
        <f t="shared" si="79"/>
        <v>04-2025</v>
      </c>
      <c r="P889" t="str">
        <f t="shared" si="80"/>
        <v/>
      </c>
      <c r="Q889">
        <f t="shared" si="81"/>
        <v>0</v>
      </c>
      <c r="R889">
        <f t="shared" si="82"/>
        <v>0</v>
      </c>
      <c r="S889" t="str">
        <f t="shared" si="83"/>
        <v>above 1 year</v>
      </c>
    </row>
    <row r="890" spans="1:19" x14ac:dyDescent="0.25">
      <c r="A890" s="6" t="s">
        <v>930</v>
      </c>
      <c r="B890" s="6" t="s">
        <v>14</v>
      </c>
      <c r="C890" s="6" t="s">
        <v>15</v>
      </c>
      <c r="D890" s="6" t="s">
        <v>829</v>
      </c>
      <c r="E890" s="6" t="s">
        <v>754</v>
      </c>
      <c r="F890" s="6" t="s">
        <v>830</v>
      </c>
      <c r="G890" s="6" t="s">
        <v>19</v>
      </c>
      <c r="H890" s="11">
        <v>45835</v>
      </c>
      <c r="I890" s="11"/>
      <c r="J890" s="6" t="s">
        <v>27</v>
      </c>
      <c r="K890" s="6"/>
      <c r="L890" s="6"/>
      <c r="M890" s="6">
        <v>368</v>
      </c>
      <c r="N890">
        <f t="shared" si="78"/>
        <v>0</v>
      </c>
      <c r="O890" t="str">
        <f t="shared" si="79"/>
        <v>06-2025</v>
      </c>
      <c r="P890" t="str">
        <f t="shared" si="80"/>
        <v/>
      </c>
      <c r="Q890">
        <f t="shared" si="81"/>
        <v>0</v>
      </c>
      <c r="R890">
        <f t="shared" si="82"/>
        <v>0</v>
      </c>
      <c r="S890" t="str">
        <f t="shared" si="83"/>
        <v>above 1 year</v>
      </c>
    </row>
    <row r="891" spans="1:19" x14ac:dyDescent="0.25">
      <c r="A891" s="6" t="s">
        <v>931</v>
      </c>
      <c r="B891" s="6" t="s">
        <v>14</v>
      </c>
      <c r="C891" s="6" t="s">
        <v>15</v>
      </c>
      <c r="D891" s="6" t="s">
        <v>829</v>
      </c>
      <c r="E891" s="6" t="s">
        <v>754</v>
      </c>
      <c r="F891" s="6" t="s">
        <v>830</v>
      </c>
      <c r="G891" s="6" t="s">
        <v>19</v>
      </c>
      <c r="H891" s="11">
        <v>46169</v>
      </c>
      <c r="I891" s="11"/>
      <c r="J891" s="6" t="s">
        <v>27</v>
      </c>
      <c r="K891" s="6"/>
      <c r="L891" s="6"/>
      <c r="M891" s="6">
        <v>34</v>
      </c>
      <c r="N891">
        <f t="shared" si="78"/>
        <v>0</v>
      </c>
      <c r="O891" t="str">
        <f t="shared" si="79"/>
        <v>05-2026</v>
      </c>
      <c r="P891" t="str">
        <f t="shared" si="80"/>
        <v/>
      </c>
      <c r="Q891">
        <f t="shared" si="81"/>
        <v>0</v>
      </c>
      <c r="R891">
        <f t="shared" si="82"/>
        <v>0</v>
      </c>
      <c r="S891" t="str">
        <f t="shared" si="83"/>
        <v>0-90</v>
      </c>
    </row>
    <row r="892" spans="1:19" x14ac:dyDescent="0.25">
      <c r="A892" s="6" t="s">
        <v>932</v>
      </c>
      <c r="B892" s="6" t="s">
        <v>14</v>
      </c>
      <c r="C892" s="6" t="s">
        <v>15</v>
      </c>
      <c r="D892" s="6" t="s">
        <v>829</v>
      </c>
      <c r="E892" s="6" t="s">
        <v>754</v>
      </c>
      <c r="F892" s="6" t="s">
        <v>830</v>
      </c>
      <c r="G892" s="6" t="s">
        <v>19</v>
      </c>
      <c r="H892" s="11">
        <v>46169</v>
      </c>
      <c r="I892" s="11">
        <v>46169</v>
      </c>
      <c r="J892" s="6" t="s">
        <v>20</v>
      </c>
      <c r="K892" s="6" t="s">
        <v>21</v>
      </c>
      <c r="L892" s="6" t="s">
        <v>30</v>
      </c>
      <c r="M892" s="6">
        <v>0</v>
      </c>
      <c r="N892">
        <f t="shared" si="78"/>
        <v>1</v>
      </c>
      <c r="O892" t="str">
        <f t="shared" si="79"/>
        <v>05-2026</v>
      </c>
      <c r="P892" t="str">
        <f t="shared" si="80"/>
        <v>05-2026</v>
      </c>
      <c r="Q892">
        <f t="shared" si="81"/>
        <v>1</v>
      </c>
      <c r="R892">
        <f t="shared" si="82"/>
        <v>0</v>
      </c>
      <c r="S892" t="str">
        <f t="shared" si="83"/>
        <v>0-90</v>
      </c>
    </row>
    <row r="893" spans="1:19" x14ac:dyDescent="0.25">
      <c r="A893" s="6" t="s">
        <v>933</v>
      </c>
      <c r="B893" s="6" t="s">
        <v>14</v>
      </c>
      <c r="C893" s="6" t="s">
        <v>15</v>
      </c>
      <c r="D893" s="6" t="s">
        <v>829</v>
      </c>
      <c r="E893" s="6" t="s">
        <v>754</v>
      </c>
      <c r="F893" s="6" t="s">
        <v>830</v>
      </c>
      <c r="G893" s="6" t="s">
        <v>19</v>
      </c>
      <c r="H893" s="11">
        <v>45957</v>
      </c>
      <c r="I893" s="11">
        <v>46160</v>
      </c>
      <c r="J893" s="6" t="s">
        <v>20</v>
      </c>
      <c r="K893" s="6" t="s">
        <v>24</v>
      </c>
      <c r="L893" s="6" t="s">
        <v>25</v>
      </c>
      <c r="M893" s="6">
        <v>203</v>
      </c>
      <c r="N893">
        <f t="shared" si="78"/>
        <v>1</v>
      </c>
      <c r="O893" t="str">
        <f t="shared" si="79"/>
        <v>10-2025</v>
      </c>
      <c r="P893" t="str">
        <f t="shared" si="80"/>
        <v>05-2026</v>
      </c>
      <c r="Q893">
        <f t="shared" si="81"/>
        <v>0</v>
      </c>
      <c r="R893">
        <f t="shared" si="82"/>
        <v>1</v>
      </c>
      <c r="S893" t="str">
        <f t="shared" si="83"/>
        <v>180-365</v>
      </c>
    </row>
    <row r="894" spans="1:19" x14ac:dyDescent="0.25">
      <c r="A894" s="6" t="s">
        <v>934</v>
      </c>
      <c r="B894" s="6" t="s">
        <v>14</v>
      </c>
      <c r="C894" s="6" t="s">
        <v>15</v>
      </c>
      <c r="D894" s="6" t="s">
        <v>829</v>
      </c>
      <c r="E894" s="6" t="s">
        <v>754</v>
      </c>
      <c r="F894" s="6" t="s">
        <v>830</v>
      </c>
      <c r="G894" s="6" t="s">
        <v>19</v>
      </c>
      <c r="H894" s="11">
        <v>45685</v>
      </c>
      <c r="I894" s="11">
        <v>46134</v>
      </c>
      <c r="J894" s="6" t="s">
        <v>20</v>
      </c>
      <c r="K894" s="6" t="s">
        <v>24</v>
      </c>
      <c r="L894" s="6" t="s">
        <v>55</v>
      </c>
      <c r="M894" s="6">
        <v>449</v>
      </c>
      <c r="N894">
        <f t="shared" si="78"/>
        <v>1</v>
      </c>
      <c r="O894" t="str">
        <f t="shared" si="79"/>
        <v>01-2025</v>
      </c>
      <c r="P894" t="str">
        <f t="shared" si="80"/>
        <v>04-2026</v>
      </c>
      <c r="Q894">
        <f t="shared" si="81"/>
        <v>0</v>
      </c>
      <c r="R894">
        <f t="shared" si="82"/>
        <v>1</v>
      </c>
      <c r="S894" t="str">
        <f t="shared" si="83"/>
        <v>above 1 year</v>
      </c>
    </row>
    <row r="895" spans="1:19" x14ac:dyDescent="0.25">
      <c r="A895" s="6" t="s">
        <v>935</v>
      </c>
      <c r="B895" s="6" t="s">
        <v>14</v>
      </c>
      <c r="C895" s="6" t="s">
        <v>15</v>
      </c>
      <c r="D895" s="6" t="s">
        <v>829</v>
      </c>
      <c r="E895" s="6" t="s">
        <v>754</v>
      </c>
      <c r="F895" s="6" t="s">
        <v>830</v>
      </c>
      <c r="G895" s="6" t="s">
        <v>19</v>
      </c>
      <c r="H895" s="11">
        <v>46170</v>
      </c>
      <c r="I895" s="11">
        <v>46170</v>
      </c>
      <c r="J895" s="6" t="s">
        <v>20</v>
      </c>
      <c r="K895" s="6" t="s">
        <v>21</v>
      </c>
      <c r="L895" s="6" t="s">
        <v>30</v>
      </c>
      <c r="M895" s="6">
        <v>0</v>
      </c>
      <c r="N895">
        <f t="shared" si="78"/>
        <v>1</v>
      </c>
      <c r="O895" t="str">
        <f t="shared" si="79"/>
        <v>05-2026</v>
      </c>
      <c r="P895" t="str">
        <f t="shared" si="80"/>
        <v>05-2026</v>
      </c>
      <c r="Q895">
        <f t="shared" si="81"/>
        <v>1</v>
      </c>
      <c r="R895">
        <f t="shared" si="82"/>
        <v>0</v>
      </c>
      <c r="S895" t="str">
        <f t="shared" si="83"/>
        <v>0-90</v>
      </c>
    </row>
    <row r="896" spans="1:19" x14ac:dyDescent="0.25">
      <c r="A896" s="6" t="s">
        <v>936</v>
      </c>
      <c r="B896" s="6" t="s">
        <v>14</v>
      </c>
      <c r="C896" s="6" t="s">
        <v>15</v>
      </c>
      <c r="D896" s="6" t="s">
        <v>829</v>
      </c>
      <c r="E896" s="6" t="s">
        <v>754</v>
      </c>
      <c r="F896" s="6" t="s">
        <v>830</v>
      </c>
      <c r="G896" s="6" t="s">
        <v>19</v>
      </c>
      <c r="H896" s="11">
        <v>45776</v>
      </c>
      <c r="I896" s="11">
        <v>46170</v>
      </c>
      <c r="J896" s="6" t="s">
        <v>20</v>
      </c>
      <c r="K896" s="6" t="s">
        <v>21</v>
      </c>
      <c r="L896" s="6" t="s">
        <v>22</v>
      </c>
      <c r="M896" s="6">
        <v>394</v>
      </c>
      <c r="N896">
        <f t="shared" si="78"/>
        <v>1</v>
      </c>
      <c r="O896" t="str">
        <f t="shared" si="79"/>
        <v>04-2025</v>
      </c>
      <c r="P896" t="str">
        <f t="shared" si="80"/>
        <v>05-2026</v>
      </c>
      <c r="Q896">
        <f t="shared" si="81"/>
        <v>1</v>
      </c>
      <c r="R896">
        <f t="shared" si="82"/>
        <v>0</v>
      </c>
      <c r="S896" t="str">
        <f t="shared" si="83"/>
        <v>above 1 year</v>
      </c>
    </row>
    <row r="897" spans="1:19" x14ac:dyDescent="0.25">
      <c r="A897" s="6" t="s">
        <v>937</v>
      </c>
      <c r="B897" s="6" t="s">
        <v>14</v>
      </c>
      <c r="C897" s="6" t="s">
        <v>15</v>
      </c>
      <c r="D897" s="6" t="s">
        <v>829</v>
      </c>
      <c r="E897" s="6" t="s">
        <v>754</v>
      </c>
      <c r="F897" s="6" t="s">
        <v>830</v>
      </c>
      <c r="G897" s="6" t="s">
        <v>19</v>
      </c>
      <c r="H897" s="11">
        <v>46051</v>
      </c>
      <c r="I897" s="11"/>
      <c r="J897" s="6" t="s">
        <v>27</v>
      </c>
      <c r="K897" s="6"/>
      <c r="L897" s="6"/>
      <c r="M897" s="6">
        <v>152</v>
      </c>
      <c r="N897">
        <f t="shared" si="78"/>
        <v>0</v>
      </c>
      <c r="O897" t="str">
        <f t="shared" si="79"/>
        <v>01-2026</v>
      </c>
      <c r="P897" t="str">
        <f t="shared" si="80"/>
        <v/>
      </c>
      <c r="Q897">
        <f t="shared" si="81"/>
        <v>0</v>
      </c>
      <c r="R897">
        <f t="shared" si="82"/>
        <v>0</v>
      </c>
      <c r="S897" t="str">
        <f t="shared" si="83"/>
        <v>90-180</v>
      </c>
    </row>
    <row r="898" spans="1:19" x14ac:dyDescent="0.25">
      <c r="A898" s="6" t="s">
        <v>938</v>
      </c>
      <c r="B898" s="6" t="s">
        <v>14</v>
      </c>
      <c r="C898" s="6" t="s">
        <v>15</v>
      </c>
      <c r="D898" s="6" t="s">
        <v>829</v>
      </c>
      <c r="E898" s="6" t="s">
        <v>754</v>
      </c>
      <c r="F898" s="6" t="s">
        <v>830</v>
      </c>
      <c r="G898" s="6" t="s">
        <v>19</v>
      </c>
      <c r="H898" s="11">
        <v>46202</v>
      </c>
      <c r="I898" s="11">
        <v>46202</v>
      </c>
      <c r="J898" s="6" t="s">
        <v>20</v>
      </c>
      <c r="K898" s="6" t="s">
        <v>21</v>
      </c>
      <c r="L898" s="6" t="s">
        <v>37</v>
      </c>
      <c r="M898" s="6">
        <v>0</v>
      </c>
      <c r="N898">
        <f t="shared" si="78"/>
        <v>1</v>
      </c>
      <c r="O898" t="str">
        <f t="shared" si="79"/>
        <v>06-2026</v>
      </c>
      <c r="P898" t="str">
        <f t="shared" si="80"/>
        <v>06-2026</v>
      </c>
      <c r="Q898">
        <f t="shared" si="81"/>
        <v>1</v>
      </c>
      <c r="R898">
        <f t="shared" si="82"/>
        <v>0</v>
      </c>
      <c r="S898" t="str">
        <f t="shared" si="83"/>
        <v>0-90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opLeftCell="B1" workbookViewId="0">
      <selection activeCell="A10" sqref="A10"/>
    </sheetView>
  </sheetViews>
  <sheetFormatPr defaultRowHeight="13.2" x14ac:dyDescent="0.25"/>
  <sheetData>
    <row r="1" spans="1:1" x14ac:dyDescent="0.25">
      <c r="A1" t="s">
        <v>942</v>
      </c>
    </row>
    <row r="2" spans="1:1" x14ac:dyDescent="0.25">
      <c r="A2" t="s">
        <v>940</v>
      </c>
    </row>
    <row r="3" spans="1:1" x14ac:dyDescent="0.25">
      <c r="A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showGridLines="0" tabSelected="1" workbookViewId="0">
      <selection activeCell="P30" sqref="P30"/>
    </sheetView>
  </sheetViews>
  <sheetFormatPr defaultRowHeight="13.2" x14ac:dyDescent="0.25"/>
  <cols>
    <col min="6" max="6" width="24.21875" customWidth="1"/>
  </cols>
  <sheetData>
    <row r="2" spans="1:11" ht="27.6" x14ac:dyDescent="0.45">
      <c r="E2" s="35" t="s">
        <v>967</v>
      </c>
      <c r="F2" s="35"/>
      <c r="G2" s="35"/>
    </row>
    <row r="3" spans="1:11" ht="24.6" x14ac:dyDescent="0.4">
      <c r="E3" s="34" t="s">
        <v>969</v>
      </c>
      <c r="F3" s="34"/>
      <c r="G3" s="34" t="s">
        <v>968</v>
      </c>
      <c r="H3" s="34"/>
    </row>
    <row r="4" spans="1:11" ht="13.8" thickBot="1" x14ac:dyDescent="0.3"/>
    <row r="5" spans="1:11" x14ac:dyDescent="0.25">
      <c r="A5" s="39"/>
      <c r="B5" s="45" t="s">
        <v>952</v>
      </c>
      <c r="C5" s="46"/>
      <c r="D5" s="49" t="s">
        <v>953</v>
      </c>
      <c r="E5" s="50"/>
      <c r="F5" s="43" t="s">
        <v>954</v>
      </c>
      <c r="H5" s="49" t="s">
        <v>970</v>
      </c>
      <c r="I5" s="51"/>
      <c r="J5" s="50"/>
    </row>
    <row r="6" spans="1:11" ht="13.8" thickBot="1" x14ac:dyDescent="0.3">
      <c r="A6" s="39"/>
      <c r="B6" s="40">
        <f>'Monthly Summary table'!B3</f>
        <v>335</v>
      </c>
      <c r="C6" s="42"/>
      <c r="D6" s="40">
        <f>'Monthly Summary table'!D4</f>
        <v>332</v>
      </c>
      <c r="E6" s="42"/>
      <c r="F6" s="44">
        <f>AVERAGE('Monthly Summary table'!B5:D5)</f>
        <v>373.16666666666669</v>
      </c>
      <c r="H6" s="40"/>
      <c r="I6" s="41">
        <f>'Monthly Summary table'!D8</f>
        <v>0.53276353276353272</v>
      </c>
      <c r="J6" s="42"/>
    </row>
    <row r="8" spans="1:11" x14ac:dyDescent="0.25">
      <c r="I8" s="48"/>
      <c r="J8" s="48"/>
      <c r="K8" s="48"/>
    </row>
    <row r="9" spans="1:11" x14ac:dyDescent="0.25">
      <c r="I9" s="48"/>
      <c r="J9" s="48"/>
      <c r="K9" s="48"/>
    </row>
    <row r="19" spans="10:10" x14ac:dyDescent="0.25">
      <c r="J19" s="33"/>
    </row>
  </sheetData>
  <mergeCells count="3">
    <mergeCell ref="I8:K9"/>
    <mergeCell ref="D5:E5"/>
    <mergeCell ref="H5:J5"/>
  </mergeCells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G6" sqref="G6"/>
    </sheetView>
  </sheetViews>
  <sheetFormatPr defaultRowHeight="13.2" x14ac:dyDescent="0.25"/>
  <cols>
    <col min="1" max="1" width="36.44140625" customWidth="1"/>
    <col min="12" max="12" width="17.5546875" bestFit="1" customWidth="1"/>
    <col min="13" max="13" width="18.6640625" bestFit="1" customWidth="1"/>
  </cols>
  <sheetData>
    <row r="1" spans="1:13" ht="21" x14ac:dyDescent="0.4">
      <c r="A1" s="28" t="s">
        <v>962</v>
      </c>
      <c r="L1" s="19" t="s">
        <v>960</v>
      </c>
      <c r="M1" s="19" t="s">
        <v>961</v>
      </c>
    </row>
    <row r="2" spans="1:13" x14ac:dyDescent="0.25">
      <c r="A2" s="17" t="s">
        <v>950</v>
      </c>
      <c r="B2" s="18">
        <v>46113</v>
      </c>
      <c r="C2" s="18">
        <v>46143</v>
      </c>
      <c r="D2" s="18">
        <v>46174</v>
      </c>
      <c r="K2" s="18">
        <v>46113</v>
      </c>
      <c r="L2" s="23">
        <f>B11</f>
        <v>0.2675496688741722</v>
      </c>
      <c r="M2" s="23">
        <f>B12</f>
        <v>0.20132450331125828</v>
      </c>
    </row>
    <row r="3" spans="1:13" x14ac:dyDescent="0.25">
      <c r="A3" s="19" t="s">
        <v>952</v>
      </c>
      <c r="B3" s="20">
        <f>COUNTIFS(Work_data!H:H,"&lt;="&amp;DATE(2026,4,1),Work_data!I:I,"&gt;="&amp;DATE(2026,4,1))+COUNTIFS(Work_data!H:H,"&lt;="&amp;DATE(2026,4,1),Work_data!I:I,"")</f>
        <v>335</v>
      </c>
      <c r="C3" s="20">
        <f>COUNTIFS(Work_data!H:H,"&lt;="&amp;DATE(2026,5,1),Work_data!I:I,"&gt;="&amp;DATE(2026,5,1))+COUNTIFS(Work_data!H:H,"&lt;="&amp;DATE(2026,5,1),Work_data!I:I,"")</f>
        <v>409</v>
      </c>
      <c r="D3" s="20">
        <f>COUNTIFS(Work_data!H:H,"&lt;="&amp;DATE(2026,6,1),Work_data!I:I,"&gt;="&amp;DATE(2026,6,1))+COUNTIFS(Work_data!H:H,"&lt;="&amp;DATE(2026,6,1),Work_data!I:I,"")</f>
        <v>370</v>
      </c>
      <c r="K3" s="18">
        <v>46143</v>
      </c>
      <c r="L3" s="23">
        <f>C11</f>
        <v>0.24040920716112532</v>
      </c>
      <c r="M3" s="23">
        <f>C12</f>
        <v>0.29411764705882354</v>
      </c>
    </row>
    <row r="4" spans="1:13" x14ac:dyDescent="0.25">
      <c r="A4" s="19" t="s">
        <v>953</v>
      </c>
      <c r="B4" s="20">
        <f>COUNTIFS(Work_data!H:H,"&lt;="&amp;DATE(2026,4,30),Work_data!I:I,"&gt;="&amp;DATE(2026,4,30))+COUNTIFS(Work_data!H:H,"&lt;="&amp;DATE(2026,4,30),Work_data!I:I,"")</f>
        <v>420</v>
      </c>
      <c r="C4" s="20">
        <f>COUNTIFS(Work_data!H:H,"&lt;="&amp;DATE(2026,5,31),Work_data!I:I,"&gt;="&amp;DATE(2026,5,31))+COUNTIFS(Work_data!H:H,"&lt;="&amp;DATE(2026,5,31),Work_data!I:I,"")</f>
        <v>373</v>
      </c>
      <c r="D4" s="20">
        <f>COUNTIFS(Work_data!H:H,"&lt;="&amp;DATE(2026,6,30),Work_data!I:I,"&gt;="&amp;DATE(2026,6,30))+COUNTIFS(Work_data!H:H,"&lt;="&amp;DATE(2026,6,31),Work_data!I:I,"")</f>
        <v>332</v>
      </c>
      <c r="K4" s="18">
        <v>46174</v>
      </c>
      <c r="L4" s="23">
        <f>D11</f>
        <v>0.27065527065527067</v>
      </c>
      <c r="M4" s="23">
        <f>D12</f>
        <v>0.2621082621082621</v>
      </c>
    </row>
    <row r="5" spans="1:13" x14ac:dyDescent="0.25">
      <c r="A5" s="19" t="s">
        <v>954</v>
      </c>
      <c r="B5" s="20">
        <f>(B3+B4)/2</f>
        <v>377.5</v>
      </c>
      <c r="C5" s="20">
        <f>(C3+C4)/2</f>
        <v>391</v>
      </c>
      <c r="D5" s="20">
        <f>(D3+D4)/2</f>
        <v>351</v>
      </c>
    </row>
    <row r="6" spans="1:13" x14ac:dyDescent="0.25">
      <c r="A6" s="19" t="s">
        <v>955</v>
      </c>
      <c r="B6" s="20">
        <f>COUNTIFS(Work_data!H:H,"&gt;="&amp;DATE(2026,4,1),Work_data!H:H,"&lt;="&amp;DATE(2026,4,30))</f>
        <v>257</v>
      </c>
      <c r="C6" s="20">
        <f>COUNTIFS(Work_data!H:H,"&gt;="&amp;DATE(2026,5,1),Work_data!H:H,"&lt;="&amp;DATE(2026,5,31))</f>
        <v>166</v>
      </c>
      <c r="D6" s="20">
        <f>COUNTIFS(Work_data!H:H,"&gt;="&amp;DATE(2026,6,1),Work_data!H:H,"&lt;="&amp;DATE(2026,6,30))</f>
        <v>148</v>
      </c>
    </row>
    <row r="7" spans="1:13" x14ac:dyDescent="0.25">
      <c r="A7" s="19" t="s">
        <v>956</v>
      </c>
      <c r="B7" s="20">
        <f>COUNTIFS(Work_data!I:I,"&gt;="&amp;DATE(2026,4,1),Work_data!I:I,"&lt;="&amp;DATE(2026,4,30))</f>
        <v>177</v>
      </c>
      <c r="C7" s="20">
        <f>COUNTIFS(Work_data!I:I,"&gt;="&amp;DATE(2026,5,1),Work_data!I:I,"&lt;="&amp;DATE(2026,5,31))</f>
        <v>209</v>
      </c>
      <c r="D7" s="20">
        <f>COUNTIFS(Work_data!I:I,"&gt;="&amp;DATE(2026,6,1),Work_data!I:I,"&lt;="&amp;DATE(2026,6,30))</f>
        <v>187</v>
      </c>
    </row>
    <row r="8" spans="1:13" x14ac:dyDescent="0.25">
      <c r="A8" s="19" t="s">
        <v>957</v>
      </c>
      <c r="B8" s="23">
        <f>B7/B5</f>
        <v>0.46887417218543048</v>
      </c>
      <c r="C8" s="23">
        <f>C7/C5</f>
        <v>0.53452685421994883</v>
      </c>
      <c r="D8" s="23">
        <f>D7/D5</f>
        <v>0.53276353276353272</v>
      </c>
    </row>
    <row r="9" spans="1:13" x14ac:dyDescent="0.25">
      <c r="A9" s="19" t="s">
        <v>958</v>
      </c>
      <c r="B9" s="20">
        <f>COUNTIFS(Work_data!I:I,"&gt;="&amp;DATE(2026,4,1),Work_data!I:I,"&lt;="&amp;DATE(2026,4,30),Work_data!K:K,"Voluntary")</f>
        <v>101</v>
      </c>
      <c r="C9" s="20">
        <f>COUNTIFS(Work_data!I:I,"&gt;="&amp;DATE(2026,5,1),Work_data!I:I,"&lt;="&amp;DATE(2026,5,31),Work_data!K:K,"Voluntary")</f>
        <v>94</v>
      </c>
      <c r="D9" s="20">
        <f>COUNTIFS(Work_data!I:I,"&gt;="&amp;DATE(2026,6,1),Work_data!I:I,"&lt;="&amp;DATE(2026,6,30),Work_data!K:K,"Voluntary")</f>
        <v>95</v>
      </c>
    </row>
    <row r="10" spans="1:13" x14ac:dyDescent="0.25">
      <c r="A10" s="19" t="s">
        <v>959</v>
      </c>
      <c r="B10" s="20">
        <f>COUNTIFS(Work_data!I:I,"&gt;="&amp;DATE(2026,4,1),Work_data!I:I,"&lt;="&amp;DATE(2026,4,30),Work_data!K:K,"Involuntary")</f>
        <v>76</v>
      </c>
      <c r="C10" s="20">
        <f>COUNTIFS(Work_data!I:I,"&gt;="&amp;DATE(2026,5,1),Work_data!I:I,"&lt;="&amp;DATE(2026,5,31),Work_data!K:K,"Involuntary")</f>
        <v>115</v>
      </c>
      <c r="D10" s="20">
        <f>COUNTIFS(Work_data!I:I,"&gt;="&amp;DATE(2026,6,1),Work_data!I:I,"&lt;="&amp;DATE(2026,6,30),Work_data!K:K,"Involuntary")</f>
        <v>92</v>
      </c>
    </row>
    <row r="11" spans="1:13" x14ac:dyDescent="0.25">
      <c r="A11" s="19" t="s">
        <v>960</v>
      </c>
      <c r="B11" s="23">
        <f>B9/B5</f>
        <v>0.2675496688741722</v>
      </c>
      <c r="C11" s="23">
        <f>C9/C5</f>
        <v>0.24040920716112532</v>
      </c>
      <c r="D11" s="23">
        <f>D9/D5</f>
        <v>0.27065527065527067</v>
      </c>
    </row>
    <row r="12" spans="1:13" x14ac:dyDescent="0.25">
      <c r="A12" s="19" t="s">
        <v>961</v>
      </c>
      <c r="B12" s="23">
        <f>B10/B5</f>
        <v>0.20132450331125828</v>
      </c>
      <c r="C12" s="23">
        <f>C10/C5</f>
        <v>0.29411764705882354</v>
      </c>
      <c r="D12" s="23">
        <f>D10/D5</f>
        <v>0.2621082621082621</v>
      </c>
    </row>
    <row r="19" spans="12:12" x14ac:dyDescent="0.25">
      <c r="L19" s="22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2"/>
  <sheetViews>
    <sheetView workbookViewId="0">
      <selection activeCell="D19" sqref="D19"/>
    </sheetView>
  </sheetViews>
  <sheetFormatPr defaultRowHeight="13.2" x14ac:dyDescent="0.25"/>
  <cols>
    <col min="1" max="1" width="20.109375" customWidth="1"/>
  </cols>
  <sheetData>
    <row r="1" spans="1:4" x14ac:dyDescent="0.25">
      <c r="A1" s="24" t="s">
        <v>963</v>
      </c>
      <c r="B1" s="18">
        <v>46113</v>
      </c>
      <c r="C1" s="18">
        <v>46143</v>
      </c>
      <c r="D1" s="18">
        <v>46174</v>
      </c>
    </row>
    <row r="2" spans="1:4" x14ac:dyDescent="0.25">
      <c r="A2" s="14" t="s">
        <v>16</v>
      </c>
      <c r="B2" s="23">
        <v>0.52849740932642486</v>
      </c>
      <c r="C2" s="23">
        <v>0.73493975903614461</v>
      </c>
      <c r="D2" s="23">
        <v>0.27450980392156865</v>
      </c>
    </row>
    <row r="3" spans="1:4" x14ac:dyDescent="0.25">
      <c r="A3" s="14" t="s">
        <v>208</v>
      </c>
      <c r="B3" s="23">
        <v>0.46075949367088609</v>
      </c>
      <c r="C3" s="23">
        <v>0.50900900900900903</v>
      </c>
      <c r="D3" s="23">
        <v>0.61503416856492032</v>
      </c>
    </row>
    <row r="4" spans="1:4" x14ac:dyDescent="0.25">
      <c r="A4" s="14" t="s">
        <v>753</v>
      </c>
      <c r="B4" s="23">
        <v>0.4</v>
      </c>
      <c r="C4" s="23">
        <v>0.42666666666666669</v>
      </c>
      <c r="D4" s="23">
        <v>0.35820895522388058</v>
      </c>
    </row>
    <row r="5" spans="1:4" x14ac:dyDescent="0.25">
      <c r="A5" s="14" t="s">
        <v>829</v>
      </c>
      <c r="B5" s="23">
        <v>0.43478260869565216</v>
      </c>
      <c r="C5" s="23">
        <v>0.39175257731958762</v>
      </c>
      <c r="D5" s="23">
        <v>0.55319148936170215</v>
      </c>
    </row>
    <row r="6" spans="1:4" x14ac:dyDescent="0.25">
      <c r="A6" s="14"/>
    </row>
    <row r="7" spans="1:4" x14ac:dyDescent="0.25">
      <c r="A7" s="15"/>
    </row>
    <row r="8" spans="1:4" x14ac:dyDescent="0.25">
      <c r="A8" s="15"/>
    </row>
    <row r="9" spans="1:4" x14ac:dyDescent="0.25">
      <c r="A9" s="15"/>
    </row>
    <row r="10" spans="1:4" x14ac:dyDescent="0.25">
      <c r="A10" s="15"/>
    </row>
    <row r="11" spans="1:4" x14ac:dyDescent="0.25">
      <c r="A11" s="15"/>
    </row>
    <row r="12" spans="1:4" x14ac:dyDescent="0.25">
      <c r="A12" s="15"/>
    </row>
    <row r="13" spans="1:4" x14ac:dyDescent="0.25">
      <c r="A13" s="15"/>
    </row>
    <row r="14" spans="1:4" x14ac:dyDescent="0.25">
      <c r="A14" s="15"/>
    </row>
    <row r="15" spans="1:4" x14ac:dyDescent="0.25">
      <c r="A15" s="15"/>
    </row>
    <row r="16" spans="1:4" x14ac:dyDescent="0.25">
      <c r="A16" s="15"/>
    </row>
    <row r="17" spans="1:1" x14ac:dyDescent="0.25">
      <c r="A17" s="15"/>
    </row>
    <row r="18" spans="1:1" x14ac:dyDescent="0.25">
      <c r="A18" s="15"/>
    </row>
    <row r="19" spans="1:1" x14ac:dyDescent="0.25">
      <c r="A19" s="15"/>
    </row>
    <row r="20" spans="1:1" x14ac:dyDescent="0.25">
      <c r="A20" s="15"/>
    </row>
    <row r="21" spans="1:1" x14ac:dyDescent="0.25">
      <c r="A21" s="15"/>
    </row>
    <row r="22" spans="1:1" x14ac:dyDescent="0.25">
      <c r="A22" s="15"/>
    </row>
    <row r="23" spans="1:1" x14ac:dyDescent="0.25">
      <c r="A23" s="15"/>
    </row>
    <row r="24" spans="1:1" x14ac:dyDescent="0.25">
      <c r="A24" s="15"/>
    </row>
    <row r="25" spans="1:1" x14ac:dyDescent="0.25">
      <c r="A25" s="15"/>
    </row>
    <row r="26" spans="1:1" x14ac:dyDescent="0.25">
      <c r="A26" s="15"/>
    </row>
    <row r="27" spans="1:1" x14ac:dyDescent="0.25">
      <c r="A27" s="15"/>
    </row>
    <row r="28" spans="1:1" x14ac:dyDescent="0.25">
      <c r="A28" s="15"/>
    </row>
    <row r="29" spans="1:1" x14ac:dyDescent="0.25">
      <c r="A29" s="15"/>
    </row>
    <row r="30" spans="1:1" x14ac:dyDescent="0.25">
      <c r="A30" s="15"/>
    </row>
    <row r="31" spans="1:1" x14ac:dyDescent="0.25">
      <c r="A31" s="15"/>
    </row>
    <row r="32" spans="1:1" x14ac:dyDescent="0.25">
      <c r="A32" s="15"/>
    </row>
    <row r="33" spans="1:1" x14ac:dyDescent="0.25">
      <c r="A33" s="15"/>
    </row>
    <row r="34" spans="1:1" x14ac:dyDescent="0.25">
      <c r="A34" s="15"/>
    </row>
    <row r="35" spans="1:1" x14ac:dyDescent="0.25">
      <c r="A35" s="15"/>
    </row>
    <row r="36" spans="1:1" x14ac:dyDescent="0.25">
      <c r="A36" s="15"/>
    </row>
    <row r="37" spans="1:1" x14ac:dyDescent="0.25">
      <c r="A37" s="15"/>
    </row>
    <row r="38" spans="1:1" x14ac:dyDescent="0.25">
      <c r="A38" s="15"/>
    </row>
    <row r="39" spans="1:1" x14ac:dyDescent="0.25">
      <c r="A39" s="15"/>
    </row>
    <row r="40" spans="1:1" x14ac:dyDescent="0.25">
      <c r="A40" s="15"/>
    </row>
    <row r="41" spans="1:1" x14ac:dyDescent="0.25">
      <c r="A41" s="15"/>
    </row>
    <row r="42" spans="1:1" x14ac:dyDescent="0.25">
      <c r="A42" s="15"/>
    </row>
    <row r="43" spans="1:1" x14ac:dyDescent="0.25">
      <c r="A43" s="15"/>
    </row>
    <row r="44" spans="1:1" x14ac:dyDescent="0.25">
      <c r="A44" s="15"/>
    </row>
    <row r="45" spans="1:1" x14ac:dyDescent="0.25">
      <c r="A45" s="15"/>
    </row>
    <row r="46" spans="1:1" x14ac:dyDescent="0.25">
      <c r="A46" s="15"/>
    </row>
    <row r="47" spans="1:1" x14ac:dyDescent="0.25">
      <c r="A47" s="15"/>
    </row>
    <row r="48" spans="1:1" x14ac:dyDescent="0.25">
      <c r="A48" s="15"/>
    </row>
    <row r="49" spans="1:1" x14ac:dyDescent="0.25">
      <c r="A49" s="15"/>
    </row>
    <row r="50" spans="1:1" x14ac:dyDescent="0.25">
      <c r="A50" s="15"/>
    </row>
    <row r="51" spans="1:1" x14ac:dyDescent="0.25">
      <c r="A51" s="15"/>
    </row>
    <row r="52" spans="1:1" x14ac:dyDescent="0.25">
      <c r="A52" s="15"/>
    </row>
    <row r="53" spans="1:1" x14ac:dyDescent="0.25">
      <c r="A53" s="15"/>
    </row>
    <row r="54" spans="1:1" x14ac:dyDescent="0.25">
      <c r="A54" s="15"/>
    </row>
    <row r="55" spans="1:1" x14ac:dyDescent="0.25">
      <c r="A55" s="15"/>
    </row>
    <row r="56" spans="1:1" x14ac:dyDescent="0.25">
      <c r="A56" s="15"/>
    </row>
    <row r="57" spans="1:1" x14ac:dyDescent="0.25">
      <c r="A57" s="15"/>
    </row>
    <row r="58" spans="1:1" x14ac:dyDescent="0.25">
      <c r="A58" s="15"/>
    </row>
    <row r="59" spans="1:1" x14ac:dyDescent="0.25">
      <c r="A59" s="15"/>
    </row>
    <row r="60" spans="1:1" x14ac:dyDescent="0.25">
      <c r="A60" s="15"/>
    </row>
    <row r="61" spans="1:1" x14ac:dyDescent="0.25">
      <c r="A61" s="15"/>
    </row>
    <row r="62" spans="1:1" x14ac:dyDescent="0.25">
      <c r="A62" s="15"/>
    </row>
    <row r="63" spans="1:1" x14ac:dyDescent="0.25">
      <c r="A63" s="15"/>
    </row>
    <row r="64" spans="1:1" x14ac:dyDescent="0.25">
      <c r="A64" s="15"/>
    </row>
    <row r="65" spans="1:1" x14ac:dyDescent="0.25">
      <c r="A65" s="15"/>
    </row>
    <row r="66" spans="1:1" x14ac:dyDescent="0.25">
      <c r="A66" s="15"/>
    </row>
    <row r="67" spans="1:1" x14ac:dyDescent="0.25">
      <c r="A67" s="15"/>
    </row>
    <row r="68" spans="1:1" x14ac:dyDescent="0.25">
      <c r="A68" s="15"/>
    </row>
    <row r="69" spans="1:1" x14ac:dyDescent="0.25">
      <c r="A69" s="15"/>
    </row>
    <row r="70" spans="1:1" x14ac:dyDescent="0.25">
      <c r="A70" s="15"/>
    </row>
    <row r="71" spans="1:1" x14ac:dyDescent="0.25">
      <c r="A71" s="15"/>
    </row>
    <row r="72" spans="1:1" x14ac:dyDescent="0.25">
      <c r="A72" s="15"/>
    </row>
    <row r="73" spans="1:1" x14ac:dyDescent="0.25">
      <c r="A73" s="15"/>
    </row>
    <row r="74" spans="1:1" x14ac:dyDescent="0.25">
      <c r="A74" s="15"/>
    </row>
    <row r="75" spans="1:1" x14ac:dyDescent="0.25">
      <c r="A75" s="15"/>
    </row>
    <row r="76" spans="1:1" x14ac:dyDescent="0.25">
      <c r="A76" s="15"/>
    </row>
    <row r="77" spans="1:1" x14ac:dyDescent="0.25">
      <c r="A77" s="15"/>
    </row>
    <row r="78" spans="1:1" x14ac:dyDescent="0.25">
      <c r="A78" s="15"/>
    </row>
    <row r="79" spans="1:1" x14ac:dyDescent="0.25">
      <c r="A79" s="15"/>
    </row>
    <row r="80" spans="1:1" x14ac:dyDescent="0.25">
      <c r="A80" s="15"/>
    </row>
    <row r="81" spans="1:1" x14ac:dyDescent="0.25">
      <c r="A81" s="15"/>
    </row>
    <row r="82" spans="1:1" x14ac:dyDescent="0.25">
      <c r="A82" s="15"/>
    </row>
    <row r="83" spans="1:1" x14ac:dyDescent="0.25">
      <c r="A83" s="15"/>
    </row>
    <row r="84" spans="1:1" x14ac:dyDescent="0.25">
      <c r="A84" s="15"/>
    </row>
    <row r="85" spans="1:1" x14ac:dyDescent="0.25">
      <c r="A85" s="15"/>
    </row>
    <row r="86" spans="1:1" x14ac:dyDescent="0.25">
      <c r="A86" s="15"/>
    </row>
    <row r="87" spans="1:1" x14ac:dyDescent="0.25">
      <c r="A87" s="15"/>
    </row>
    <row r="88" spans="1:1" x14ac:dyDescent="0.25">
      <c r="A88" s="15"/>
    </row>
    <row r="89" spans="1:1" x14ac:dyDescent="0.25">
      <c r="A89" s="15"/>
    </row>
    <row r="90" spans="1:1" x14ac:dyDescent="0.25">
      <c r="A90" s="15"/>
    </row>
    <row r="91" spans="1:1" x14ac:dyDescent="0.25">
      <c r="A91" s="15"/>
    </row>
    <row r="92" spans="1:1" x14ac:dyDescent="0.25">
      <c r="A92" s="15"/>
    </row>
    <row r="93" spans="1:1" x14ac:dyDescent="0.25">
      <c r="A93" s="15"/>
    </row>
    <row r="94" spans="1:1" x14ac:dyDescent="0.25">
      <c r="A94" s="15"/>
    </row>
    <row r="95" spans="1:1" x14ac:dyDescent="0.25">
      <c r="A95" s="15"/>
    </row>
    <row r="96" spans="1:1" x14ac:dyDescent="0.25">
      <c r="A96" s="15"/>
    </row>
    <row r="97" spans="1:1" x14ac:dyDescent="0.25">
      <c r="A97" s="15"/>
    </row>
    <row r="98" spans="1:1" x14ac:dyDescent="0.25">
      <c r="A98" s="15"/>
    </row>
    <row r="99" spans="1:1" x14ac:dyDescent="0.25">
      <c r="A99" s="15"/>
    </row>
    <row r="100" spans="1:1" x14ac:dyDescent="0.25">
      <c r="A100" s="15"/>
    </row>
    <row r="101" spans="1:1" x14ac:dyDescent="0.25">
      <c r="A101" s="15"/>
    </row>
    <row r="102" spans="1:1" x14ac:dyDescent="0.25">
      <c r="A102" s="15"/>
    </row>
    <row r="103" spans="1:1" x14ac:dyDescent="0.25">
      <c r="A103" s="15"/>
    </row>
    <row r="104" spans="1:1" x14ac:dyDescent="0.25">
      <c r="A104" s="15"/>
    </row>
    <row r="105" spans="1:1" x14ac:dyDescent="0.25">
      <c r="A105" s="15"/>
    </row>
    <row r="106" spans="1:1" x14ac:dyDescent="0.25">
      <c r="A106" s="15"/>
    </row>
    <row r="107" spans="1:1" x14ac:dyDescent="0.25">
      <c r="A107" s="15"/>
    </row>
    <row r="108" spans="1:1" x14ac:dyDescent="0.25">
      <c r="A108" s="15"/>
    </row>
    <row r="109" spans="1:1" x14ac:dyDescent="0.25">
      <c r="A109" s="15"/>
    </row>
    <row r="110" spans="1:1" x14ac:dyDescent="0.25">
      <c r="A110" s="15"/>
    </row>
    <row r="111" spans="1:1" x14ac:dyDescent="0.25">
      <c r="A111" s="15"/>
    </row>
    <row r="112" spans="1:1" x14ac:dyDescent="0.25">
      <c r="A112" s="15"/>
    </row>
    <row r="113" spans="1:1" x14ac:dyDescent="0.25">
      <c r="A113" s="15"/>
    </row>
    <row r="114" spans="1:1" x14ac:dyDescent="0.25">
      <c r="A114" s="15"/>
    </row>
    <row r="115" spans="1:1" x14ac:dyDescent="0.25">
      <c r="A115" s="15"/>
    </row>
    <row r="116" spans="1:1" x14ac:dyDescent="0.25">
      <c r="A116" s="15"/>
    </row>
    <row r="117" spans="1:1" x14ac:dyDescent="0.25">
      <c r="A117" s="15"/>
    </row>
    <row r="118" spans="1:1" x14ac:dyDescent="0.25">
      <c r="A118" s="15"/>
    </row>
    <row r="119" spans="1:1" x14ac:dyDescent="0.25">
      <c r="A119" s="15"/>
    </row>
    <row r="120" spans="1:1" x14ac:dyDescent="0.25">
      <c r="A120" s="15"/>
    </row>
    <row r="121" spans="1:1" x14ac:dyDescent="0.25">
      <c r="A121" s="15"/>
    </row>
    <row r="122" spans="1:1" x14ac:dyDescent="0.25">
      <c r="A122" s="15"/>
    </row>
    <row r="123" spans="1:1" x14ac:dyDescent="0.25">
      <c r="A123" s="15"/>
    </row>
    <row r="124" spans="1:1" x14ac:dyDescent="0.25">
      <c r="A124" s="15"/>
    </row>
    <row r="125" spans="1:1" x14ac:dyDescent="0.25">
      <c r="A125" s="15"/>
    </row>
    <row r="126" spans="1:1" x14ac:dyDescent="0.25">
      <c r="A126" s="15"/>
    </row>
    <row r="127" spans="1:1" x14ac:dyDescent="0.25">
      <c r="A127" s="15"/>
    </row>
    <row r="128" spans="1:1" x14ac:dyDescent="0.25">
      <c r="A128" s="15"/>
    </row>
    <row r="129" spans="1:1" x14ac:dyDescent="0.25">
      <c r="A129" s="15"/>
    </row>
    <row r="130" spans="1:1" x14ac:dyDescent="0.25">
      <c r="A130" s="15"/>
    </row>
    <row r="131" spans="1:1" x14ac:dyDescent="0.25">
      <c r="A131" s="15"/>
    </row>
    <row r="132" spans="1:1" x14ac:dyDescent="0.25">
      <c r="A132" s="15"/>
    </row>
    <row r="133" spans="1:1" x14ac:dyDescent="0.25">
      <c r="A133" s="15"/>
    </row>
    <row r="134" spans="1:1" x14ac:dyDescent="0.25">
      <c r="A134" s="15"/>
    </row>
    <row r="135" spans="1:1" x14ac:dyDescent="0.25">
      <c r="A135" s="15"/>
    </row>
    <row r="136" spans="1:1" x14ac:dyDescent="0.25">
      <c r="A136" s="15"/>
    </row>
    <row r="137" spans="1:1" x14ac:dyDescent="0.25">
      <c r="A137" s="15"/>
    </row>
    <row r="138" spans="1:1" x14ac:dyDescent="0.25">
      <c r="A138" s="15"/>
    </row>
    <row r="139" spans="1:1" x14ac:dyDescent="0.25">
      <c r="A139" s="15"/>
    </row>
    <row r="140" spans="1:1" x14ac:dyDescent="0.25">
      <c r="A140" s="15"/>
    </row>
    <row r="141" spans="1:1" x14ac:dyDescent="0.25">
      <c r="A141" s="15"/>
    </row>
    <row r="142" spans="1:1" x14ac:dyDescent="0.25">
      <c r="A142" s="15"/>
    </row>
    <row r="143" spans="1:1" x14ac:dyDescent="0.25">
      <c r="A143" s="15"/>
    </row>
    <row r="144" spans="1:1" x14ac:dyDescent="0.25">
      <c r="A144" s="15"/>
    </row>
    <row r="145" spans="1:1" x14ac:dyDescent="0.25">
      <c r="A145" s="15"/>
    </row>
    <row r="146" spans="1:1" x14ac:dyDescent="0.25">
      <c r="A146" s="15"/>
    </row>
    <row r="147" spans="1:1" x14ac:dyDescent="0.25">
      <c r="A147" s="15"/>
    </row>
    <row r="148" spans="1:1" x14ac:dyDescent="0.25">
      <c r="A148" s="15"/>
    </row>
    <row r="149" spans="1:1" x14ac:dyDescent="0.25">
      <c r="A149" s="15"/>
    </row>
    <row r="150" spans="1:1" x14ac:dyDescent="0.25">
      <c r="A150" s="15"/>
    </row>
    <row r="151" spans="1:1" x14ac:dyDescent="0.25">
      <c r="A151" s="15"/>
    </row>
    <row r="152" spans="1:1" x14ac:dyDescent="0.25">
      <c r="A152" s="15"/>
    </row>
    <row r="153" spans="1:1" x14ac:dyDescent="0.25">
      <c r="A153" s="15"/>
    </row>
    <row r="154" spans="1:1" x14ac:dyDescent="0.25">
      <c r="A154" s="15"/>
    </row>
    <row r="155" spans="1:1" x14ac:dyDescent="0.25">
      <c r="A155" s="15"/>
    </row>
    <row r="156" spans="1:1" x14ac:dyDescent="0.25">
      <c r="A156" s="15"/>
    </row>
    <row r="157" spans="1:1" x14ac:dyDescent="0.25">
      <c r="A157" s="15"/>
    </row>
    <row r="158" spans="1:1" x14ac:dyDescent="0.25">
      <c r="A158" s="15"/>
    </row>
    <row r="159" spans="1:1" x14ac:dyDescent="0.25">
      <c r="A159" s="15"/>
    </row>
    <row r="160" spans="1:1" x14ac:dyDescent="0.25">
      <c r="A160" s="15"/>
    </row>
    <row r="161" spans="1:1" x14ac:dyDescent="0.25">
      <c r="A161" s="15"/>
    </row>
    <row r="162" spans="1:1" x14ac:dyDescent="0.25">
      <c r="A162" s="15"/>
    </row>
    <row r="163" spans="1:1" x14ac:dyDescent="0.25">
      <c r="A163" s="15"/>
    </row>
    <row r="164" spans="1:1" x14ac:dyDescent="0.25">
      <c r="A164" s="15"/>
    </row>
    <row r="165" spans="1:1" x14ac:dyDescent="0.25">
      <c r="A165" s="15"/>
    </row>
    <row r="166" spans="1:1" x14ac:dyDescent="0.25">
      <c r="A166" s="15"/>
    </row>
    <row r="167" spans="1:1" x14ac:dyDescent="0.25">
      <c r="A167" s="15"/>
    </row>
    <row r="168" spans="1:1" x14ac:dyDescent="0.25">
      <c r="A168" s="15"/>
    </row>
    <row r="169" spans="1:1" x14ac:dyDescent="0.25">
      <c r="A169" s="15"/>
    </row>
    <row r="170" spans="1:1" x14ac:dyDescent="0.25">
      <c r="A170" s="15"/>
    </row>
    <row r="171" spans="1:1" x14ac:dyDescent="0.25">
      <c r="A171" s="15"/>
    </row>
    <row r="172" spans="1:1" x14ac:dyDescent="0.25">
      <c r="A172" s="15"/>
    </row>
    <row r="173" spans="1:1" x14ac:dyDescent="0.25">
      <c r="A173" s="15"/>
    </row>
    <row r="174" spans="1:1" x14ac:dyDescent="0.25">
      <c r="A174" s="15"/>
    </row>
    <row r="175" spans="1:1" x14ac:dyDescent="0.25">
      <c r="A175" s="15"/>
    </row>
    <row r="176" spans="1:1" x14ac:dyDescent="0.25">
      <c r="A176" s="15"/>
    </row>
    <row r="177" spans="1:1" x14ac:dyDescent="0.25">
      <c r="A177" s="15"/>
    </row>
    <row r="178" spans="1:1" x14ac:dyDescent="0.25">
      <c r="A178" s="15"/>
    </row>
    <row r="179" spans="1:1" x14ac:dyDescent="0.25">
      <c r="A179" s="15"/>
    </row>
    <row r="180" spans="1:1" x14ac:dyDescent="0.25">
      <c r="A180" s="15"/>
    </row>
    <row r="181" spans="1:1" x14ac:dyDescent="0.25">
      <c r="A181" s="15"/>
    </row>
    <row r="182" spans="1:1" x14ac:dyDescent="0.25">
      <c r="A182" s="15"/>
    </row>
    <row r="183" spans="1:1" x14ac:dyDescent="0.25">
      <c r="A183" s="15"/>
    </row>
    <row r="184" spans="1:1" x14ac:dyDescent="0.25">
      <c r="A184" s="15"/>
    </row>
    <row r="185" spans="1:1" x14ac:dyDescent="0.25">
      <c r="A185" s="15"/>
    </row>
    <row r="186" spans="1:1" x14ac:dyDescent="0.25">
      <c r="A186" s="15"/>
    </row>
    <row r="187" spans="1:1" x14ac:dyDescent="0.25">
      <c r="A187" s="15"/>
    </row>
    <row r="188" spans="1:1" x14ac:dyDescent="0.25">
      <c r="A188" s="15"/>
    </row>
    <row r="189" spans="1:1" x14ac:dyDescent="0.25">
      <c r="A189" s="15"/>
    </row>
    <row r="190" spans="1:1" x14ac:dyDescent="0.25">
      <c r="A190" s="15"/>
    </row>
    <row r="191" spans="1:1" x14ac:dyDescent="0.25">
      <c r="A191" s="15"/>
    </row>
    <row r="192" spans="1:1" x14ac:dyDescent="0.25">
      <c r="A192" s="15"/>
    </row>
    <row r="193" spans="1:1" x14ac:dyDescent="0.25">
      <c r="A193" s="15"/>
    </row>
    <row r="194" spans="1:1" x14ac:dyDescent="0.25">
      <c r="A194" s="15"/>
    </row>
    <row r="195" spans="1:1" x14ac:dyDescent="0.25">
      <c r="A195" s="15"/>
    </row>
    <row r="196" spans="1:1" x14ac:dyDescent="0.25">
      <c r="A196" s="15"/>
    </row>
    <row r="197" spans="1:1" x14ac:dyDescent="0.25">
      <c r="A197" s="15"/>
    </row>
    <row r="198" spans="1:1" x14ac:dyDescent="0.25">
      <c r="A198" s="15"/>
    </row>
    <row r="199" spans="1:1" x14ac:dyDescent="0.25">
      <c r="A199" s="15"/>
    </row>
    <row r="200" spans="1:1" x14ac:dyDescent="0.25">
      <c r="A200" s="15"/>
    </row>
    <row r="201" spans="1:1" x14ac:dyDescent="0.25">
      <c r="A201" s="15"/>
    </row>
    <row r="202" spans="1:1" x14ac:dyDescent="0.25">
      <c r="A202" s="15"/>
    </row>
    <row r="203" spans="1:1" x14ac:dyDescent="0.25">
      <c r="A203" s="15"/>
    </row>
    <row r="204" spans="1:1" x14ac:dyDescent="0.25">
      <c r="A204" s="15"/>
    </row>
    <row r="205" spans="1:1" x14ac:dyDescent="0.25">
      <c r="A205" s="15"/>
    </row>
    <row r="206" spans="1:1" x14ac:dyDescent="0.25">
      <c r="A206" s="15"/>
    </row>
    <row r="207" spans="1:1" x14ac:dyDescent="0.25">
      <c r="A207" s="15"/>
    </row>
    <row r="208" spans="1:1" x14ac:dyDescent="0.25">
      <c r="A208" s="15"/>
    </row>
    <row r="209" spans="1:1" x14ac:dyDescent="0.25">
      <c r="A209" s="15"/>
    </row>
    <row r="210" spans="1:1" x14ac:dyDescent="0.25">
      <c r="A210" s="15"/>
    </row>
    <row r="211" spans="1:1" x14ac:dyDescent="0.25">
      <c r="A211" s="15"/>
    </row>
    <row r="212" spans="1:1" x14ac:dyDescent="0.25">
      <c r="A212" s="15"/>
    </row>
    <row r="213" spans="1:1" x14ac:dyDescent="0.25">
      <c r="A213" s="15"/>
    </row>
    <row r="214" spans="1:1" x14ac:dyDescent="0.25">
      <c r="A214" s="15"/>
    </row>
    <row r="215" spans="1:1" x14ac:dyDescent="0.25">
      <c r="A215" s="15"/>
    </row>
    <row r="216" spans="1:1" x14ac:dyDescent="0.25">
      <c r="A216" s="15"/>
    </row>
    <row r="217" spans="1:1" x14ac:dyDescent="0.25">
      <c r="A217" s="15"/>
    </row>
    <row r="218" spans="1:1" x14ac:dyDescent="0.25">
      <c r="A218" s="15"/>
    </row>
    <row r="219" spans="1:1" x14ac:dyDescent="0.25">
      <c r="A219" s="15"/>
    </row>
    <row r="220" spans="1:1" x14ac:dyDescent="0.25">
      <c r="A220" s="15"/>
    </row>
    <row r="221" spans="1:1" x14ac:dyDescent="0.25">
      <c r="A221" s="15"/>
    </row>
    <row r="222" spans="1:1" x14ac:dyDescent="0.25">
      <c r="A222" s="15"/>
    </row>
    <row r="223" spans="1:1" x14ac:dyDescent="0.25">
      <c r="A223" s="15"/>
    </row>
    <row r="224" spans="1:1" x14ac:dyDescent="0.25">
      <c r="A224" s="15"/>
    </row>
    <row r="225" spans="1:1" x14ac:dyDescent="0.25">
      <c r="A225" s="15"/>
    </row>
    <row r="226" spans="1:1" x14ac:dyDescent="0.25">
      <c r="A226" s="15"/>
    </row>
    <row r="227" spans="1:1" x14ac:dyDescent="0.25">
      <c r="A227" s="15"/>
    </row>
    <row r="228" spans="1:1" x14ac:dyDescent="0.25">
      <c r="A228" s="15"/>
    </row>
    <row r="229" spans="1:1" x14ac:dyDescent="0.25">
      <c r="A229" s="15"/>
    </row>
    <row r="230" spans="1:1" x14ac:dyDescent="0.25">
      <c r="A230" s="15"/>
    </row>
    <row r="231" spans="1:1" x14ac:dyDescent="0.25">
      <c r="A231" s="15"/>
    </row>
    <row r="232" spans="1:1" x14ac:dyDescent="0.25">
      <c r="A232" s="15"/>
    </row>
    <row r="233" spans="1:1" x14ac:dyDescent="0.25">
      <c r="A233" s="15"/>
    </row>
    <row r="234" spans="1:1" x14ac:dyDescent="0.25">
      <c r="A234" s="15"/>
    </row>
    <row r="235" spans="1:1" x14ac:dyDescent="0.25">
      <c r="A235" s="15"/>
    </row>
    <row r="236" spans="1:1" x14ac:dyDescent="0.25">
      <c r="A236" s="15"/>
    </row>
    <row r="237" spans="1:1" x14ac:dyDescent="0.25">
      <c r="A237" s="15"/>
    </row>
    <row r="238" spans="1:1" x14ac:dyDescent="0.25">
      <c r="A238" s="15"/>
    </row>
    <row r="239" spans="1:1" x14ac:dyDescent="0.25">
      <c r="A239" s="15"/>
    </row>
    <row r="240" spans="1:1" x14ac:dyDescent="0.25">
      <c r="A240" s="15"/>
    </row>
    <row r="241" spans="1:1" x14ac:dyDescent="0.25">
      <c r="A241" s="15"/>
    </row>
    <row r="242" spans="1:1" x14ac:dyDescent="0.25">
      <c r="A242" s="15"/>
    </row>
    <row r="243" spans="1:1" x14ac:dyDescent="0.25">
      <c r="A243" s="15"/>
    </row>
    <row r="244" spans="1:1" x14ac:dyDescent="0.25">
      <c r="A244" s="15"/>
    </row>
    <row r="245" spans="1:1" x14ac:dyDescent="0.25">
      <c r="A245" s="15"/>
    </row>
    <row r="246" spans="1:1" x14ac:dyDescent="0.25">
      <c r="A246" s="15"/>
    </row>
    <row r="247" spans="1:1" x14ac:dyDescent="0.25">
      <c r="A247" s="15"/>
    </row>
    <row r="248" spans="1:1" x14ac:dyDescent="0.25">
      <c r="A248" s="15"/>
    </row>
    <row r="249" spans="1:1" x14ac:dyDescent="0.25">
      <c r="A249" s="15"/>
    </row>
    <row r="250" spans="1:1" x14ac:dyDescent="0.25">
      <c r="A250" s="15"/>
    </row>
    <row r="251" spans="1:1" x14ac:dyDescent="0.25">
      <c r="A251" s="15"/>
    </row>
    <row r="252" spans="1:1" x14ac:dyDescent="0.25">
      <c r="A252" s="15"/>
    </row>
    <row r="253" spans="1:1" x14ac:dyDescent="0.25">
      <c r="A253" s="15"/>
    </row>
    <row r="254" spans="1:1" x14ac:dyDescent="0.25">
      <c r="A254" s="15"/>
    </row>
    <row r="255" spans="1:1" x14ac:dyDescent="0.25">
      <c r="A255" s="15"/>
    </row>
    <row r="256" spans="1:1" x14ac:dyDescent="0.25">
      <c r="A256" s="15"/>
    </row>
    <row r="257" spans="1:1" x14ac:dyDescent="0.25">
      <c r="A257" s="15"/>
    </row>
    <row r="258" spans="1:1" x14ac:dyDescent="0.25">
      <c r="A258" s="15"/>
    </row>
    <row r="259" spans="1:1" x14ac:dyDescent="0.25">
      <c r="A259" s="15"/>
    </row>
    <row r="260" spans="1:1" x14ac:dyDescent="0.25">
      <c r="A260" s="15"/>
    </row>
    <row r="261" spans="1:1" x14ac:dyDescent="0.25">
      <c r="A261" s="15"/>
    </row>
    <row r="262" spans="1:1" x14ac:dyDescent="0.25">
      <c r="A262" s="15"/>
    </row>
    <row r="263" spans="1:1" x14ac:dyDescent="0.25">
      <c r="A263" s="15"/>
    </row>
    <row r="264" spans="1:1" x14ac:dyDescent="0.25">
      <c r="A264" s="15"/>
    </row>
    <row r="265" spans="1:1" x14ac:dyDescent="0.25">
      <c r="A265" s="15"/>
    </row>
    <row r="266" spans="1:1" x14ac:dyDescent="0.25">
      <c r="A266" s="15"/>
    </row>
    <row r="267" spans="1:1" x14ac:dyDescent="0.25">
      <c r="A267" s="15"/>
    </row>
    <row r="268" spans="1:1" x14ac:dyDescent="0.25">
      <c r="A268" s="15"/>
    </row>
    <row r="269" spans="1:1" x14ac:dyDescent="0.25">
      <c r="A269" s="15"/>
    </row>
    <row r="270" spans="1:1" x14ac:dyDescent="0.25">
      <c r="A270" s="15"/>
    </row>
    <row r="271" spans="1:1" x14ac:dyDescent="0.25">
      <c r="A271" s="15"/>
    </row>
    <row r="272" spans="1:1" x14ac:dyDescent="0.25">
      <c r="A272" s="15"/>
    </row>
    <row r="273" spans="1:1" x14ac:dyDescent="0.25">
      <c r="A273" s="15"/>
    </row>
    <row r="274" spans="1:1" x14ac:dyDescent="0.25">
      <c r="A274" s="15"/>
    </row>
    <row r="275" spans="1:1" x14ac:dyDescent="0.25">
      <c r="A275" s="15"/>
    </row>
    <row r="276" spans="1:1" x14ac:dyDescent="0.25">
      <c r="A276" s="15"/>
    </row>
    <row r="277" spans="1:1" x14ac:dyDescent="0.25">
      <c r="A277" s="15"/>
    </row>
    <row r="278" spans="1:1" x14ac:dyDescent="0.25">
      <c r="A278" s="15"/>
    </row>
    <row r="279" spans="1:1" x14ac:dyDescent="0.25">
      <c r="A279" s="15"/>
    </row>
    <row r="280" spans="1:1" x14ac:dyDescent="0.25">
      <c r="A280" s="15"/>
    </row>
    <row r="281" spans="1:1" x14ac:dyDescent="0.25">
      <c r="A281" s="15"/>
    </row>
    <row r="282" spans="1:1" x14ac:dyDescent="0.25">
      <c r="A282" s="15"/>
    </row>
    <row r="283" spans="1:1" x14ac:dyDescent="0.25">
      <c r="A283" s="15"/>
    </row>
    <row r="284" spans="1:1" x14ac:dyDescent="0.25">
      <c r="A284" s="15"/>
    </row>
    <row r="285" spans="1:1" x14ac:dyDescent="0.25">
      <c r="A285" s="15"/>
    </row>
    <row r="286" spans="1:1" x14ac:dyDescent="0.25">
      <c r="A286" s="15"/>
    </row>
    <row r="287" spans="1:1" x14ac:dyDescent="0.25">
      <c r="A287" s="15"/>
    </row>
    <row r="288" spans="1:1" x14ac:dyDescent="0.25">
      <c r="A288" s="15"/>
    </row>
    <row r="289" spans="1:1" x14ac:dyDescent="0.25">
      <c r="A289" s="15"/>
    </row>
    <row r="290" spans="1:1" x14ac:dyDescent="0.25">
      <c r="A290" s="15"/>
    </row>
    <row r="291" spans="1:1" x14ac:dyDescent="0.25">
      <c r="A291" s="15"/>
    </row>
    <row r="292" spans="1:1" x14ac:dyDescent="0.25">
      <c r="A292" s="15"/>
    </row>
    <row r="293" spans="1:1" x14ac:dyDescent="0.25">
      <c r="A293" s="15"/>
    </row>
    <row r="294" spans="1:1" x14ac:dyDescent="0.25">
      <c r="A294" s="15"/>
    </row>
    <row r="295" spans="1:1" x14ac:dyDescent="0.25">
      <c r="A295" s="15"/>
    </row>
    <row r="296" spans="1:1" x14ac:dyDescent="0.25">
      <c r="A296" s="15"/>
    </row>
    <row r="297" spans="1:1" x14ac:dyDescent="0.25">
      <c r="A297" s="15"/>
    </row>
    <row r="298" spans="1:1" x14ac:dyDescent="0.25">
      <c r="A298" s="15"/>
    </row>
    <row r="299" spans="1:1" x14ac:dyDescent="0.25">
      <c r="A299" s="15"/>
    </row>
    <row r="300" spans="1:1" x14ac:dyDescent="0.25">
      <c r="A300" s="15"/>
    </row>
    <row r="301" spans="1:1" x14ac:dyDescent="0.25">
      <c r="A301" s="15"/>
    </row>
    <row r="302" spans="1:1" x14ac:dyDescent="0.25">
      <c r="A302" s="15"/>
    </row>
    <row r="303" spans="1:1" x14ac:dyDescent="0.25">
      <c r="A303" s="15"/>
    </row>
    <row r="304" spans="1:1" x14ac:dyDescent="0.25">
      <c r="A304" s="15"/>
    </row>
    <row r="305" spans="1:1" x14ac:dyDescent="0.25">
      <c r="A305" s="15"/>
    </row>
    <row r="306" spans="1:1" x14ac:dyDescent="0.25">
      <c r="A306" s="15"/>
    </row>
    <row r="307" spans="1:1" x14ac:dyDescent="0.25">
      <c r="A307" s="15"/>
    </row>
    <row r="308" spans="1:1" x14ac:dyDescent="0.25">
      <c r="A308" s="15"/>
    </row>
    <row r="309" spans="1:1" x14ac:dyDescent="0.25">
      <c r="A309" s="15"/>
    </row>
    <row r="310" spans="1:1" x14ac:dyDescent="0.25">
      <c r="A310" s="15"/>
    </row>
    <row r="311" spans="1:1" x14ac:dyDescent="0.25">
      <c r="A311" s="15"/>
    </row>
    <row r="312" spans="1:1" x14ac:dyDescent="0.25">
      <c r="A312" s="15"/>
    </row>
    <row r="313" spans="1:1" x14ac:dyDescent="0.25">
      <c r="A313" s="15"/>
    </row>
    <row r="314" spans="1:1" x14ac:dyDescent="0.25">
      <c r="A314" s="15"/>
    </row>
    <row r="315" spans="1:1" x14ac:dyDescent="0.25">
      <c r="A315" s="15"/>
    </row>
    <row r="316" spans="1:1" x14ac:dyDescent="0.25">
      <c r="A316" s="15"/>
    </row>
    <row r="317" spans="1:1" x14ac:dyDescent="0.25">
      <c r="A317" s="15"/>
    </row>
    <row r="318" spans="1:1" x14ac:dyDescent="0.25">
      <c r="A318" s="15"/>
    </row>
    <row r="319" spans="1:1" x14ac:dyDescent="0.25">
      <c r="A319" s="15"/>
    </row>
    <row r="320" spans="1:1" x14ac:dyDescent="0.25">
      <c r="A320" s="15"/>
    </row>
    <row r="321" spans="1:1" x14ac:dyDescent="0.25">
      <c r="A321" s="15"/>
    </row>
    <row r="322" spans="1:1" x14ac:dyDescent="0.25">
      <c r="A322" s="15"/>
    </row>
    <row r="323" spans="1:1" x14ac:dyDescent="0.25">
      <c r="A323" s="15"/>
    </row>
    <row r="324" spans="1:1" x14ac:dyDescent="0.25">
      <c r="A324" s="15"/>
    </row>
    <row r="325" spans="1:1" x14ac:dyDescent="0.25">
      <c r="A325" s="15"/>
    </row>
    <row r="326" spans="1:1" x14ac:dyDescent="0.25">
      <c r="A326" s="15"/>
    </row>
    <row r="327" spans="1:1" x14ac:dyDescent="0.25">
      <c r="A327" s="15"/>
    </row>
    <row r="328" spans="1:1" x14ac:dyDescent="0.25">
      <c r="A328" s="15"/>
    </row>
    <row r="329" spans="1:1" x14ac:dyDescent="0.25">
      <c r="A329" s="15"/>
    </row>
    <row r="330" spans="1:1" x14ac:dyDescent="0.25">
      <c r="A330" s="15"/>
    </row>
    <row r="331" spans="1:1" x14ac:dyDescent="0.25">
      <c r="A331" s="15"/>
    </row>
    <row r="332" spans="1:1" x14ac:dyDescent="0.25">
      <c r="A332" s="15"/>
    </row>
    <row r="333" spans="1:1" x14ac:dyDescent="0.25">
      <c r="A333" s="15"/>
    </row>
    <row r="334" spans="1:1" x14ac:dyDescent="0.25">
      <c r="A334" s="15"/>
    </row>
    <row r="335" spans="1:1" x14ac:dyDescent="0.25">
      <c r="A335" s="15"/>
    </row>
    <row r="336" spans="1:1" x14ac:dyDescent="0.25">
      <c r="A336" s="15"/>
    </row>
    <row r="337" spans="1:1" x14ac:dyDescent="0.25">
      <c r="A337" s="15"/>
    </row>
    <row r="338" spans="1:1" x14ac:dyDescent="0.25">
      <c r="A338" s="15"/>
    </row>
    <row r="339" spans="1:1" x14ac:dyDescent="0.25">
      <c r="A339" s="15"/>
    </row>
    <row r="340" spans="1:1" x14ac:dyDescent="0.25">
      <c r="A340" s="15"/>
    </row>
    <row r="341" spans="1:1" x14ac:dyDescent="0.25">
      <c r="A341" s="15"/>
    </row>
    <row r="342" spans="1:1" x14ac:dyDescent="0.25">
      <c r="A342" s="15"/>
    </row>
    <row r="343" spans="1:1" x14ac:dyDescent="0.25">
      <c r="A343" s="15"/>
    </row>
    <row r="344" spans="1:1" x14ac:dyDescent="0.25">
      <c r="A344" s="15"/>
    </row>
    <row r="345" spans="1:1" x14ac:dyDescent="0.25">
      <c r="A345" s="15"/>
    </row>
    <row r="346" spans="1:1" x14ac:dyDescent="0.25">
      <c r="A346" s="15"/>
    </row>
    <row r="347" spans="1:1" x14ac:dyDescent="0.25">
      <c r="A347" s="15"/>
    </row>
    <row r="348" spans="1:1" x14ac:dyDescent="0.25">
      <c r="A348" s="15"/>
    </row>
    <row r="349" spans="1:1" x14ac:dyDescent="0.25">
      <c r="A349" s="15"/>
    </row>
    <row r="350" spans="1:1" x14ac:dyDescent="0.25">
      <c r="A350" s="15"/>
    </row>
    <row r="351" spans="1:1" x14ac:dyDescent="0.25">
      <c r="A351" s="15"/>
    </row>
    <row r="352" spans="1:1" x14ac:dyDescent="0.25">
      <c r="A352" s="15"/>
    </row>
    <row r="353" spans="1:1" x14ac:dyDescent="0.25">
      <c r="A353" s="15"/>
    </row>
    <row r="354" spans="1:1" x14ac:dyDescent="0.25">
      <c r="A354" s="15"/>
    </row>
    <row r="355" spans="1:1" x14ac:dyDescent="0.25">
      <c r="A355" s="15"/>
    </row>
    <row r="356" spans="1:1" x14ac:dyDescent="0.25">
      <c r="A356" s="15"/>
    </row>
    <row r="357" spans="1:1" x14ac:dyDescent="0.25">
      <c r="A357" s="15"/>
    </row>
    <row r="358" spans="1:1" x14ac:dyDescent="0.25">
      <c r="A358" s="15"/>
    </row>
    <row r="359" spans="1:1" x14ac:dyDescent="0.25">
      <c r="A359" s="15"/>
    </row>
    <row r="360" spans="1:1" x14ac:dyDescent="0.25">
      <c r="A360" s="15"/>
    </row>
    <row r="361" spans="1:1" x14ac:dyDescent="0.25">
      <c r="A361" s="15"/>
    </row>
    <row r="362" spans="1:1" x14ac:dyDescent="0.25">
      <c r="A362" s="15"/>
    </row>
    <row r="363" spans="1:1" x14ac:dyDescent="0.25">
      <c r="A363" s="15"/>
    </row>
    <row r="364" spans="1:1" x14ac:dyDescent="0.25">
      <c r="A364" s="15"/>
    </row>
    <row r="365" spans="1:1" x14ac:dyDescent="0.25">
      <c r="A365" s="15"/>
    </row>
    <row r="366" spans="1:1" x14ac:dyDescent="0.25">
      <c r="A366" s="15"/>
    </row>
    <row r="367" spans="1:1" x14ac:dyDescent="0.25">
      <c r="A367" s="15"/>
    </row>
    <row r="368" spans="1:1" x14ac:dyDescent="0.25">
      <c r="A368" s="15"/>
    </row>
    <row r="369" spans="1:1" x14ac:dyDescent="0.25">
      <c r="A369" s="15"/>
    </row>
    <row r="370" spans="1:1" x14ac:dyDescent="0.25">
      <c r="A370" s="15"/>
    </row>
    <row r="371" spans="1:1" x14ac:dyDescent="0.25">
      <c r="A371" s="15"/>
    </row>
    <row r="372" spans="1:1" x14ac:dyDescent="0.25">
      <c r="A372" s="15"/>
    </row>
    <row r="373" spans="1:1" x14ac:dyDescent="0.25">
      <c r="A373" s="15"/>
    </row>
    <row r="374" spans="1:1" x14ac:dyDescent="0.25">
      <c r="A374" s="15"/>
    </row>
    <row r="375" spans="1:1" x14ac:dyDescent="0.25">
      <c r="A375" s="15"/>
    </row>
    <row r="376" spans="1:1" x14ac:dyDescent="0.25">
      <c r="A376" s="15"/>
    </row>
    <row r="377" spans="1:1" x14ac:dyDescent="0.25">
      <c r="A377" s="15"/>
    </row>
    <row r="378" spans="1:1" x14ac:dyDescent="0.25">
      <c r="A378" s="15"/>
    </row>
    <row r="379" spans="1:1" x14ac:dyDescent="0.25">
      <c r="A379" s="15"/>
    </row>
    <row r="380" spans="1:1" x14ac:dyDescent="0.25">
      <c r="A380" s="15"/>
    </row>
    <row r="381" spans="1:1" x14ac:dyDescent="0.25">
      <c r="A381" s="15"/>
    </row>
    <row r="382" spans="1:1" x14ac:dyDescent="0.25">
      <c r="A382" s="15"/>
    </row>
    <row r="383" spans="1:1" x14ac:dyDescent="0.25">
      <c r="A383" s="15"/>
    </row>
    <row r="384" spans="1:1" x14ac:dyDescent="0.25">
      <c r="A384" s="15"/>
    </row>
    <row r="385" spans="1:1" x14ac:dyDescent="0.25">
      <c r="A385" s="15"/>
    </row>
    <row r="386" spans="1:1" x14ac:dyDescent="0.25">
      <c r="A386" s="15"/>
    </row>
    <row r="387" spans="1:1" x14ac:dyDescent="0.25">
      <c r="A387" s="15"/>
    </row>
    <row r="388" spans="1:1" x14ac:dyDescent="0.25">
      <c r="A388" s="15"/>
    </row>
    <row r="389" spans="1:1" x14ac:dyDescent="0.25">
      <c r="A389" s="15"/>
    </row>
    <row r="390" spans="1:1" x14ac:dyDescent="0.25">
      <c r="A390" s="15"/>
    </row>
    <row r="391" spans="1:1" x14ac:dyDescent="0.25">
      <c r="A391" s="15"/>
    </row>
    <row r="392" spans="1:1" x14ac:dyDescent="0.25">
      <c r="A392" s="15"/>
    </row>
    <row r="393" spans="1:1" x14ac:dyDescent="0.25">
      <c r="A393" s="15"/>
    </row>
    <row r="394" spans="1:1" x14ac:dyDescent="0.25">
      <c r="A394" s="15"/>
    </row>
    <row r="395" spans="1:1" x14ac:dyDescent="0.25">
      <c r="A395" s="15"/>
    </row>
    <row r="396" spans="1:1" x14ac:dyDescent="0.25">
      <c r="A396" s="15"/>
    </row>
    <row r="397" spans="1:1" x14ac:dyDescent="0.25">
      <c r="A397" s="15"/>
    </row>
    <row r="398" spans="1:1" x14ac:dyDescent="0.25">
      <c r="A398" s="15"/>
    </row>
    <row r="399" spans="1:1" x14ac:dyDescent="0.25">
      <c r="A399" s="15"/>
    </row>
    <row r="400" spans="1:1" x14ac:dyDescent="0.25">
      <c r="A400" s="15"/>
    </row>
    <row r="401" spans="1:1" x14ac:dyDescent="0.25">
      <c r="A401" s="15"/>
    </row>
    <row r="402" spans="1:1" x14ac:dyDescent="0.25">
      <c r="A402" s="15"/>
    </row>
    <row r="403" spans="1:1" x14ac:dyDescent="0.25">
      <c r="A403" s="15"/>
    </row>
    <row r="404" spans="1:1" x14ac:dyDescent="0.25">
      <c r="A404" s="15"/>
    </row>
    <row r="405" spans="1:1" x14ac:dyDescent="0.25">
      <c r="A405" s="15"/>
    </row>
    <row r="406" spans="1:1" x14ac:dyDescent="0.25">
      <c r="A406" s="15"/>
    </row>
    <row r="407" spans="1:1" x14ac:dyDescent="0.25">
      <c r="A407" s="15"/>
    </row>
    <row r="408" spans="1:1" x14ac:dyDescent="0.25">
      <c r="A408" s="15"/>
    </row>
    <row r="409" spans="1:1" x14ac:dyDescent="0.25">
      <c r="A409" s="15"/>
    </row>
    <row r="410" spans="1:1" x14ac:dyDescent="0.25">
      <c r="A410" s="15"/>
    </row>
    <row r="411" spans="1:1" x14ac:dyDescent="0.25">
      <c r="A411" s="15"/>
    </row>
    <row r="412" spans="1:1" x14ac:dyDescent="0.25">
      <c r="A412" s="15"/>
    </row>
    <row r="413" spans="1:1" x14ac:dyDescent="0.25">
      <c r="A413" s="15"/>
    </row>
    <row r="414" spans="1:1" x14ac:dyDescent="0.25">
      <c r="A414" s="15"/>
    </row>
    <row r="415" spans="1:1" x14ac:dyDescent="0.25">
      <c r="A415" s="15"/>
    </row>
    <row r="416" spans="1:1" x14ac:dyDescent="0.25">
      <c r="A416" s="15"/>
    </row>
    <row r="417" spans="1:1" x14ac:dyDescent="0.25">
      <c r="A417" s="15"/>
    </row>
    <row r="418" spans="1:1" x14ac:dyDescent="0.25">
      <c r="A418" s="15"/>
    </row>
    <row r="419" spans="1:1" x14ac:dyDescent="0.25">
      <c r="A419" s="15"/>
    </row>
    <row r="420" spans="1:1" x14ac:dyDescent="0.25">
      <c r="A420" s="15"/>
    </row>
    <row r="421" spans="1:1" x14ac:dyDescent="0.25">
      <c r="A421" s="15"/>
    </row>
    <row r="422" spans="1:1" x14ac:dyDescent="0.25">
      <c r="A422" s="15"/>
    </row>
    <row r="423" spans="1:1" x14ac:dyDescent="0.25">
      <c r="A423" s="15"/>
    </row>
    <row r="424" spans="1:1" x14ac:dyDescent="0.25">
      <c r="A424" s="15"/>
    </row>
    <row r="425" spans="1:1" x14ac:dyDescent="0.25">
      <c r="A425" s="15"/>
    </row>
    <row r="426" spans="1:1" x14ac:dyDescent="0.25">
      <c r="A426" s="15"/>
    </row>
    <row r="427" spans="1:1" x14ac:dyDescent="0.25">
      <c r="A427" s="15"/>
    </row>
    <row r="428" spans="1:1" x14ac:dyDescent="0.25">
      <c r="A428" s="15"/>
    </row>
    <row r="429" spans="1:1" x14ac:dyDescent="0.25">
      <c r="A429" s="15"/>
    </row>
    <row r="430" spans="1:1" x14ac:dyDescent="0.25">
      <c r="A430" s="15"/>
    </row>
    <row r="431" spans="1:1" x14ac:dyDescent="0.25">
      <c r="A431" s="15"/>
    </row>
    <row r="432" spans="1:1" x14ac:dyDescent="0.25">
      <c r="A432" s="15"/>
    </row>
    <row r="433" spans="1:1" x14ac:dyDescent="0.25">
      <c r="A433" s="15"/>
    </row>
    <row r="434" spans="1:1" x14ac:dyDescent="0.25">
      <c r="A434" s="15"/>
    </row>
    <row r="435" spans="1:1" x14ac:dyDescent="0.25">
      <c r="A435" s="15"/>
    </row>
    <row r="436" spans="1:1" x14ac:dyDescent="0.25">
      <c r="A436" s="15"/>
    </row>
    <row r="437" spans="1:1" x14ac:dyDescent="0.25">
      <c r="A437" s="15"/>
    </row>
    <row r="438" spans="1:1" x14ac:dyDescent="0.25">
      <c r="A438" s="15"/>
    </row>
    <row r="439" spans="1:1" x14ac:dyDescent="0.25">
      <c r="A439" s="15"/>
    </row>
    <row r="440" spans="1:1" x14ac:dyDescent="0.25">
      <c r="A440" s="15"/>
    </row>
    <row r="441" spans="1:1" x14ac:dyDescent="0.25">
      <c r="A441" s="15"/>
    </row>
    <row r="442" spans="1:1" x14ac:dyDescent="0.25">
      <c r="A442" s="15"/>
    </row>
    <row r="443" spans="1:1" x14ac:dyDescent="0.25">
      <c r="A443" s="15"/>
    </row>
    <row r="444" spans="1:1" x14ac:dyDescent="0.25">
      <c r="A444" s="15"/>
    </row>
    <row r="445" spans="1:1" x14ac:dyDescent="0.25">
      <c r="A445" s="15"/>
    </row>
    <row r="446" spans="1:1" x14ac:dyDescent="0.25">
      <c r="A446" s="15"/>
    </row>
    <row r="447" spans="1:1" x14ac:dyDescent="0.25">
      <c r="A447" s="15"/>
    </row>
    <row r="448" spans="1:1" x14ac:dyDescent="0.25">
      <c r="A448" s="15"/>
    </row>
    <row r="449" spans="1:1" x14ac:dyDescent="0.25">
      <c r="A449" s="15"/>
    </row>
    <row r="450" spans="1:1" x14ac:dyDescent="0.25">
      <c r="A450" s="15"/>
    </row>
    <row r="451" spans="1:1" x14ac:dyDescent="0.25">
      <c r="A451" s="15"/>
    </row>
    <row r="452" spans="1:1" x14ac:dyDescent="0.25">
      <c r="A452" s="15"/>
    </row>
    <row r="453" spans="1:1" x14ac:dyDescent="0.25">
      <c r="A453" s="15"/>
    </row>
    <row r="454" spans="1:1" x14ac:dyDescent="0.25">
      <c r="A454" s="15"/>
    </row>
    <row r="455" spans="1:1" x14ac:dyDescent="0.25">
      <c r="A455" s="15"/>
    </row>
    <row r="456" spans="1:1" x14ac:dyDescent="0.25">
      <c r="A456" s="15"/>
    </row>
    <row r="457" spans="1:1" x14ac:dyDescent="0.25">
      <c r="A457" s="15"/>
    </row>
    <row r="458" spans="1:1" x14ac:dyDescent="0.25">
      <c r="A458" s="15"/>
    </row>
    <row r="459" spans="1:1" x14ac:dyDescent="0.25">
      <c r="A459" s="15"/>
    </row>
    <row r="460" spans="1:1" x14ac:dyDescent="0.25">
      <c r="A460" s="15"/>
    </row>
    <row r="461" spans="1:1" x14ac:dyDescent="0.25">
      <c r="A461" s="15"/>
    </row>
    <row r="462" spans="1:1" x14ac:dyDescent="0.25">
      <c r="A462" s="15"/>
    </row>
    <row r="463" spans="1:1" x14ac:dyDescent="0.25">
      <c r="A463" s="15"/>
    </row>
    <row r="464" spans="1:1" x14ac:dyDescent="0.25">
      <c r="A464" s="15"/>
    </row>
    <row r="465" spans="1:1" x14ac:dyDescent="0.25">
      <c r="A465" s="15"/>
    </row>
    <row r="466" spans="1:1" x14ac:dyDescent="0.25">
      <c r="A466" s="15"/>
    </row>
    <row r="467" spans="1:1" x14ac:dyDescent="0.25">
      <c r="A467" s="15"/>
    </row>
    <row r="468" spans="1:1" x14ac:dyDescent="0.25">
      <c r="A468" s="15"/>
    </row>
    <row r="469" spans="1:1" x14ac:dyDescent="0.25">
      <c r="A469" s="15"/>
    </row>
    <row r="470" spans="1:1" x14ac:dyDescent="0.25">
      <c r="A470" s="15"/>
    </row>
    <row r="471" spans="1:1" x14ac:dyDescent="0.25">
      <c r="A471" s="15"/>
    </row>
    <row r="472" spans="1:1" x14ac:dyDescent="0.25">
      <c r="A472" s="15"/>
    </row>
    <row r="473" spans="1:1" x14ac:dyDescent="0.25">
      <c r="A473" s="15"/>
    </row>
    <row r="474" spans="1:1" x14ac:dyDescent="0.25">
      <c r="A474" s="15"/>
    </row>
    <row r="475" spans="1:1" x14ac:dyDescent="0.25">
      <c r="A475" s="15"/>
    </row>
    <row r="476" spans="1:1" x14ac:dyDescent="0.25">
      <c r="A476" s="15"/>
    </row>
    <row r="477" spans="1:1" x14ac:dyDescent="0.25">
      <c r="A477" s="15"/>
    </row>
    <row r="478" spans="1:1" x14ac:dyDescent="0.25">
      <c r="A478" s="15"/>
    </row>
    <row r="479" spans="1:1" x14ac:dyDescent="0.25">
      <c r="A479" s="15"/>
    </row>
    <row r="480" spans="1:1" x14ac:dyDescent="0.25">
      <c r="A480" s="15"/>
    </row>
    <row r="481" spans="1:1" x14ac:dyDescent="0.25">
      <c r="A481" s="15"/>
    </row>
    <row r="482" spans="1:1" x14ac:dyDescent="0.25">
      <c r="A482" s="15"/>
    </row>
    <row r="483" spans="1:1" x14ac:dyDescent="0.25">
      <c r="A483" s="15"/>
    </row>
    <row r="484" spans="1:1" x14ac:dyDescent="0.25">
      <c r="A484" s="15"/>
    </row>
    <row r="485" spans="1:1" x14ac:dyDescent="0.25">
      <c r="A485" s="15"/>
    </row>
    <row r="486" spans="1:1" x14ac:dyDescent="0.25">
      <c r="A486" s="15"/>
    </row>
    <row r="487" spans="1:1" x14ac:dyDescent="0.25">
      <c r="A487" s="15"/>
    </row>
    <row r="488" spans="1:1" x14ac:dyDescent="0.25">
      <c r="A488" s="15"/>
    </row>
    <row r="489" spans="1:1" x14ac:dyDescent="0.25">
      <c r="A489" s="15"/>
    </row>
    <row r="490" spans="1:1" x14ac:dyDescent="0.25">
      <c r="A490" s="15"/>
    </row>
    <row r="491" spans="1:1" x14ac:dyDescent="0.25">
      <c r="A491" s="15"/>
    </row>
    <row r="492" spans="1:1" x14ac:dyDescent="0.25">
      <c r="A492" s="15"/>
    </row>
    <row r="493" spans="1:1" x14ac:dyDescent="0.25">
      <c r="A493" s="15"/>
    </row>
    <row r="494" spans="1:1" x14ac:dyDescent="0.25">
      <c r="A494" s="15"/>
    </row>
    <row r="495" spans="1:1" x14ac:dyDescent="0.25">
      <c r="A495" s="15"/>
    </row>
    <row r="496" spans="1:1" x14ac:dyDescent="0.25">
      <c r="A496" s="15"/>
    </row>
    <row r="497" spans="1:1" x14ac:dyDescent="0.25">
      <c r="A497" s="15"/>
    </row>
    <row r="498" spans="1:1" x14ac:dyDescent="0.25">
      <c r="A498" s="15"/>
    </row>
    <row r="499" spans="1:1" x14ac:dyDescent="0.25">
      <c r="A499" s="15"/>
    </row>
    <row r="500" spans="1:1" x14ac:dyDescent="0.25">
      <c r="A500" s="15"/>
    </row>
    <row r="501" spans="1:1" x14ac:dyDescent="0.25">
      <c r="A501" s="15"/>
    </row>
    <row r="502" spans="1:1" x14ac:dyDescent="0.25">
      <c r="A502" s="15"/>
    </row>
    <row r="503" spans="1:1" x14ac:dyDescent="0.25">
      <c r="A503" s="15"/>
    </row>
    <row r="504" spans="1:1" x14ac:dyDescent="0.25">
      <c r="A504" s="15"/>
    </row>
    <row r="505" spans="1:1" x14ac:dyDescent="0.25">
      <c r="A505" s="15"/>
    </row>
    <row r="506" spans="1:1" x14ac:dyDescent="0.25">
      <c r="A506" s="15"/>
    </row>
    <row r="507" spans="1:1" x14ac:dyDescent="0.25">
      <c r="A507" s="15"/>
    </row>
    <row r="508" spans="1:1" x14ac:dyDescent="0.25">
      <c r="A508" s="15"/>
    </row>
    <row r="509" spans="1:1" x14ac:dyDescent="0.25">
      <c r="A509" s="15"/>
    </row>
    <row r="510" spans="1:1" x14ac:dyDescent="0.25">
      <c r="A510" s="15"/>
    </row>
    <row r="511" spans="1:1" x14ac:dyDescent="0.25">
      <c r="A511" s="15"/>
    </row>
    <row r="512" spans="1:1" x14ac:dyDescent="0.25">
      <c r="A512" s="15"/>
    </row>
    <row r="513" spans="1:1" x14ac:dyDescent="0.25">
      <c r="A513" s="15"/>
    </row>
    <row r="514" spans="1:1" x14ac:dyDescent="0.25">
      <c r="A514" s="15"/>
    </row>
    <row r="515" spans="1:1" x14ac:dyDescent="0.25">
      <c r="A515" s="15"/>
    </row>
    <row r="516" spans="1:1" x14ac:dyDescent="0.25">
      <c r="A516" s="15"/>
    </row>
    <row r="517" spans="1:1" x14ac:dyDescent="0.25">
      <c r="A517" s="15"/>
    </row>
    <row r="518" spans="1:1" x14ac:dyDescent="0.25">
      <c r="A518" s="15"/>
    </row>
    <row r="519" spans="1:1" x14ac:dyDescent="0.25">
      <c r="A519" s="15"/>
    </row>
    <row r="520" spans="1:1" x14ac:dyDescent="0.25">
      <c r="A520" s="15"/>
    </row>
    <row r="521" spans="1:1" x14ac:dyDescent="0.25">
      <c r="A521" s="15"/>
    </row>
    <row r="522" spans="1:1" x14ac:dyDescent="0.25">
      <c r="A522" s="15"/>
    </row>
    <row r="523" spans="1:1" x14ac:dyDescent="0.25">
      <c r="A523" s="15"/>
    </row>
    <row r="524" spans="1:1" x14ac:dyDescent="0.25">
      <c r="A524" s="15"/>
    </row>
    <row r="525" spans="1:1" x14ac:dyDescent="0.25">
      <c r="A525" s="15"/>
    </row>
    <row r="526" spans="1:1" x14ac:dyDescent="0.25">
      <c r="A526" s="15"/>
    </row>
    <row r="527" spans="1:1" x14ac:dyDescent="0.25">
      <c r="A527" s="15"/>
    </row>
    <row r="528" spans="1:1" x14ac:dyDescent="0.25">
      <c r="A528" s="15"/>
    </row>
    <row r="529" spans="1:1" x14ac:dyDescent="0.25">
      <c r="A529" s="15"/>
    </row>
    <row r="530" spans="1:1" x14ac:dyDescent="0.25">
      <c r="A530" s="15"/>
    </row>
    <row r="531" spans="1:1" x14ac:dyDescent="0.25">
      <c r="A531" s="15"/>
    </row>
    <row r="532" spans="1:1" x14ac:dyDescent="0.25">
      <c r="A532" s="15"/>
    </row>
    <row r="533" spans="1:1" x14ac:dyDescent="0.25">
      <c r="A533" s="15"/>
    </row>
    <row r="534" spans="1:1" x14ac:dyDescent="0.25">
      <c r="A534" s="15"/>
    </row>
    <row r="535" spans="1:1" x14ac:dyDescent="0.25">
      <c r="A535" s="15"/>
    </row>
    <row r="536" spans="1:1" x14ac:dyDescent="0.25">
      <c r="A536" s="15"/>
    </row>
    <row r="537" spans="1:1" x14ac:dyDescent="0.25">
      <c r="A537" s="15"/>
    </row>
    <row r="538" spans="1:1" x14ac:dyDescent="0.25">
      <c r="A538" s="15"/>
    </row>
    <row r="539" spans="1:1" x14ac:dyDescent="0.25">
      <c r="A539" s="15"/>
    </row>
    <row r="540" spans="1:1" x14ac:dyDescent="0.25">
      <c r="A540" s="15"/>
    </row>
    <row r="541" spans="1:1" x14ac:dyDescent="0.25">
      <c r="A541" s="15"/>
    </row>
    <row r="542" spans="1:1" x14ac:dyDescent="0.25">
      <c r="A542" s="15"/>
    </row>
    <row r="543" spans="1:1" x14ac:dyDescent="0.25">
      <c r="A543" s="15"/>
    </row>
    <row r="544" spans="1:1" x14ac:dyDescent="0.25">
      <c r="A544" s="15"/>
    </row>
    <row r="545" spans="1:1" x14ac:dyDescent="0.25">
      <c r="A545" s="15"/>
    </row>
    <row r="546" spans="1:1" x14ac:dyDescent="0.25">
      <c r="A546" s="15"/>
    </row>
    <row r="547" spans="1:1" x14ac:dyDescent="0.25">
      <c r="A547" s="15"/>
    </row>
    <row r="548" spans="1:1" x14ac:dyDescent="0.25">
      <c r="A548" s="15"/>
    </row>
    <row r="549" spans="1:1" x14ac:dyDescent="0.25">
      <c r="A549" s="15"/>
    </row>
    <row r="550" spans="1:1" x14ac:dyDescent="0.25">
      <c r="A550" s="15"/>
    </row>
    <row r="551" spans="1:1" x14ac:dyDescent="0.25">
      <c r="A551" s="15"/>
    </row>
    <row r="552" spans="1:1" x14ac:dyDescent="0.25">
      <c r="A552" s="15"/>
    </row>
    <row r="553" spans="1:1" x14ac:dyDescent="0.25">
      <c r="A553" s="15"/>
    </row>
    <row r="554" spans="1:1" x14ac:dyDescent="0.25">
      <c r="A554" s="15"/>
    </row>
    <row r="555" spans="1:1" x14ac:dyDescent="0.25">
      <c r="A555" s="15"/>
    </row>
    <row r="556" spans="1:1" x14ac:dyDescent="0.25">
      <c r="A556" s="15"/>
    </row>
    <row r="557" spans="1:1" x14ac:dyDescent="0.25">
      <c r="A557" s="15"/>
    </row>
    <row r="558" spans="1:1" x14ac:dyDescent="0.25">
      <c r="A558" s="15"/>
    </row>
    <row r="559" spans="1:1" x14ac:dyDescent="0.25">
      <c r="A559" s="15"/>
    </row>
    <row r="560" spans="1:1" x14ac:dyDescent="0.25">
      <c r="A560" s="15"/>
    </row>
    <row r="561" spans="1:1" x14ac:dyDescent="0.25">
      <c r="A561" s="15"/>
    </row>
    <row r="562" spans="1:1" x14ac:dyDescent="0.25">
      <c r="A562" s="15"/>
    </row>
    <row r="563" spans="1:1" x14ac:dyDescent="0.25">
      <c r="A563" s="15"/>
    </row>
    <row r="564" spans="1:1" x14ac:dyDescent="0.25">
      <c r="A564" s="15"/>
    </row>
    <row r="565" spans="1:1" x14ac:dyDescent="0.25">
      <c r="A565" s="15"/>
    </row>
    <row r="566" spans="1:1" x14ac:dyDescent="0.25">
      <c r="A566" s="15"/>
    </row>
    <row r="567" spans="1:1" x14ac:dyDescent="0.25">
      <c r="A567" s="15"/>
    </row>
    <row r="568" spans="1:1" x14ac:dyDescent="0.25">
      <c r="A568" s="15"/>
    </row>
    <row r="569" spans="1:1" x14ac:dyDescent="0.25">
      <c r="A569" s="15"/>
    </row>
    <row r="570" spans="1:1" x14ac:dyDescent="0.25">
      <c r="A570" s="15"/>
    </row>
    <row r="571" spans="1:1" x14ac:dyDescent="0.25">
      <c r="A571" s="15"/>
    </row>
    <row r="572" spans="1:1" x14ac:dyDescent="0.25">
      <c r="A572" s="15"/>
    </row>
    <row r="573" spans="1:1" x14ac:dyDescent="0.25">
      <c r="A573" s="15"/>
    </row>
    <row r="574" spans="1:1" x14ac:dyDescent="0.25">
      <c r="A574" s="15"/>
    </row>
    <row r="575" spans="1:1" x14ac:dyDescent="0.25">
      <c r="A575" s="15"/>
    </row>
    <row r="576" spans="1:1" x14ac:dyDescent="0.25">
      <c r="A576" s="15"/>
    </row>
    <row r="577" spans="1:1" x14ac:dyDescent="0.25">
      <c r="A577" s="15"/>
    </row>
    <row r="578" spans="1:1" x14ac:dyDescent="0.25">
      <c r="A578" s="15"/>
    </row>
    <row r="579" spans="1:1" x14ac:dyDescent="0.25">
      <c r="A579" s="15"/>
    </row>
    <row r="580" spans="1:1" x14ac:dyDescent="0.25">
      <c r="A580" s="15"/>
    </row>
    <row r="581" spans="1:1" x14ac:dyDescent="0.25">
      <c r="A581" s="15"/>
    </row>
    <row r="582" spans="1:1" x14ac:dyDescent="0.25">
      <c r="A582" s="15"/>
    </row>
    <row r="583" spans="1:1" x14ac:dyDescent="0.25">
      <c r="A583" s="15"/>
    </row>
    <row r="584" spans="1:1" x14ac:dyDescent="0.25">
      <c r="A584" s="15"/>
    </row>
    <row r="585" spans="1:1" x14ac:dyDescent="0.25">
      <c r="A585" s="15"/>
    </row>
    <row r="586" spans="1:1" x14ac:dyDescent="0.25">
      <c r="A586" s="15"/>
    </row>
    <row r="587" spans="1:1" x14ac:dyDescent="0.25">
      <c r="A587" s="15"/>
    </row>
    <row r="588" spans="1:1" x14ac:dyDescent="0.25">
      <c r="A588" s="15"/>
    </row>
    <row r="589" spans="1:1" x14ac:dyDescent="0.25">
      <c r="A589" s="15"/>
    </row>
    <row r="590" spans="1:1" x14ac:dyDescent="0.25">
      <c r="A590" s="15"/>
    </row>
    <row r="591" spans="1:1" x14ac:dyDescent="0.25">
      <c r="A591" s="15"/>
    </row>
    <row r="592" spans="1:1" x14ac:dyDescent="0.25">
      <c r="A592" s="15"/>
    </row>
    <row r="593" spans="1:1" x14ac:dyDescent="0.25">
      <c r="A593" s="15"/>
    </row>
    <row r="594" spans="1:1" x14ac:dyDescent="0.25">
      <c r="A594" s="15"/>
    </row>
    <row r="595" spans="1:1" x14ac:dyDescent="0.25">
      <c r="A595" s="15"/>
    </row>
    <row r="596" spans="1:1" x14ac:dyDescent="0.25">
      <c r="A596" s="15"/>
    </row>
    <row r="597" spans="1:1" x14ac:dyDescent="0.25">
      <c r="A597" s="15"/>
    </row>
    <row r="598" spans="1:1" x14ac:dyDescent="0.25">
      <c r="A598" s="15"/>
    </row>
    <row r="599" spans="1:1" x14ac:dyDescent="0.25">
      <c r="A599" s="15"/>
    </row>
    <row r="600" spans="1:1" x14ac:dyDescent="0.25">
      <c r="A600" s="15"/>
    </row>
    <row r="601" spans="1:1" x14ac:dyDescent="0.25">
      <c r="A601" s="15"/>
    </row>
    <row r="602" spans="1:1" x14ac:dyDescent="0.25">
      <c r="A602" s="15"/>
    </row>
    <row r="603" spans="1:1" x14ac:dyDescent="0.25">
      <c r="A603" s="15"/>
    </row>
    <row r="604" spans="1:1" x14ac:dyDescent="0.25">
      <c r="A604" s="15"/>
    </row>
    <row r="605" spans="1:1" x14ac:dyDescent="0.25">
      <c r="A605" s="15"/>
    </row>
    <row r="606" spans="1:1" x14ac:dyDescent="0.25">
      <c r="A606" s="15"/>
    </row>
    <row r="607" spans="1:1" x14ac:dyDescent="0.25">
      <c r="A607" s="15"/>
    </row>
    <row r="608" spans="1:1" x14ac:dyDescent="0.25">
      <c r="A608" s="15"/>
    </row>
    <row r="609" spans="1:1" x14ac:dyDescent="0.25">
      <c r="A609" s="15"/>
    </row>
    <row r="610" spans="1:1" x14ac:dyDescent="0.25">
      <c r="A610" s="15"/>
    </row>
    <row r="611" spans="1:1" x14ac:dyDescent="0.25">
      <c r="A611" s="15"/>
    </row>
    <row r="612" spans="1:1" x14ac:dyDescent="0.25">
      <c r="A612" s="15"/>
    </row>
    <row r="613" spans="1:1" x14ac:dyDescent="0.25">
      <c r="A613" s="15"/>
    </row>
    <row r="614" spans="1:1" x14ac:dyDescent="0.25">
      <c r="A614" s="15"/>
    </row>
    <row r="615" spans="1:1" x14ac:dyDescent="0.25">
      <c r="A615" s="15"/>
    </row>
    <row r="616" spans="1:1" x14ac:dyDescent="0.25">
      <c r="A616" s="15"/>
    </row>
    <row r="617" spans="1:1" x14ac:dyDescent="0.25">
      <c r="A617" s="15"/>
    </row>
    <row r="618" spans="1:1" x14ac:dyDescent="0.25">
      <c r="A618" s="15"/>
    </row>
    <row r="619" spans="1:1" x14ac:dyDescent="0.25">
      <c r="A619" s="15"/>
    </row>
    <row r="620" spans="1:1" x14ac:dyDescent="0.25">
      <c r="A620" s="15"/>
    </row>
    <row r="621" spans="1:1" x14ac:dyDescent="0.25">
      <c r="A621" s="15"/>
    </row>
    <row r="622" spans="1:1" x14ac:dyDescent="0.25">
      <c r="A622" s="15"/>
    </row>
    <row r="623" spans="1:1" x14ac:dyDescent="0.25">
      <c r="A623" s="15"/>
    </row>
    <row r="624" spans="1:1" x14ac:dyDescent="0.25">
      <c r="A624" s="15"/>
    </row>
    <row r="625" spans="1:1" x14ac:dyDescent="0.25">
      <c r="A625" s="15"/>
    </row>
    <row r="626" spans="1:1" x14ac:dyDescent="0.25">
      <c r="A626" s="15"/>
    </row>
    <row r="627" spans="1:1" x14ac:dyDescent="0.25">
      <c r="A627" s="15"/>
    </row>
    <row r="628" spans="1:1" x14ac:dyDescent="0.25">
      <c r="A628" s="15"/>
    </row>
    <row r="629" spans="1:1" x14ac:dyDescent="0.25">
      <c r="A629" s="15"/>
    </row>
    <row r="630" spans="1:1" x14ac:dyDescent="0.25">
      <c r="A630" s="15"/>
    </row>
    <row r="631" spans="1:1" x14ac:dyDescent="0.25">
      <c r="A631" s="15"/>
    </row>
    <row r="632" spans="1:1" x14ac:dyDescent="0.25">
      <c r="A632" s="15"/>
    </row>
    <row r="633" spans="1:1" x14ac:dyDescent="0.25">
      <c r="A633" s="15"/>
    </row>
    <row r="634" spans="1:1" x14ac:dyDescent="0.25">
      <c r="A634" s="15"/>
    </row>
    <row r="635" spans="1:1" x14ac:dyDescent="0.25">
      <c r="A635" s="15"/>
    </row>
    <row r="636" spans="1:1" x14ac:dyDescent="0.25">
      <c r="A636" s="15"/>
    </row>
    <row r="637" spans="1:1" x14ac:dyDescent="0.25">
      <c r="A637" s="15"/>
    </row>
    <row r="638" spans="1:1" x14ac:dyDescent="0.25">
      <c r="A638" s="15"/>
    </row>
    <row r="639" spans="1:1" x14ac:dyDescent="0.25">
      <c r="A639" s="15"/>
    </row>
    <row r="640" spans="1:1" x14ac:dyDescent="0.25">
      <c r="A640" s="15"/>
    </row>
    <row r="641" spans="1:1" x14ac:dyDescent="0.25">
      <c r="A641" s="15"/>
    </row>
    <row r="642" spans="1:1" x14ac:dyDescent="0.25">
      <c r="A642" s="15"/>
    </row>
    <row r="643" spans="1:1" x14ac:dyDescent="0.25">
      <c r="A643" s="15"/>
    </row>
    <row r="644" spans="1:1" x14ac:dyDescent="0.25">
      <c r="A644" s="15"/>
    </row>
    <row r="645" spans="1:1" x14ac:dyDescent="0.25">
      <c r="A645" s="15"/>
    </row>
    <row r="646" spans="1:1" x14ac:dyDescent="0.25">
      <c r="A646" s="15"/>
    </row>
    <row r="647" spans="1:1" x14ac:dyDescent="0.25">
      <c r="A647" s="15"/>
    </row>
    <row r="648" spans="1:1" x14ac:dyDescent="0.25">
      <c r="A648" s="15"/>
    </row>
    <row r="649" spans="1:1" x14ac:dyDescent="0.25">
      <c r="A649" s="15"/>
    </row>
    <row r="650" spans="1:1" x14ac:dyDescent="0.25">
      <c r="A650" s="15"/>
    </row>
    <row r="651" spans="1:1" x14ac:dyDescent="0.25">
      <c r="A651" s="15"/>
    </row>
    <row r="652" spans="1:1" x14ac:dyDescent="0.25">
      <c r="A652" s="15"/>
    </row>
    <row r="653" spans="1:1" x14ac:dyDescent="0.25">
      <c r="A653" s="15"/>
    </row>
    <row r="654" spans="1:1" x14ac:dyDescent="0.25">
      <c r="A654" s="15"/>
    </row>
    <row r="655" spans="1:1" x14ac:dyDescent="0.25">
      <c r="A655" s="15"/>
    </row>
    <row r="656" spans="1:1" x14ac:dyDescent="0.25">
      <c r="A656" s="15"/>
    </row>
    <row r="657" spans="1:1" x14ac:dyDescent="0.25">
      <c r="A657" s="15"/>
    </row>
    <row r="658" spans="1:1" x14ac:dyDescent="0.25">
      <c r="A658" s="15"/>
    </row>
    <row r="659" spans="1:1" x14ac:dyDescent="0.25">
      <c r="A659" s="15"/>
    </row>
    <row r="660" spans="1:1" x14ac:dyDescent="0.25">
      <c r="A660" s="15"/>
    </row>
    <row r="661" spans="1:1" x14ac:dyDescent="0.25">
      <c r="A661" s="15"/>
    </row>
    <row r="662" spans="1:1" x14ac:dyDescent="0.25">
      <c r="A662" s="15"/>
    </row>
    <row r="663" spans="1:1" x14ac:dyDescent="0.25">
      <c r="A663" s="15"/>
    </row>
    <row r="664" spans="1:1" x14ac:dyDescent="0.25">
      <c r="A664" s="15"/>
    </row>
    <row r="665" spans="1:1" x14ac:dyDescent="0.25">
      <c r="A665" s="15"/>
    </row>
    <row r="666" spans="1:1" x14ac:dyDescent="0.25">
      <c r="A666" s="15"/>
    </row>
    <row r="667" spans="1:1" x14ac:dyDescent="0.25">
      <c r="A667" s="15"/>
    </row>
    <row r="668" spans="1:1" x14ac:dyDescent="0.25">
      <c r="A668" s="15"/>
    </row>
    <row r="669" spans="1:1" x14ac:dyDescent="0.25">
      <c r="A669" s="15"/>
    </row>
    <row r="670" spans="1:1" x14ac:dyDescent="0.25">
      <c r="A670" s="15"/>
    </row>
    <row r="671" spans="1:1" x14ac:dyDescent="0.25">
      <c r="A671" s="15"/>
    </row>
    <row r="672" spans="1:1" x14ac:dyDescent="0.25">
      <c r="A672" s="15"/>
    </row>
    <row r="673" spans="1:1" x14ac:dyDescent="0.25">
      <c r="A673" s="15"/>
    </row>
    <row r="674" spans="1:1" x14ac:dyDescent="0.25">
      <c r="A674" s="15"/>
    </row>
    <row r="675" spans="1:1" x14ac:dyDescent="0.25">
      <c r="A675" s="15"/>
    </row>
    <row r="676" spans="1:1" x14ac:dyDescent="0.25">
      <c r="A676" s="15"/>
    </row>
    <row r="677" spans="1:1" x14ac:dyDescent="0.25">
      <c r="A677" s="15"/>
    </row>
    <row r="678" spans="1:1" x14ac:dyDescent="0.25">
      <c r="A678" s="15"/>
    </row>
    <row r="679" spans="1:1" x14ac:dyDescent="0.25">
      <c r="A679" s="15"/>
    </row>
    <row r="680" spans="1:1" x14ac:dyDescent="0.25">
      <c r="A680" s="15"/>
    </row>
    <row r="681" spans="1:1" x14ac:dyDescent="0.25">
      <c r="A681" s="15"/>
    </row>
    <row r="682" spans="1:1" x14ac:dyDescent="0.25">
      <c r="A682" s="15"/>
    </row>
    <row r="683" spans="1:1" x14ac:dyDescent="0.25">
      <c r="A683" s="15"/>
    </row>
    <row r="684" spans="1:1" x14ac:dyDescent="0.25">
      <c r="A684" s="15"/>
    </row>
    <row r="685" spans="1:1" x14ac:dyDescent="0.25">
      <c r="A685" s="15"/>
    </row>
    <row r="686" spans="1:1" x14ac:dyDescent="0.25">
      <c r="A686" s="15"/>
    </row>
    <row r="687" spans="1:1" x14ac:dyDescent="0.25">
      <c r="A687" s="15"/>
    </row>
    <row r="688" spans="1:1" x14ac:dyDescent="0.25">
      <c r="A688" s="15"/>
    </row>
    <row r="689" spans="1:1" x14ac:dyDescent="0.25">
      <c r="A689" s="15"/>
    </row>
    <row r="690" spans="1:1" x14ac:dyDescent="0.25">
      <c r="A690" s="15"/>
    </row>
    <row r="691" spans="1:1" x14ac:dyDescent="0.25">
      <c r="A691" s="15"/>
    </row>
    <row r="692" spans="1:1" x14ac:dyDescent="0.25">
      <c r="A692" s="15"/>
    </row>
    <row r="693" spans="1:1" x14ac:dyDescent="0.25">
      <c r="A693" s="15"/>
    </row>
    <row r="694" spans="1:1" x14ac:dyDescent="0.25">
      <c r="A694" s="15"/>
    </row>
    <row r="695" spans="1:1" x14ac:dyDescent="0.25">
      <c r="A695" s="15"/>
    </row>
    <row r="696" spans="1:1" x14ac:dyDescent="0.25">
      <c r="A696" s="15"/>
    </row>
    <row r="697" spans="1:1" x14ac:dyDescent="0.25">
      <c r="A697" s="15"/>
    </row>
    <row r="698" spans="1:1" x14ac:dyDescent="0.25">
      <c r="A698" s="15"/>
    </row>
    <row r="699" spans="1:1" x14ac:dyDescent="0.25">
      <c r="A699" s="15"/>
    </row>
    <row r="700" spans="1:1" x14ac:dyDescent="0.25">
      <c r="A700" s="15"/>
    </row>
    <row r="701" spans="1:1" x14ac:dyDescent="0.25">
      <c r="A701" s="15"/>
    </row>
    <row r="702" spans="1:1" x14ac:dyDescent="0.25">
      <c r="A702" s="15"/>
    </row>
    <row r="703" spans="1:1" x14ac:dyDescent="0.25">
      <c r="A703" s="15"/>
    </row>
    <row r="704" spans="1:1" x14ac:dyDescent="0.25">
      <c r="A704" s="15"/>
    </row>
    <row r="705" spans="1:1" x14ac:dyDescent="0.25">
      <c r="A705" s="15"/>
    </row>
    <row r="706" spans="1:1" x14ac:dyDescent="0.25">
      <c r="A706" s="15"/>
    </row>
    <row r="707" spans="1:1" x14ac:dyDescent="0.25">
      <c r="A707" s="15"/>
    </row>
    <row r="708" spans="1:1" x14ac:dyDescent="0.25">
      <c r="A708" s="15"/>
    </row>
    <row r="709" spans="1:1" x14ac:dyDescent="0.25">
      <c r="A709" s="15"/>
    </row>
    <row r="710" spans="1:1" x14ac:dyDescent="0.25">
      <c r="A710" s="15"/>
    </row>
    <row r="711" spans="1:1" x14ac:dyDescent="0.25">
      <c r="A711" s="15"/>
    </row>
    <row r="712" spans="1:1" x14ac:dyDescent="0.25">
      <c r="A712" s="15"/>
    </row>
    <row r="713" spans="1:1" x14ac:dyDescent="0.25">
      <c r="A713" s="15"/>
    </row>
    <row r="714" spans="1:1" x14ac:dyDescent="0.25">
      <c r="A714" s="15"/>
    </row>
    <row r="715" spans="1:1" x14ac:dyDescent="0.25">
      <c r="A715" s="15"/>
    </row>
    <row r="716" spans="1:1" x14ac:dyDescent="0.25">
      <c r="A716" s="15"/>
    </row>
    <row r="717" spans="1:1" x14ac:dyDescent="0.25">
      <c r="A717" s="15"/>
    </row>
    <row r="718" spans="1:1" x14ac:dyDescent="0.25">
      <c r="A718" s="15"/>
    </row>
    <row r="719" spans="1:1" x14ac:dyDescent="0.25">
      <c r="A719" s="15"/>
    </row>
    <row r="720" spans="1:1" x14ac:dyDescent="0.25">
      <c r="A720" s="15"/>
    </row>
    <row r="721" spans="1:1" x14ac:dyDescent="0.25">
      <c r="A721" s="15"/>
    </row>
    <row r="722" spans="1:1" x14ac:dyDescent="0.25">
      <c r="A722" s="15"/>
    </row>
    <row r="723" spans="1:1" x14ac:dyDescent="0.25">
      <c r="A723" s="15"/>
    </row>
    <row r="724" spans="1:1" x14ac:dyDescent="0.25">
      <c r="A724" s="15"/>
    </row>
    <row r="725" spans="1:1" x14ac:dyDescent="0.25">
      <c r="A725" s="15"/>
    </row>
    <row r="726" spans="1:1" x14ac:dyDescent="0.25">
      <c r="A726" s="15"/>
    </row>
    <row r="727" spans="1:1" x14ac:dyDescent="0.25">
      <c r="A727" s="15"/>
    </row>
    <row r="728" spans="1:1" x14ac:dyDescent="0.25">
      <c r="A728" s="15"/>
    </row>
    <row r="729" spans="1:1" x14ac:dyDescent="0.25">
      <c r="A729" s="15"/>
    </row>
    <row r="730" spans="1:1" x14ac:dyDescent="0.25">
      <c r="A730" s="15"/>
    </row>
    <row r="731" spans="1:1" x14ac:dyDescent="0.25">
      <c r="A731" s="15"/>
    </row>
    <row r="732" spans="1:1" x14ac:dyDescent="0.25">
      <c r="A732" s="15"/>
    </row>
    <row r="733" spans="1:1" x14ac:dyDescent="0.25">
      <c r="A733" s="15"/>
    </row>
    <row r="734" spans="1:1" x14ac:dyDescent="0.25">
      <c r="A734" s="15"/>
    </row>
    <row r="735" spans="1:1" x14ac:dyDescent="0.25">
      <c r="A735" s="15"/>
    </row>
    <row r="736" spans="1:1" x14ac:dyDescent="0.25">
      <c r="A736" s="15"/>
    </row>
    <row r="737" spans="1:1" x14ac:dyDescent="0.25">
      <c r="A737" s="15"/>
    </row>
    <row r="738" spans="1:1" x14ac:dyDescent="0.25">
      <c r="A738" s="15"/>
    </row>
    <row r="739" spans="1:1" x14ac:dyDescent="0.25">
      <c r="A739" s="15"/>
    </row>
    <row r="740" spans="1:1" x14ac:dyDescent="0.25">
      <c r="A740" s="15"/>
    </row>
    <row r="741" spans="1:1" x14ac:dyDescent="0.25">
      <c r="A741" s="15"/>
    </row>
    <row r="742" spans="1:1" x14ac:dyDescent="0.25">
      <c r="A742" s="15"/>
    </row>
    <row r="743" spans="1:1" x14ac:dyDescent="0.25">
      <c r="A743" s="15"/>
    </row>
    <row r="744" spans="1:1" x14ac:dyDescent="0.25">
      <c r="A744" s="15"/>
    </row>
    <row r="745" spans="1:1" x14ac:dyDescent="0.25">
      <c r="A745" s="15"/>
    </row>
    <row r="746" spans="1:1" x14ac:dyDescent="0.25">
      <c r="A746" s="15"/>
    </row>
    <row r="747" spans="1:1" x14ac:dyDescent="0.25">
      <c r="A747" s="15"/>
    </row>
    <row r="748" spans="1:1" x14ac:dyDescent="0.25">
      <c r="A748" s="15"/>
    </row>
    <row r="749" spans="1:1" x14ac:dyDescent="0.25">
      <c r="A749" s="15"/>
    </row>
    <row r="750" spans="1:1" x14ac:dyDescent="0.25">
      <c r="A750" s="15"/>
    </row>
    <row r="751" spans="1:1" x14ac:dyDescent="0.25">
      <c r="A751" s="15"/>
    </row>
    <row r="752" spans="1:1" x14ac:dyDescent="0.25">
      <c r="A752" s="15"/>
    </row>
    <row r="753" spans="1:1" x14ac:dyDescent="0.25">
      <c r="A753" s="15"/>
    </row>
    <row r="754" spans="1:1" x14ac:dyDescent="0.25">
      <c r="A754" s="15"/>
    </row>
    <row r="755" spans="1:1" x14ac:dyDescent="0.25">
      <c r="A755" s="15"/>
    </row>
    <row r="756" spans="1:1" x14ac:dyDescent="0.25">
      <c r="A756" s="15"/>
    </row>
    <row r="757" spans="1:1" x14ac:dyDescent="0.25">
      <c r="A757" s="15"/>
    </row>
    <row r="758" spans="1:1" x14ac:dyDescent="0.25">
      <c r="A758" s="15"/>
    </row>
    <row r="759" spans="1:1" x14ac:dyDescent="0.25">
      <c r="A759" s="15"/>
    </row>
    <row r="760" spans="1:1" x14ac:dyDescent="0.25">
      <c r="A760" s="15"/>
    </row>
    <row r="761" spans="1:1" x14ac:dyDescent="0.25">
      <c r="A761" s="15"/>
    </row>
    <row r="762" spans="1:1" x14ac:dyDescent="0.25">
      <c r="A762" s="15"/>
    </row>
    <row r="763" spans="1:1" x14ac:dyDescent="0.25">
      <c r="A763" s="15"/>
    </row>
    <row r="764" spans="1:1" x14ac:dyDescent="0.25">
      <c r="A764" s="15"/>
    </row>
    <row r="765" spans="1:1" x14ac:dyDescent="0.25">
      <c r="A765" s="15"/>
    </row>
    <row r="766" spans="1:1" x14ac:dyDescent="0.25">
      <c r="A766" s="15"/>
    </row>
    <row r="767" spans="1:1" x14ac:dyDescent="0.25">
      <c r="A767" s="15"/>
    </row>
    <row r="768" spans="1:1" x14ac:dyDescent="0.25">
      <c r="A768" s="15"/>
    </row>
    <row r="769" spans="1:1" x14ac:dyDescent="0.25">
      <c r="A769" s="15"/>
    </row>
    <row r="770" spans="1:1" x14ac:dyDescent="0.25">
      <c r="A770" s="15"/>
    </row>
    <row r="771" spans="1:1" x14ac:dyDescent="0.25">
      <c r="A771" s="15"/>
    </row>
    <row r="772" spans="1:1" x14ac:dyDescent="0.25">
      <c r="A772" s="15"/>
    </row>
    <row r="773" spans="1:1" x14ac:dyDescent="0.25">
      <c r="A773" s="15"/>
    </row>
    <row r="774" spans="1:1" x14ac:dyDescent="0.25">
      <c r="A774" s="15"/>
    </row>
    <row r="775" spans="1:1" x14ac:dyDescent="0.25">
      <c r="A775" s="15"/>
    </row>
    <row r="776" spans="1:1" x14ac:dyDescent="0.25">
      <c r="A776" s="15"/>
    </row>
    <row r="777" spans="1:1" x14ac:dyDescent="0.25">
      <c r="A777" s="15"/>
    </row>
    <row r="778" spans="1:1" x14ac:dyDescent="0.25">
      <c r="A778" s="15"/>
    </row>
    <row r="779" spans="1:1" x14ac:dyDescent="0.25">
      <c r="A779" s="15"/>
    </row>
    <row r="780" spans="1:1" x14ac:dyDescent="0.25">
      <c r="A780" s="15"/>
    </row>
    <row r="781" spans="1:1" x14ac:dyDescent="0.25">
      <c r="A781" s="15"/>
    </row>
    <row r="782" spans="1:1" x14ac:dyDescent="0.25">
      <c r="A782" s="15"/>
    </row>
    <row r="783" spans="1:1" x14ac:dyDescent="0.25">
      <c r="A783" s="15"/>
    </row>
    <row r="784" spans="1:1" x14ac:dyDescent="0.25">
      <c r="A784" s="15"/>
    </row>
    <row r="785" spans="1:1" x14ac:dyDescent="0.25">
      <c r="A785" s="15"/>
    </row>
    <row r="786" spans="1:1" x14ac:dyDescent="0.25">
      <c r="A786" s="15"/>
    </row>
    <row r="787" spans="1:1" x14ac:dyDescent="0.25">
      <c r="A787" s="15"/>
    </row>
    <row r="788" spans="1:1" x14ac:dyDescent="0.25">
      <c r="A788" s="15"/>
    </row>
    <row r="789" spans="1:1" x14ac:dyDescent="0.25">
      <c r="A789" s="15"/>
    </row>
    <row r="790" spans="1:1" x14ac:dyDescent="0.25">
      <c r="A790" s="15"/>
    </row>
    <row r="791" spans="1:1" x14ac:dyDescent="0.25">
      <c r="A791" s="15"/>
    </row>
    <row r="792" spans="1:1" x14ac:dyDescent="0.25">
      <c r="A792" s="15"/>
    </row>
    <row r="793" spans="1:1" x14ac:dyDescent="0.25">
      <c r="A793" s="15"/>
    </row>
    <row r="794" spans="1:1" x14ac:dyDescent="0.25">
      <c r="A794" s="15"/>
    </row>
    <row r="795" spans="1:1" x14ac:dyDescent="0.25">
      <c r="A795" s="15"/>
    </row>
    <row r="796" spans="1:1" x14ac:dyDescent="0.25">
      <c r="A796" s="15"/>
    </row>
    <row r="797" spans="1:1" x14ac:dyDescent="0.25">
      <c r="A797" s="15"/>
    </row>
    <row r="798" spans="1:1" x14ac:dyDescent="0.25">
      <c r="A798" s="15"/>
    </row>
    <row r="799" spans="1:1" x14ac:dyDescent="0.25">
      <c r="A799" s="15"/>
    </row>
    <row r="800" spans="1:1" x14ac:dyDescent="0.25">
      <c r="A800" s="15"/>
    </row>
    <row r="801" spans="1:1" x14ac:dyDescent="0.25">
      <c r="A801" s="15"/>
    </row>
    <row r="802" spans="1:1" x14ac:dyDescent="0.25">
      <c r="A802" s="15"/>
    </row>
    <row r="803" spans="1:1" x14ac:dyDescent="0.25">
      <c r="A803" s="15"/>
    </row>
    <row r="804" spans="1:1" x14ac:dyDescent="0.25">
      <c r="A804" s="15"/>
    </row>
    <row r="805" spans="1:1" x14ac:dyDescent="0.25">
      <c r="A805" s="15"/>
    </row>
    <row r="806" spans="1:1" x14ac:dyDescent="0.25">
      <c r="A806" s="15"/>
    </row>
    <row r="807" spans="1:1" x14ac:dyDescent="0.25">
      <c r="A807" s="15"/>
    </row>
    <row r="808" spans="1:1" x14ac:dyDescent="0.25">
      <c r="A808" s="15"/>
    </row>
    <row r="809" spans="1:1" x14ac:dyDescent="0.25">
      <c r="A809" s="15"/>
    </row>
    <row r="810" spans="1:1" x14ac:dyDescent="0.25">
      <c r="A810" s="15"/>
    </row>
    <row r="811" spans="1:1" x14ac:dyDescent="0.25">
      <c r="A811" s="15"/>
    </row>
    <row r="812" spans="1:1" x14ac:dyDescent="0.25">
      <c r="A812" s="15"/>
    </row>
    <row r="813" spans="1:1" x14ac:dyDescent="0.25">
      <c r="A813" s="15"/>
    </row>
    <row r="814" spans="1:1" x14ac:dyDescent="0.25">
      <c r="A814" s="15"/>
    </row>
    <row r="815" spans="1:1" x14ac:dyDescent="0.25">
      <c r="A815" s="15"/>
    </row>
    <row r="816" spans="1:1" x14ac:dyDescent="0.25">
      <c r="A816" s="15"/>
    </row>
    <row r="817" spans="1:1" x14ac:dyDescent="0.25">
      <c r="A817" s="15"/>
    </row>
    <row r="818" spans="1:1" x14ac:dyDescent="0.25">
      <c r="A818" s="15"/>
    </row>
    <row r="819" spans="1:1" x14ac:dyDescent="0.25">
      <c r="A819" s="15"/>
    </row>
    <row r="820" spans="1:1" x14ac:dyDescent="0.25">
      <c r="A820" s="15"/>
    </row>
    <row r="821" spans="1:1" x14ac:dyDescent="0.25">
      <c r="A821" s="15"/>
    </row>
    <row r="822" spans="1:1" x14ac:dyDescent="0.25">
      <c r="A822" s="15"/>
    </row>
    <row r="823" spans="1:1" x14ac:dyDescent="0.25">
      <c r="A823" s="15"/>
    </row>
    <row r="824" spans="1:1" x14ac:dyDescent="0.25">
      <c r="A824" s="15"/>
    </row>
    <row r="825" spans="1:1" x14ac:dyDescent="0.25">
      <c r="A825" s="15"/>
    </row>
    <row r="826" spans="1:1" x14ac:dyDescent="0.25">
      <c r="A826" s="15"/>
    </row>
    <row r="827" spans="1:1" x14ac:dyDescent="0.25">
      <c r="A827" s="15"/>
    </row>
    <row r="828" spans="1:1" x14ac:dyDescent="0.25">
      <c r="A828" s="15"/>
    </row>
    <row r="829" spans="1:1" x14ac:dyDescent="0.25">
      <c r="A829" s="15"/>
    </row>
    <row r="830" spans="1:1" x14ac:dyDescent="0.25">
      <c r="A830" s="15"/>
    </row>
    <row r="831" spans="1:1" x14ac:dyDescent="0.25">
      <c r="A831" s="15"/>
    </row>
    <row r="832" spans="1:1" x14ac:dyDescent="0.25">
      <c r="A832" s="15"/>
    </row>
    <row r="833" spans="1:1" x14ac:dyDescent="0.25">
      <c r="A833" s="15"/>
    </row>
    <row r="834" spans="1:1" x14ac:dyDescent="0.25">
      <c r="A834" s="15"/>
    </row>
    <row r="835" spans="1:1" x14ac:dyDescent="0.25">
      <c r="A835" s="15"/>
    </row>
    <row r="836" spans="1:1" x14ac:dyDescent="0.25">
      <c r="A836" s="15"/>
    </row>
    <row r="837" spans="1:1" x14ac:dyDescent="0.25">
      <c r="A837" s="15"/>
    </row>
    <row r="838" spans="1:1" x14ac:dyDescent="0.25">
      <c r="A838" s="15"/>
    </row>
    <row r="839" spans="1:1" x14ac:dyDescent="0.25">
      <c r="A839" s="15"/>
    </row>
    <row r="840" spans="1:1" x14ac:dyDescent="0.25">
      <c r="A840" s="15"/>
    </row>
    <row r="841" spans="1:1" x14ac:dyDescent="0.25">
      <c r="A841" s="15"/>
    </row>
    <row r="842" spans="1:1" x14ac:dyDescent="0.25">
      <c r="A842" s="15"/>
    </row>
    <row r="843" spans="1:1" x14ac:dyDescent="0.25">
      <c r="A843" s="15"/>
    </row>
    <row r="844" spans="1:1" x14ac:dyDescent="0.25">
      <c r="A844" s="15"/>
    </row>
    <row r="845" spans="1:1" x14ac:dyDescent="0.25">
      <c r="A845" s="15"/>
    </row>
    <row r="846" spans="1:1" x14ac:dyDescent="0.25">
      <c r="A846" s="15"/>
    </row>
    <row r="847" spans="1:1" x14ac:dyDescent="0.25">
      <c r="A847" s="15"/>
    </row>
    <row r="848" spans="1:1" x14ac:dyDescent="0.25">
      <c r="A848" s="15"/>
    </row>
    <row r="849" spans="1:1" x14ac:dyDescent="0.25">
      <c r="A849" s="15"/>
    </row>
    <row r="850" spans="1:1" x14ac:dyDescent="0.25">
      <c r="A850" s="15"/>
    </row>
    <row r="851" spans="1:1" x14ac:dyDescent="0.25">
      <c r="A851" s="15"/>
    </row>
    <row r="852" spans="1:1" x14ac:dyDescent="0.25">
      <c r="A852" s="15"/>
    </row>
    <row r="853" spans="1:1" x14ac:dyDescent="0.25">
      <c r="A853" s="15"/>
    </row>
    <row r="854" spans="1:1" x14ac:dyDescent="0.25">
      <c r="A854" s="15"/>
    </row>
    <row r="855" spans="1:1" x14ac:dyDescent="0.25">
      <c r="A855" s="15"/>
    </row>
    <row r="856" spans="1:1" x14ac:dyDescent="0.25">
      <c r="A856" s="15"/>
    </row>
    <row r="857" spans="1:1" x14ac:dyDescent="0.25">
      <c r="A857" s="15"/>
    </row>
    <row r="858" spans="1:1" x14ac:dyDescent="0.25">
      <c r="A858" s="15"/>
    </row>
    <row r="859" spans="1:1" x14ac:dyDescent="0.25">
      <c r="A859" s="15"/>
    </row>
    <row r="860" spans="1:1" x14ac:dyDescent="0.25">
      <c r="A860" s="15"/>
    </row>
    <row r="861" spans="1:1" x14ac:dyDescent="0.25">
      <c r="A861" s="15"/>
    </row>
    <row r="862" spans="1:1" x14ac:dyDescent="0.25">
      <c r="A862" s="15"/>
    </row>
    <row r="863" spans="1:1" x14ac:dyDescent="0.25">
      <c r="A863" s="15"/>
    </row>
    <row r="864" spans="1:1" x14ac:dyDescent="0.25">
      <c r="A864" s="15"/>
    </row>
    <row r="865" spans="1:1" x14ac:dyDescent="0.25">
      <c r="A865" s="15"/>
    </row>
    <row r="866" spans="1:1" x14ac:dyDescent="0.25">
      <c r="A866" s="15"/>
    </row>
    <row r="867" spans="1:1" x14ac:dyDescent="0.25">
      <c r="A867" s="15"/>
    </row>
    <row r="868" spans="1:1" x14ac:dyDescent="0.25">
      <c r="A868" s="15"/>
    </row>
    <row r="869" spans="1:1" x14ac:dyDescent="0.25">
      <c r="A869" s="15"/>
    </row>
    <row r="870" spans="1:1" x14ac:dyDescent="0.25">
      <c r="A870" s="15"/>
    </row>
    <row r="871" spans="1:1" x14ac:dyDescent="0.25">
      <c r="A871" s="15"/>
    </row>
    <row r="872" spans="1:1" x14ac:dyDescent="0.25">
      <c r="A872" s="15"/>
    </row>
    <row r="873" spans="1:1" x14ac:dyDescent="0.25">
      <c r="A873" s="15"/>
    </row>
    <row r="874" spans="1:1" x14ac:dyDescent="0.25">
      <c r="A874" s="15"/>
    </row>
    <row r="875" spans="1:1" x14ac:dyDescent="0.25">
      <c r="A875" s="15"/>
    </row>
    <row r="876" spans="1:1" x14ac:dyDescent="0.25">
      <c r="A876" s="15"/>
    </row>
    <row r="877" spans="1:1" x14ac:dyDescent="0.25">
      <c r="A877" s="15"/>
    </row>
    <row r="878" spans="1:1" x14ac:dyDescent="0.25">
      <c r="A878" s="15"/>
    </row>
    <row r="879" spans="1:1" x14ac:dyDescent="0.25">
      <c r="A879" s="15"/>
    </row>
    <row r="880" spans="1:1" x14ac:dyDescent="0.25">
      <c r="A880" s="15"/>
    </row>
    <row r="881" spans="1:1" x14ac:dyDescent="0.25">
      <c r="A881" s="15"/>
    </row>
    <row r="882" spans="1:1" x14ac:dyDescent="0.25">
      <c r="A882" s="15"/>
    </row>
    <row r="883" spans="1:1" x14ac:dyDescent="0.25">
      <c r="A883" s="15"/>
    </row>
    <row r="884" spans="1:1" x14ac:dyDescent="0.25">
      <c r="A884" s="15"/>
    </row>
    <row r="885" spans="1:1" x14ac:dyDescent="0.25">
      <c r="A885" s="15"/>
    </row>
    <row r="886" spans="1:1" x14ac:dyDescent="0.25">
      <c r="A886" s="15"/>
    </row>
    <row r="887" spans="1:1" x14ac:dyDescent="0.25">
      <c r="A887" s="15"/>
    </row>
    <row r="888" spans="1:1" x14ac:dyDescent="0.25">
      <c r="A888" s="15"/>
    </row>
    <row r="889" spans="1:1" x14ac:dyDescent="0.25">
      <c r="A889" s="15"/>
    </row>
    <row r="890" spans="1:1" x14ac:dyDescent="0.25">
      <c r="A890" s="15"/>
    </row>
    <row r="891" spans="1:1" x14ac:dyDescent="0.25">
      <c r="A891" s="15"/>
    </row>
    <row r="892" spans="1:1" x14ac:dyDescent="0.25">
      <c r="A892" s="15"/>
    </row>
    <row r="893" spans="1:1" x14ac:dyDescent="0.25">
      <c r="A893" s="15"/>
    </row>
    <row r="894" spans="1:1" x14ac:dyDescent="0.25">
      <c r="A894" s="15"/>
    </row>
    <row r="895" spans="1:1" x14ac:dyDescent="0.25">
      <c r="A895" s="15"/>
    </row>
    <row r="896" spans="1:1" x14ac:dyDescent="0.25">
      <c r="A896" s="15"/>
    </row>
    <row r="897" spans="1:1" x14ac:dyDescent="0.25">
      <c r="A897" s="15"/>
    </row>
    <row r="898" spans="1:1" x14ac:dyDescent="0.25">
      <c r="A898" s="15"/>
    </row>
    <row r="899" spans="1:1" x14ac:dyDescent="0.25">
      <c r="A899" s="15"/>
    </row>
    <row r="900" spans="1:1" x14ac:dyDescent="0.25">
      <c r="A900" s="15"/>
    </row>
    <row r="901" spans="1:1" x14ac:dyDescent="0.25">
      <c r="A901" s="15"/>
    </row>
    <row r="902" spans="1:1" x14ac:dyDescent="0.25">
      <c r="A902" s="1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0" sqref="B10:D10"/>
    </sheetView>
  </sheetViews>
  <sheetFormatPr defaultRowHeight="13.2" x14ac:dyDescent="0.25"/>
  <cols>
    <col min="1" max="1" width="26.5546875" customWidth="1"/>
    <col min="2" max="2" width="22.5546875" customWidth="1"/>
    <col min="3" max="3" width="8.33203125" customWidth="1"/>
    <col min="4" max="4" width="11.33203125" customWidth="1"/>
    <col min="5" max="18" width="16.21875" customWidth="1"/>
    <col min="19" max="19" width="11.33203125" customWidth="1"/>
    <col min="20" max="20" width="11.33203125" bestFit="1" customWidth="1"/>
    <col min="21" max="23" width="9.5546875" bestFit="1" customWidth="1"/>
    <col min="24" max="24" width="12.5546875" bestFit="1" customWidth="1"/>
    <col min="25" max="28" width="9.5546875" bestFit="1" customWidth="1"/>
    <col min="29" max="29" width="12.5546875" bestFit="1" customWidth="1"/>
    <col min="30" max="33" width="9.5546875" bestFit="1" customWidth="1"/>
    <col min="34" max="34" width="12.5546875" bestFit="1" customWidth="1"/>
    <col min="35" max="35" width="9.5546875" bestFit="1" customWidth="1"/>
    <col min="36" max="36" width="9.5546875" customWidth="1"/>
    <col min="37" max="38" width="9.5546875" bestFit="1" customWidth="1"/>
    <col min="39" max="39" width="12.5546875" bestFit="1" customWidth="1"/>
    <col min="40" max="43" width="9.5546875" bestFit="1" customWidth="1"/>
    <col min="44" max="44" width="12.5546875" bestFit="1" customWidth="1"/>
    <col min="45" max="47" width="9.5546875" bestFit="1" customWidth="1"/>
    <col min="48" max="48" width="12.5546875" bestFit="1" customWidth="1"/>
    <col min="49" max="52" width="9.5546875" bestFit="1" customWidth="1"/>
    <col min="53" max="53" width="12.5546875" bestFit="1" customWidth="1"/>
    <col min="54" max="54" width="9.5546875" customWidth="1"/>
    <col min="55" max="55" width="9.5546875" bestFit="1" customWidth="1"/>
    <col min="56" max="56" width="12.5546875" bestFit="1" customWidth="1"/>
    <col min="57" max="60" width="9.5546875" bestFit="1" customWidth="1"/>
    <col min="61" max="61" width="12.5546875" bestFit="1" customWidth="1"/>
    <col min="62" max="65" width="9.5546875" bestFit="1" customWidth="1"/>
    <col min="66" max="66" width="12.5546875" bestFit="1" customWidth="1"/>
    <col min="67" max="70" width="9.5546875" bestFit="1" customWidth="1"/>
    <col min="71" max="71" width="12.5546875" bestFit="1" customWidth="1"/>
    <col min="72" max="72" width="9.5546875" customWidth="1"/>
    <col min="73" max="74" width="9.5546875" bestFit="1" customWidth="1"/>
    <col min="75" max="75" width="12.5546875" bestFit="1" customWidth="1"/>
    <col min="76" max="79" width="9.5546875" bestFit="1" customWidth="1"/>
    <col min="80" max="80" width="12.5546875" bestFit="1" customWidth="1"/>
    <col min="81" max="84" width="9.5546875" bestFit="1" customWidth="1"/>
    <col min="85" max="85" width="12.5546875" bestFit="1" customWidth="1"/>
    <col min="86" max="86" width="11.33203125" bestFit="1" customWidth="1"/>
  </cols>
  <sheetData>
    <row r="1" spans="1:4" ht="13.8" x14ac:dyDescent="0.25">
      <c r="A1" s="25" t="s">
        <v>964</v>
      </c>
      <c r="B1" s="26" t="s">
        <v>16</v>
      </c>
    </row>
    <row r="2" spans="1:4" ht="13.8" thickBot="1" x14ac:dyDescent="0.3"/>
    <row r="3" spans="1:4" x14ac:dyDescent="0.25">
      <c r="A3" s="16" t="s">
        <v>962</v>
      </c>
    </row>
    <row r="4" spans="1:4" x14ac:dyDescent="0.25">
      <c r="A4" s="17" t="s">
        <v>950</v>
      </c>
      <c r="B4" s="18">
        <v>46113</v>
      </c>
      <c r="C4" s="18">
        <v>46143</v>
      </c>
      <c r="D4" s="18">
        <v>46174</v>
      </c>
    </row>
    <row r="5" spans="1:4" x14ac:dyDescent="0.25">
      <c r="A5" s="19" t="s">
        <v>952</v>
      </c>
      <c r="B5" s="20">
        <f>COUNTIFS(Work_data!D:D,'Sales - English - India'!B1,Work_data!H:H,"&lt;="&amp;DATE(2026,4,1),Work_data!I:I,"&gt;="&amp;DATE(2026,4,1))+COUNTIFS(Work_data!D:D,'Sales - English - India'!B1,Work_data!H:H,"&lt;="&amp;DATE(2026,4,1),Work_data!I:I,"")</f>
        <v>76</v>
      </c>
      <c r="C5" s="20">
        <f>COUNTIFS(Work_data!D:D,'Sales - English - India'!B1,Work_data!H:H,"&lt;="&amp;DATE(2026,5,1),Work_data!I:I,"&gt;="&amp;DATE(2026,5,1))+COUNTIFS(Work_data!D:D,'Sales - English - India'!B1,Work_data!H:H,"&lt;="&amp;DATE(2026,5,1),Work_data!I:I,"")</f>
        <v>110</v>
      </c>
      <c r="D5" s="20">
        <f>COUNTIFS(Work_data!D:D,'Sales - English - India'!B1,Work_data!H:H,"&lt;="&amp;DATE(2026,6,1),Work_data!I:I,"&gt;="&amp;DATE(2026,6,1))+COUNTIFS(Work_data!D:D,'Sales - English - India'!B1,Work_data!H:H,"&lt;="&amp;DATE(2026,6,1),Work_data!I:I,"")</f>
        <v>53</v>
      </c>
    </row>
    <row r="6" spans="1:4" x14ac:dyDescent="0.25">
      <c r="A6" s="19" t="s">
        <v>953</v>
      </c>
      <c r="B6" s="20">
        <f>COUNTIFS(Work_data!D:D,'Sales - English - India'!B1,Work_data!H:H,"&lt;="&amp;DATE(2026,4,30),Work_data!I:I,"&gt;="&amp;DATE(2026,4,30))+COUNTIFS(Work_data!D:D,'Sales - English - India'!B1,Work_data!H:H,"&lt;="&amp;DATE(2026,4,30),Work_data!I:I,"")</f>
        <v>117</v>
      </c>
      <c r="C6" s="20">
        <f>COUNTIFS(Work_data!D:D,'Sales - English - India'!B1,Work_data!H:H,"&lt;="&amp;DATE(2026,5,31),Work_data!I:I,"&gt;="&amp;DATE(2026,5,31))+COUNTIFS(Work_data!D:D,'Sales - English - India'!B1,Work_data!H:H,"&lt;="&amp;DATE(2026,5,31),Work_data!I:I,"")</f>
        <v>56</v>
      </c>
      <c r="D6" s="20">
        <f>COUNTIFS(Work_data!D:D,'Sales - English - India'!B1,Work_data!H:H,"&lt;="&amp;DATE(2026,6,30),Work_data!I:I,"&gt;="&amp;DATE(2026,6,30))+COUNTIFS(Work_data!D:D,'Sales - English - India'!B1,Work_data!H:H,"&lt;="&amp;DATE(2026,6,30),Work_data!I:I,"")</f>
        <v>49</v>
      </c>
    </row>
    <row r="7" spans="1:4" x14ac:dyDescent="0.25">
      <c r="A7" s="19" t="s">
        <v>954</v>
      </c>
      <c r="B7" s="20">
        <f>(B5+B6)/2</f>
        <v>96.5</v>
      </c>
      <c r="C7" s="20">
        <f>(C5+C6)/2</f>
        <v>83</v>
      </c>
      <c r="D7" s="20">
        <f>(D5+D6)/2</f>
        <v>51</v>
      </c>
    </row>
    <row r="8" spans="1:4" x14ac:dyDescent="0.25">
      <c r="A8" s="19" t="s">
        <v>955</v>
      </c>
      <c r="B8" s="20">
        <f>COUNTIFS(Work_data!D:D,'Sales - English - India'!B1,Work_data!H:H,"&gt;="&amp;DATE(2026,4,1),Work_data!H:H,"&lt;="&amp;DATE(2026,4,30))</f>
        <v>86</v>
      </c>
      <c r="C8" s="20">
        <f>COUNTIFS(Work_data!D:D,'Sales - English - India'!B1,Work_data!H:H,"&gt;="&amp;DATE(2026,5,1),Work_data!H:H,"&lt;="&amp;DATE(2026,5,31))</f>
        <v>4</v>
      </c>
      <c r="D8" s="20">
        <f>COUNTIFS(Work_data!D:D,'Sales - English - India'!B1,Work_data!H:H,"&gt;="&amp;DATE(2026,6,1),Work_data!H:H,"&lt;="&amp;DATE(2026,6,30))</f>
        <v>8</v>
      </c>
    </row>
    <row r="9" spans="1:4" x14ac:dyDescent="0.25">
      <c r="A9" s="19" t="s">
        <v>956</v>
      </c>
      <c r="B9" s="20">
        <f>COUNTIFS(Work_data!D:D,'Sales - English - India'!B1,Work_data!I:I,"&gt;="&amp;DATE(2026,4,1),Work_data!I:I,"&lt;="&amp;DATE(2026,4,30))</f>
        <v>51</v>
      </c>
      <c r="C9" s="20">
        <f>COUNTIFS(Work_data!D:D,'Sales - English - India'!B1,Work_data!I:I,"&gt;="&amp;DATE(2026,5,1),Work_data!I:I,"&lt;="&amp;DATE(2026,5,31))</f>
        <v>61</v>
      </c>
      <c r="D9" s="20">
        <f>COUNTIFS(Work_data!D:D,'Sales - English - India'!B1,Work_data!I:I,"&gt;="&amp;DATE(2026,6,1),Work_data!I:I,"&lt;="&amp;DATE(2026,6,30))</f>
        <v>14</v>
      </c>
    </row>
    <row r="10" spans="1:4" x14ac:dyDescent="0.25">
      <c r="A10" s="19" t="s">
        <v>957</v>
      </c>
      <c r="B10" s="23">
        <f>B9/B7</f>
        <v>0.52849740932642486</v>
      </c>
      <c r="C10" s="23">
        <f>C9/C7</f>
        <v>0.73493975903614461</v>
      </c>
      <c r="D10" s="23">
        <f>D9/D7</f>
        <v>0.27450980392156865</v>
      </c>
    </row>
    <row r="11" spans="1:4" x14ac:dyDescent="0.25">
      <c r="A11" s="19" t="s">
        <v>958</v>
      </c>
      <c r="B11" s="20">
        <f>COUNTIFS(Work_data!D:D,'Sales - English - India'!B1,Work_data!I:I,"&gt;="&amp;DATE(2026,4,1),Work_data!I:I,"&lt;="&amp;DATE(2026,4,30),Work_data!K:K,"Voluntary")</f>
        <v>33</v>
      </c>
      <c r="C11" s="20">
        <f>COUNTIFS(Work_data!D:D,'Sales - English - India'!B1,Work_data!I:I,"&gt;="&amp;DATE(2026,5,1),Work_data!I:I,"&lt;="&amp;DATE(2026,5,31),Work_data!K:K,"Voluntary")</f>
        <v>14</v>
      </c>
      <c r="D11" s="20">
        <f>COUNTIFS(Work_data!D:D,'Sales - English - India'!B1,Work_data!I:I,"&gt;="&amp;DATE(2026,6,1),Work_data!I:I,"&lt;="&amp;DATE(2026,6,30),Work_data!K:K,"Voluntary")</f>
        <v>7</v>
      </c>
    </row>
    <row r="12" spans="1:4" x14ac:dyDescent="0.25">
      <c r="A12" s="19" t="s">
        <v>959</v>
      </c>
      <c r="B12" s="20">
        <f>COUNTIFS(Work_data!D:D,'Sales - English - India'!B1,Work_data!I:I,"&gt;="&amp;DATE(2026,4,1),Work_data!I:I,"&lt;="&amp;DATE(2026,4,30),Work_data!K:K,"Involuntary")</f>
        <v>18</v>
      </c>
      <c r="C12" s="20">
        <f>COUNTIFS(Work_data!D:D,'Sales - English - India'!B1,Work_data!I:I,"&gt;="&amp;DATE(2026,5,1),Work_data!I:I,"&lt;="&amp;DATE(2026,5,31),Work_data!K:K,"Involuntary")</f>
        <v>47</v>
      </c>
      <c r="D12" s="20">
        <f>COUNTIFS(Work_data!D:D,'Sales - English - India'!B1,Work_data!I:I,"&gt;="&amp;DATE(2026,6,1),Work_data!I:I,"&lt;="&amp;DATE(2026,6,30),Work_data!K:K,"Involuntary")</f>
        <v>7</v>
      </c>
    </row>
    <row r="13" spans="1:4" x14ac:dyDescent="0.25">
      <c r="A13" s="19" t="s">
        <v>960</v>
      </c>
      <c r="B13" s="23">
        <f>B11/B7</f>
        <v>0.34196891191709844</v>
      </c>
      <c r="C13" s="23">
        <f>C11/C7</f>
        <v>0.16867469879518071</v>
      </c>
      <c r="D13" s="23">
        <f>D12/D7</f>
        <v>0.13725490196078433</v>
      </c>
    </row>
    <row r="14" spans="1:4" x14ac:dyDescent="0.25">
      <c r="A14" s="19" t="s">
        <v>961</v>
      </c>
      <c r="B14" s="23">
        <f>B12/B7</f>
        <v>0.18652849740932642</v>
      </c>
      <c r="C14" s="23">
        <f>C12/C7</f>
        <v>0.5662650602409639</v>
      </c>
      <c r="D14" s="23">
        <f>D12/D7</f>
        <v>0.13725490196078433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10" sqref="B10:D10"/>
    </sheetView>
  </sheetViews>
  <sheetFormatPr defaultRowHeight="13.2" x14ac:dyDescent="0.25"/>
  <cols>
    <col min="1" max="1" width="22.44140625" customWidth="1"/>
    <col min="2" max="2" width="16.21875" bestFit="1" customWidth="1"/>
    <col min="3" max="5" width="7.6640625" customWidth="1"/>
    <col min="6" max="6" width="11.33203125" customWidth="1"/>
    <col min="7" max="7" width="11.33203125" bestFit="1" customWidth="1"/>
  </cols>
  <sheetData>
    <row r="1" spans="1:6" ht="13.8" x14ac:dyDescent="0.25">
      <c r="A1" s="25" t="s">
        <v>964</v>
      </c>
      <c r="B1" s="27" t="s">
        <v>208</v>
      </c>
    </row>
    <row r="2" spans="1:6" ht="13.8" thickBot="1" x14ac:dyDescent="0.3"/>
    <row r="3" spans="1:6" x14ac:dyDescent="0.25">
      <c r="A3" s="16" t="s">
        <v>962</v>
      </c>
    </row>
    <row r="4" spans="1:6" x14ac:dyDescent="0.25">
      <c r="A4" s="17" t="s">
        <v>950</v>
      </c>
      <c r="B4" s="18">
        <v>46113</v>
      </c>
      <c r="C4" s="18">
        <v>46143</v>
      </c>
      <c r="D4" s="18">
        <v>46174</v>
      </c>
    </row>
    <row r="5" spans="1:6" x14ac:dyDescent="0.25">
      <c r="A5" s="19" t="s">
        <v>952</v>
      </c>
      <c r="B5" s="20">
        <f>COUNTIFS(Work_data!D:D,'Sales - India'!B1,Work_data!H:H,"&lt;="&amp;DATE(2026,4,1),Work_data!I:I,"&gt;="&amp;DATE(2026,4,1))+COUNTIFS(Work_data!D:D,'Sales - India'!B1,Work_data!H:H,"&lt;="&amp;DATE(2026,4,1),Work_data!I:I,"")</f>
        <v>183</v>
      </c>
      <c r="C5" s="20">
        <f>COUNTIFS(Work_data!D:D,'Sales - India'!B1,Work_data!H:H,"&lt;="&amp;DATE(2026,5,1),Work_data!I:I,"&gt;="&amp;DATE(2026,5,1))+COUNTIFS(Work_data!D:D,'Sales - India'!B1,Work_data!H:H,"&lt;="&amp;DATE(2026,5,1),Work_data!I:I,"")</f>
        <v>210</v>
      </c>
      <c r="D5" s="20">
        <f>COUNTIFS(Work_data!D:D,'Sales - India'!B1,Work_data!H:H,"&lt;="&amp;DATE(2026,6,1),Work_data!I:I,"&gt;="&amp;DATE(2026,6,1))+COUNTIFS(Work_data!D:D,'Sales - India'!B1,Work_data!H:H,"&lt;="&amp;DATE(2026,6,1),Work_data!I:I,"")</f>
        <v>233</v>
      </c>
      <c r="E5" s="15"/>
      <c r="F5" s="15"/>
    </row>
    <row r="6" spans="1:6" x14ac:dyDescent="0.25">
      <c r="A6" s="19" t="s">
        <v>953</v>
      </c>
      <c r="B6" s="20">
        <f>COUNTIFS(Work_data!D:D,'Sales - India'!B1,Work_data!H:H,"&lt;="&amp;DATE(2026,4,30),Work_data!I:I,"&gt;="&amp;DATE(2026,4,30))+COUNTIFS(Work_data!D:D,'Sales - India'!B1,Work_data!H:H,"&lt;="&amp;DATE(2026,4,30),Work_data!I:I,"")</f>
        <v>212</v>
      </c>
      <c r="C6" s="20">
        <f>COUNTIFS(Work_data!D:D,'Sales - India'!B1,Work_data!H:H,"&lt;="&amp;DATE(2026,5,31),Work_data!I:I,"&gt;="&amp;DATE(2026,5,31))+COUNTIFS(Work_data!D:D,'Sales - India'!B1,Work_data!H:H,"&lt;="&amp;DATE(2026,5,31),Work_data!I:I,"")</f>
        <v>234</v>
      </c>
      <c r="D6" s="20">
        <f>COUNTIFS(Work_data!D:D,'Sales - India'!B1,Work_data!H:H,"&lt;="&amp;DATE(2026,6,30),Work_data!I:I,"&gt;="&amp;DATE(2026,6,30))+COUNTIFS(Work_data!D:D,'Sales - India'!B1,Work_data!H:H,"&lt;="&amp;DATE(2026,6,30),Work_data!I:I,"")</f>
        <v>206</v>
      </c>
      <c r="E6" s="15"/>
      <c r="F6" s="15"/>
    </row>
    <row r="7" spans="1:6" x14ac:dyDescent="0.25">
      <c r="A7" s="19" t="s">
        <v>954</v>
      </c>
      <c r="B7" s="20">
        <f>(B5+B6)/2</f>
        <v>197.5</v>
      </c>
      <c r="C7" s="20">
        <f>(C5+C6)/2</f>
        <v>222</v>
      </c>
      <c r="D7" s="20">
        <f>(D5+D6)/2</f>
        <v>219.5</v>
      </c>
      <c r="E7" s="15"/>
      <c r="F7" s="15"/>
    </row>
    <row r="8" spans="1:6" x14ac:dyDescent="0.25">
      <c r="A8" s="19" t="s">
        <v>955</v>
      </c>
      <c r="B8" s="20">
        <f>COUNTIFS(Work_data!D:D,'Sales - India'!B1,Work_data!H:H,"&gt;="&amp;DATE(2026,4,1),Work_data!H:H,"&lt;="&amp;DATE(2026,4,30))</f>
        <v>122</v>
      </c>
      <c r="C8" s="20">
        <f>COUNTIFS(Work_data!D:D,'Sales - India'!B1,Work_data!H:H,"&gt;="&amp;DATE(2026,5,1),Work_data!H:H,"&lt;="&amp;DATE(2026,5,31))</f>
        <v>134</v>
      </c>
      <c r="D8" s="20">
        <f>COUNTIFS(Work_data!D:D,'Sales - India'!B1,Work_data!H:H,"&gt;="&amp;DATE(2026,6,1),Work_data!H:H,"&lt;="&amp;DATE(2026,6,31))</f>
        <v>110</v>
      </c>
      <c r="E8" s="15"/>
      <c r="F8" s="15"/>
    </row>
    <row r="9" spans="1:6" x14ac:dyDescent="0.25">
      <c r="A9" s="19" t="s">
        <v>956</v>
      </c>
      <c r="B9" s="20">
        <f>COUNTIFS(Work_data!D:D,'Sales - India'!B1,Work_data!I:I,"&gt;="&amp;DATE(2026,4,1),Work_data!I:I,"&lt;="&amp;DATE(2026,4,30))</f>
        <v>91</v>
      </c>
      <c r="C9" s="20">
        <f>COUNTIFS(Work_data!D:D,'Sales - India'!B1,Work_data!I:I,"&gt;="&amp;DATE(2026,5,1),Work_data!I:I,"&lt;="&amp;DATE(2026,5,31))</f>
        <v>113</v>
      </c>
      <c r="D9" s="20">
        <f>COUNTIFS(Work_data!D:D,'Sales - India'!B1,Work_data!I:I,"&gt;="&amp;DATE(2026,6,1),Work_data!I:I,"&lt;="&amp;DATE(2026,6,30))</f>
        <v>135</v>
      </c>
      <c r="E9" s="15"/>
      <c r="F9" s="15"/>
    </row>
    <row r="10" spans="1:6" x14ac:dyDescent="0.25">
      <c r="A10" s="19" t="s">
        <v>957</v>
      </c>
      <c r="B10" s="23">
        <f>B9/B7</f>
        <v>0.46075949367088609</v>
      </c>
      <c r="C10" s="23">
        <f>C9/C7</f>
        <v>0.50900900900900903</v>
      </c>
      <c r="D10" s="23">
        <f>D9/D7</f>
        <v>0.61503416856492032</v>
      </c>
    </row>
    <row r="11" spans="1:6" x14ac:dyDescent="0.25">
      <c r="A11" s="19" t="s">
        <v>958</v>
      </c>
      <c r="B11" s="20">
        <f>COUNTIFS(Work_data!D:D,'Sales - India'!B1,Work_data!I:I,"&gt;="&amp;DATE(2026,4,1),Work_data!I:I,"&lt;="&amp;DATE(2026,4,30),Work_data!K:K,"Voluntary")</f>
        <v>54</v>
      </c>
      <c r="C11" s="20">
        <f>COUNTIFS(Work_data!D:D,'Sales - India'!B1,Work_data!I:I,"&gt;="&amp;DATE(2026,5,1),Work_data!I:I,"&lt;="&amp;DATE(2026,5,31),Work_data!K:K,"Voluntary")</f>
        <v>55</v>
      </c>
      <c r="D11" s="20">
        <f>COUNTIFS(Work_data!D:D,'Sales - India'!B1,Work_data!I:I,"&gt;="&amp;DATE(2026,6,1),Work_data!I:I,"&lt;="&amp;DATE(2026,6,30),Work_data!K:K,"Voluntary")</f>
        <v>71</v>
      </c>
    </row>
    <row r="12" spans="1:6" x14ac:dyDescent="0.25">
      <c r="A12" s="19" t="s">
        <v>959</v>
      </c>
      <c r="B12" s="20">
        <f>COUNTIFS(Work_data!D:D,'Sales - India'!B1,Work_data!I:I,"&gt;="&amp;DATE(2026,4,1),Work_data!I:I,"&lt;="&amp;DATE(2026,4,30),Work_data!K:K,"Involuntary")</f>
        <v>37</v>
      </c>
      <c r="C12" s="20">
        <f>COUNTIFS(Work_data!D:D,'Sales - India'!B1,Work_data!I:I,"&gt;="&amp;DATE(2026,5,1),Work_data!I:I,"&lt;="&amp;DATE(2026,5,31),Work_data!K:K,"Involuntary")</f>
        <v>58</v>
      </c>
      <c r="D12" s="20">
        <f>COUNTIFS(Work_data!D:D,'Sales - India'!B1,Work_data!I:I,"&gt;="&amp;DATE(2026,6,1),Work_data!I:I,"&lt;="&amp;DATE(2026,6,30),Work_data!K:K,"Involuntary")</f>
        <v>64</v>
      </c>
    </row>
    <row r="13" spans="1:6" x14ac:dyDescent="0.25">
      <c r="A13" s="19" t="s">
        <v>960</v>
      </c>
      <c r="B13" s="23">
        <f>B11/B7</f>
        <v>0.27341772151898736</v>
      </c>
      <c r="C13" s="23">
        <f>C11/C7</f>
        <v>0.24774774774774774</v>
      </c>
      <c r="D13" s="23">
        <f>D11/D7</f>
        <v>0.32346241457858771</v>
      </c>
    </row>
    <row r="14" spans="1:6" x14ac:dyDescent="0.25">
      <c r="A14" s="19" t="s">
        <v>961</v>
      </c>
      <c r="B14" s="23">
        <f>B12/B7</f>
        <v>0.18734177215189873</v>
      </c>
      <c r="C14" s="23">
        <f>C12/C7</f>
        <v>0.26126126126126126</v>
      </c>
      <c r="D14" s="23">
        <f>D12/D7</f>
        <v>0.29157175398633256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6" sqref="D6"/>
    </sheetView>
  </sheetViews>
  <sheetFormatPr defaultRowHeight="13.2" x14ac:dyDescent="0.25"/>
  <cols>
    <col min="1" max="1" width="23.21875" customWidth="1"/>
    <col min="2" max="2" width="20" customWidth="1"/>
  </cols>
  <sheetData>
    <row r="1" spans="1:5" ht="13.8" x14ac:dyDescent="0.25">
      <c r="A1" s="25" t="s">
        <v>964</v>
      </c>
      <c r="B1" s="26" t="s">
        <v>829</v>
      </c>
    </row>
    <row r="2" spans="1:5" ht="13.8" thickBot="1" x14ac:dyDescent="0.3"/>
    <row r="3" spans="1:5" x14ac:dyDescent="0.25">
      <c r="A3" s="16" t="s">
        <v>962</v>
      </c>
    </row>
    <row r="4" spans="1:5" x14ac:dyDescent="0.25">
      <c r="A4" s="17" t="s">
        <v>950</v>
      </c>
      <c r="B4" s="18">
        <v>46113</v>
      </c>
      <c r="C4" s="18">
        <v>46143</v>
      </c>
      <c r="D4" s="18">
        <v>46174</v>
      </c>
    </row>
    <row r="5" spans="1:5" x14ac:dyDescent="0.25">
      <c r="A5" s="19" t="s">
        <v>952</v>
      </c>
      <c r="B5" s="20">
        <f>COUNTIFS(Work_data!D:D,B1,Work_data!H:H,"&lt;="&amp;DATE(2026,4,1),Work_data!I:I,"&gt;="&amp;DATE(2026,4,1))+COUNTIFS(Work_data!D:D,B1,Work_data!H:H,"&lt;="&amp;DATE(2026,4,1),Work_data!I:I,"")</f>
        <v>43</v>
      </c>
      <c r="C5" s="20">
        <f>COUNTIFS(Work_data!D:D,B1,Work_data!H:H,"&lt;="&amp;DATE(2026,5,1),Work_data!I:I,"&gt;="&amp;DATE(2026,5,1))+COUNTIFS(Work_data!D:D,B1,Work_data!H:H,"&lt;="&amp;DATE(2026,5,1),Work_data!I:I,"")</f>
        <v>48</v>
      </c>
      <c r="D5" s="20">
        <f>COUNTIFS(Work_data!D:D,B1,Work_data!H:H,"&lt;="&amp;DATE(2026,6,1),Work_data!I:I,"&gt;="&amp;DATE(2026,6,1))+COUNTIFS(Work_data!D:D,B1,Work_data!H:H,"&lt;="&amp;DATE(2026,6,1),Work_data!I:I,"")</f>
        <v>50</v>
      </c>
      <c r="E5" s="15"/>
    </row>
    <row r="6" spans="1:5" x14ac:dyDescent="0.25">
      <c r="A6" s="19" t="s">
        <v>953</v>
      </c>
      <c r="B6" s="20">
        <f>COUNTIFS(Work_data!D:D,B1,Work_data!H:H,"&lt;="&amp;DATE(2026,4,30),Work_data!I:I,"&gt;="&amp;DATE(2026,4,30))+COUNTIFS(Work_data!D:D,B1,Work_data!H:H,"&lt;="&amp;DATE(2026,4,30),Work_data!I:I,"")</f>
        <v>49</v>
      </c>
      <c r="C6" s="20">
        <f>COUNTIFS(Work_data!D:D,B1,Work_data!H:H,"&lt;="&amp;DATE(2026,5,31),Work_data!I:I,"&gt;="&amp;DATE(2026,5,31))+COUNTIFS(Work_data!D:D,B1,Work_data!H:H,"&lt;="&amp;DATE(2026,5,31),Work_data!I:I,"")</f>
        <v>49</v>
      </c>
      <c r="D6" s="20">
        <f>COUNTIFS(Work_data!D:D,B1,Work_data!H:H,"&lt;="&amp;DATE(2026,6,30),Work_data!I:I,"&gt;="&amp;DATE(2026,6,30))+COUNTIFS(Work_data!D:D,B1,Work_data!H:H,"&lt;="&amp;DATE(2026,6,30),Work_data!I:I,"")</f>
        <v>44</v>
      </c>
      <c r="E6" s="15"/>
    </row>
    <row r="7" spans="1:5" x14ac:dyDescent="0.25">
      <c r="A7" s="19" t="s">
        <v>954</v>
      </c>
      <c r="B7" s="20">
        <f>(B5+B6)/2</f>
        <v>46</v>
      </c>
      <c r="C7" s="20">
        <f>(C5+C6)/2</f>
        <v>48.5</v>
      </c>
      <c r="D7" s="20">
        <f>(D5+D6)/2</f>
        <v>47</v>
      </c>
      <c r="E7" s="15"/>
    </row>
    <row r="8" spans="1:5" x14ac:dyDescent="0.25">
      <c r="A8" s="19" t="s">
        <v>955</v>
      </c>
      <c r="B8" s="20">
        <f>COUNTIFS(Work_data!D:D,'Sales - ROW - GCC'!B1,Work_data!H:H,"&gt;="&amp;DATE(2026,4,1),Work_data!H:H,"&lt;="&amp;DATE(2026,4,30))</f>
        <v>26</v>
      </c>
      <c r="C8" s="20">
        <f>COUNTIFS(Work_data!D:D,'Sales - ROW - GCC'!B1,Work_data!H:H,"&gt;="&amp;DATE(2026,5,1),Work_data!H:H,"&lt;="&amp;DATE(2026,5,31))</f>
        <v>19</v>
      </c>
      <c r="D8" s="20">
        <f>COUNTIFS(Work_data!D:D,'Sales - ROW - GCC'!B1,Work_data!H:H,"&gt;="&amp;DATE(2026,6,1),Work_data!H:H,"&lt;="&amp;DATE(2026,6,30))</f>
        <v>22</v>
      </c>
      <c r="E8" s="15"/>
    </row>
    <row r="9" spans="1:5" x14ac:dyDescent="0.25">
      <c r="A9" s="19" t="s">
        <v>956</v>
      </c>
      <c r="B9" s="20">
        <f>COUNTIFS(Work_data!D:D,'Sales - ROW - GCC'!B1,Work_data!I:I,"&gt;="&amp;DATE(2026,4,1),Work_data!I:I,"&lt;="&amp;DATE(2026,4,30))</f>
        <v>20</v>
      </c>
      <c r="C9" s="20">
        <f>COUNTIFS(Work_data!D:D,'Sales - ROW - GCC'!B1,Work_data!I:I,"&gt;="&amp;DATE(2026,5,1),Work_data!I:I,"&lt;="&amp;DATE(2026,5,31))</f>
        <v>19</v>
      </c>
      <c r="D9" s="20">
        <f>COUNTIFS(Work_data!D:D,'Sales - ROW - GCC'!B1,Work_data!I:I,"&gt;="&amp;DATE(2026,6,1),Work_data!I:I,"&lt;="&amp;DATE(2026,6,30))</f>
        <v>26</v>
      </c>
      <c r="E9" s="15"/>
    </row>
    <row r="10" spans="1:5" x14ac:dyDescent="0.25">
      <c r="A10" s="19" t="s">
        <v>957</v>
      </c>
      <c r="B10" s="23">
        <f>B9/B7</f>
        <v>0.43478260869565216</v>
      </c>
      <c r="C10" s="23">
        <f>C9/C7</f>
        <v>0.39175257731958762</v>
      </c>
      <c r="D10" s="23">
        <f>D9/D7</f>
        <v>0.55319148936170215</v>
      </c>
    </row>
    <row r="11" spans="1:5" x14ac:dyDescent="0.25">
      <c r="A11" s="19" t="s">
        <v>958</v>
      </c>
      <c r="B11" s="20">
        <f>COUNTIFS(Work_data!D:D,'Sales - ROW - GCC'!B1,Work_data!I:I,"&gt;="&amp;DATE(2026,4,1),Work_data!I:I,"&lt;="&amp;DATE(2026,4,30),Work_data!K:K,"Voluntary")</f>
        <v>9</v>
      </c>
      <c r="C11" s="20">
        <f>COUNTIFS(Work_data!D:D,'Sales - ROW - GCC'!B1,Work_data!I:I,"&gt;="&amp;DATE(2026,5,1),Work_data!I:I,"&lt;="&amp;DATE(2026,5,31),Work_data!K:K,"Voluntary")</f>
        <v>13</v>
      </c>
      <c r="D11" s="20">
        <f>COUNTIFS(Work_data!D:D,'Sales - ROW - GCC'!B1,Work_data!I:I,"&gt;="&amp;DATE(2026,6,1),Work_data!I:I,"&lt;="&amp;DATE(2026,6,30),Work_data!K:K,"Voluntary")</f>
        <v>14</v>
      </c>
    </row>
    <row r="12" spans="1:5" x14ac:dyDescent="0.25">
      <c r="A12" s="19" t="s">
        <v>959</v>
      </c>
      <c r="B12" s="20">
        <f>COUNTIFS(Work_data!D:D,'Sales - ROW - GCC'!B1,Work_data!I:I,"&gt;="&amp;DATE(2026,4,1),Work_data!I:I,"&lt;="&amp;DATE(2026,4,30),Work_data!K:K,"Involuntary")</f>
        <v>11</v>
      </c>
      <c r="C12" s="20">
        <f>COUNTIFS(Work_data!D:D,'Sales - ROW - GCC'!B1,Work_data!I:I,"&gt;="&amp;DATE(2026,5,1),Work_data!I:I,"&lt;="&amp;DATE(2026,5,31),Work_data!K:K,"Involuntary")</f>
        <v>6</v>
      </c>
      <c r="D12" s="20">
        <f>COUNTIFS(Work_data!D:D,'Sales - ROW - GCC'!B1,Work_data!I:I,"&gt;="&amp;DATE(2026,6,1),Work_data!I:I,"&lt;="&amp;DATE(2026,6,30),Work_data!K:K,"Involuntary")</f>
        <v>12</v>
      </c>
    </row>
    <row r="13" spans="1:5" x14ac:dyDescent="0.25">
      <c r="A13" s="19" t="s">
        <v>960</v>
      </c>
      <c r="B13" s="23">
        <f>B11/B7</f>
        <v>0.19565217391304349</v>
      </c>
      <c r="C13" s="23">
        <f>C11/C7</f>
        <v>0.26804123711340205</v>
      </c>
      <c r="D13" s="23">
        <f>D11/D7</f>
        <v>0.2978723404255319</v>
      </c>
    </row>
    <row r="14" spans="1:5" x14ac:dyDescent="0.25">
      <c r="A14" s="19" t="s">
        <v>961</v>
      </c>
      <c r="B14" s="23">
        <f>B12/B7</f>
        <v>0.2391304347826087</v>
      </c>
      <c r="C14" s="23">
        <f>C12/C7</f>
        <v>0.12371134020618557</v>
      </c>
      <c r="D14" s="23">
        <f>D12/D7</f>
        <v>0.25531914893617019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B4" sqref="B4:D4"/>
    </sheetView>
  </sheetViews>
  <sheetFormatPr defaultRowHeight="13.2" x14ac:dyDescent="0.25"/>
  <cols>
    <col min="1" max="1" width="19.109375" bestFit="1" customWidth="1"/>
    <col min="2" max="2" width="19.6640625" customWidth="1"/>
  </cols>
  <sheetData>
    <row r="1" spans="1:5" ht="13.8" x14ac:dyDescent="0.25">
      <c r="A1" s="25" t="s">
        <v>964</v>
      </c>
      <c r="B1" s="26" t="s">
        <v>753</v>
      </c>
    </row>
    <row r="2" spans="1:5" ht="13.8" thickBot="1" x14ac:dyDescent="0.3"/>
    <row r="3" spans="1:5" x14ac:dyDescent="0.25">
      <c r="A3" s="16" t="s">
        <v>962</v>
      </c>
    </row>
    <row r="4" spans="1:5" x14ac:dyDescent="0.25">
      <c r="A4" s="17" t="s">
        <v>950</v>
      </c>
      <c r="B4" s="18">
        <v>46113</v>
      </c>
      <c r="C4" s="18">
        <v>46143</v>
      </c>
      <c r="D4" s="18">
        <v>46174</v>
      </c>
    </row>
    <row r="5" spans="1:5" x14ac:dyDescent="0.25">
      <c r="A5" s="19" t="s">
        <v>952</v>
      </c>
      <c r="B5" s="20">
        <f>COUNTIFS(Work_data!D:D,'Sales - ROW - ANZ'!B1,Work_data!H:H,"&lt;="&amp;DATE(2026,4,1),Work_data!I:I,"&gt;="&amp;DATE(2026,4,1))+COUNTIFS(Work_data!D:D,'Sales - ROW - ANZ'!B1,Work_data!H:H,"&lt;="&amp;DATE(2026,4,1),Work_data!I:I,"")</f>
        <v>33</v>
      </c>
      <c r="C5" s="20">
        <f>COUNTIFS(Work_data!D:D,'Sales - ROW - ANZ'!B1,Work_data!H:H,"&lt;="&amp;DATE(2026,5,1),Work_data!I:I,"&gt;="&amp;DATE(2026,5,1))+COUNTIFS(Work_data!D:D,'Sales - ROW - ANZ'!B1,Work_data!H:H,"&lt;="&amp;DATE(2026,5,1),Work_data!I:I,"")</f>
        <v>41</v>
      </c>
      <c r="D5" s="20">
        <f>COUNTIFS(Work_data!D:D,'Sales - ROW - ANZ'!B1,Work_data!H:H,"&lt;="&amp;DATE(2026,6,1),Work_data!I:I,"&gt;="&amp;DATE(2026,6,1))+COUNTIFS(Work_data!D:D,'Sales - ROW - ANZ'!B1,Work_data!H:H,"&lt;="&amp;DATE(2026,6,1),Work_data!I:I,"")</f>
        <v>34</v>
      </c>
      <c r="E5" s="15"/>
    </row>
    <row r="6" spans="1:5" x14ac:dyDescent="0.25">
      <c r="A6" s="19" t="s">
        <v>953</v>
      </c>
      <c r="B6" s="20">
        <f>COUNTIFS(Work_data!D:D,'Sales - ROW - ANZ'!B1,Work_data!H:H,"&lt;="&amp;DATE(2026,4,30),Work_data!I:I,"&gt;="&amp;DATE(2026,4,30))+COUNTIFS(Work_data!D:D,'Sales - ROW - ANZ'!B1,Work_data!H:H,"&lt;="&amp;DATE(2026,4,30),Work_data!I:I,"")</f>
        <v>42</v>
      </c>
      <c r="C6" s="20">
        <f>COUNTIFS(Work_data!D:D,'Sales - ROW - ANZ'!B1,Work_data!H:H,"&lt;="&amp;DATE(2026,5,31),Work_data!I:I,"&gt;="&amp;DATE(2026,5,31))+COUNTIFS(Work_data!D:D,'Sales - ROW - ANZ'!B1,Work_data!H:H,"&lt;="&amp;DATE(2026,5,31),Work_data!I:I,"")</f>
        <v>34</v>
      </c>
      <c r="D6" s="20">
        <f>COUNTIFS(Work_data!D:D,'Sales - ROW - ANZ'!B1,Work_data!H:H,"&lt;="&amp;DATE(2026,6,30),Work_data!I:I,"&gt;="&amp;DATE(2026,6,30))+COUNTIFS(Work_data!D:D,'Sales - ROW - ANZ'!B1,Work_data!H:H,"&lt;="&amp;DATE(2026,6,30),Work_data!I:I,"")</f>
        <v>33</v>
      </c>
      <c r="E6" s="15"/>
    </row>
    <row r="7" spans="1:5" x14ac:dyDescent="0.25">
      <c r="A7" s="19" t="s">
        <v>954</v>
      </c>
      <c r="B7" s="20">
        <f>(B5+B6)/2</f>
        <v>37.5</v>
      </c>
      <c r="C7" s="20">
        <f>(C5+C6)/2</f>
        <v>37.5</v>
      </c>
      <c r="D7" s="20">
        <f>(D5+D6)/2</f>
        <v>33.5</v>
      </c>
      <c r="E7" s="15"/>
    </row>
    <row r="8" spans="1:5" x14ac:dyDescent="0.25">
      <c r="A8" s="19" t="s">
        <v>955</v>
      </c>
      <c r="B8" s="20">
        <f>COUNTIFS(Work_data!D:D,'Sales - ROW - ANZ'!B1,Work_data!H:H,"&gt;="&amp;DATE(2026,4,1),Work_data!H:H,"&lt;="&amp;DATE(2026,4,30))</f>
        <v>23</v>
      </c>
      <c r="C8" s="20">
        <f>COUNTIFS(Work_data!D:D,'Sales - ROW - ANZ'!B1,Work_data!H:H,"&gt;="&amp;DATE(2026,5,1),Work_data!H:H,"&lt;="&amp;DATE(2026,5,31))</f>
        <v>9</v>
      </c>
      <c r="D8" s="20">
        <f>COUNTIFS(Work_data!D:D,'Sales - ROW - ANZ'!B1,Work_data!H:H,"&gt;="&amp;DATE(2026,6,1),Work_data!H:H,"&lt;="&amp;DATE(2026,6,30))</f>
        <v>8</v>
      </c>
      <c r="E8" s="15"/>
    </row>
    <row r="9" spans="1:5" x14ac:dyDescent="0.25">
      <c r="A9" s="19" t="s">
        <v>956</v>
      </c>
      <c r="B9" s="20">
        <f>COUNTIFS(Work_data!D:D,'Sales - ROW - ANZ'!B1,Work_data!I:I,"&gt;="&amp;DATE(2026,4,1),Work_data!I:I,"&lt;="&amp;DATE(2026,4,30))</f>
        <v>15</v>
      </c>
      <c r="C9" s="20">
        <f>COUNTIFS(Work_data!D:D,'Sales - ROW - ANZ'!B1,Work_data!I:I,"&gt;="&amp;DATE(2026,5,1),Work_data!I:I,"&lt;="&amp;DATE(2026,5,31))</f>
        <v>16</v>
      </c>
      <c r="D9" s="20">
        <f>COUNTIFS(Work_data!D:D,'Sales - ROW - ANZ'!B1,Work_data!I:I,"&gt;="&amp;DATE(2026,6,1),Work_data!I:I,"&lt;="&amp;DATE(2026,6,30))</f>
        <v>12</v>
      </c>
      <c r="E9" s="15"/>
    </row>
    <row r="10" spans="1:5" x14ac:dyDescent="0.25">
      <c r="A10" s="19" t="s">
        <v>957</v>
      </c>
      <c r="B10" s="23">
        <f>B9/B7</f>
        <v>0.4</v>
      </c>
      <c r="C10" s="23">
        <f>C9/C7</f>
        <v>0.42666666666666669</v>
      </c>
      <c r="D10" s="23">
        <f>D9/D7</f>
        <v>0.35820895522388058</v>
      </c>
    </row>
    <row r="11" spans="1:5" x14ac:dyDescent="0.25">
      <c r="A11" s="19" t="s">
        <v>958</v>
      </c>
      <c r="B11" s="20">
        <f>COUNTIFS(Work_data!D:D,'Sales - ROW - ANZ'!B1,Work_data!I:I,"&gt;="&amp;DATE(2026,4,1),Work_data!I:I,"&lt;="&amp;DATE(2026,4,30),Work_data!K:K,"Voluntary")</f>
        <v>5</v>
      </c>
      <c r="C11" s="20">
        <f>COUNTIFS(Work_data!D:D,'Sales - ROW - ANZ'!B1,Work_data!I:I,"&gt;="&amp;DATE(2026,5,1),Work_data!I:I,"&lt;="&amp;DATE(2026,5,31),Work_data!K:K,"Voluntary")</f>
        <v>12</v>
      </c>
      <c r="D11" s="20">
        <f>COUNTIFS(Work_data!D:D,'Sales - ROW - ANZ'!B1,Work_data!I:I,"&gt;="&amp;DATE(2026,6,1),Work_data!I:I,"&lt;="&amp;DATE(2026,6,31),Work_data!K:K,"Voluntary")</f>
        <v>3</v>
      </c>
    </row>
    <row r="12" spans="1:5" x14ac:dyDescent="0.25">
      <c r="A12" s="19" t="s">
        <v>959</v>
      </c>
      <c r="B12" s="20">
        <f>COUNTIFS(Work_data!D:D,'Sales - ROW - ANZ'!B1,Work_data!I:I,"&gt;="&amp;DATE(2026,4,1),Work_data!I:I,"&lt;="&amp;DATE(2026,4,30),Work_data!K:K,"Involuntary")</f>
        <v>10</v>
      </c>
      <c r="C12" s="20">
        <f>COUNTIFS(Work_data!D:D,'Sales - ROW - ANZ'!B1,Work_data!I:I,"&gt;="&amp;DATE(2026,5,1),Work_data!I:I,"&lt;="&amp;DATE(2026,5,31),Work_data!K:K,"Involuntary")</f>
        <v>4</v>
      </c>
      <c r="D12" s="20">
        <f>COUNTIFS(Work_data!D:D,'Sales - ROW - ANZ'!B1,Work_data!I:I,"&gt;="&amp;DATE(2026,6,1),Work_data!I:I,"&lt;="&amp;DATE(2026,6,31),Work_data!K:K,"Involuntary")</f>
        <v>9</v>
      </c>
    </row>
    <row r="13" spans="1:5" x14ac:dyDescent="0.25">
      <c r="A13" s="19" t="s">
        <v>960</v>
      </c>
      <c r="B13" s="23">
        <f>B11/B7</f>
        <v>0.13333333333333333</v>
      </c>
      <c r="C13" s="23">
        <f>C11/C7</f>
        <v>0.32</v>
      </c>
      <c r="D13" s="23">
        <f>D11/D7</f>
        <v>8.9552238805970144E-2</v>
      </c>
    </row>
    <row r="14" spans="1:5" x14ac:dyDescent="0.25">
      <c r="A14" s="19" t="s">
        <v>961</v>
      </c>
      <c r="B14" s="23">
        <f>B12/B7</f>
        <v>0.26666666666666666</v>
      </c>
      <c r="C14" s="23">
        <f>C12/C7</f>
        <v>0.10666666666666667</v>
      </c>
      <c r="D14" s="23">
        <f>D12/D7</f>
        <v>0.26865671641791045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9" sqref="A9:D9"/>
    </sheetView>
  </sheetViews>
  <sheetFormatPr defaultRowHeight="13.2" x14ac:dyDescent="0.25"/>
  <cols>
    <col min="1" max="1" width="39.109375" customWidth="1"/>
  </cols>
  <sheetData>
    <row r="1" spans="1:4" ht="25.2" customHeight="1" x14ac:dyDescent="0.3">
      <c r="A1" s="29" t="s">
        <v>965</v>
      </c>
      <c r="C1" s="30" t="s">
        <v>19</v>
      </c>
    </row>
    <row r="2" spans="1:4" ht="25.2" customHeight="1" x14ac:dyDescent="0.3">
      <c r="A2" s="29"/>
    </row>
    <row r="3" spans="1:4" x14ac:dyDescent="0.25">
      <c r="A3" s="17" t="s">
        <v>950</v>
      </c>
      <c r="B3" s="18">
        <v>46113</v>
      </c>
      <c r="C3" s="18">
        <v>46143</v>
      </c>
      <c r="D3" s="18">
        <v>46174</v>
      </c>
    </row>
    <row r="4" spans="1:4" x14ac:dyDescent="0.25">
      <c r="A4" s="19" t="s">
        <v>952</v>
      </c>
      <c r="B4" s="20">
        <f>COUNTIFS(Work_data!G:G,'WFH Analysis'!C1,Work_data!H:H,"&lt;="&amp;DATE(2026,4,1),Work_data!I:I,"&gt;="&amp;DATE(2026,4,1))+COUNTIFS(Work_data!G:G,"WFH",Work_data!H:H,"&lt;="&amp;DATE(2026,4,1),Work_data!I:I,"")</f>
        <v>221</v>
      </c>
      <c r="C4" s="20">
        <f>COUNTIFS(Work_data!G:G,'WFH Analysis'!C1,Work_data!H:H,"&lt;="&amp;DATE(2026,5,1),Work_data!I:I,"&gt;="&amp;DATE(2026,5,1))+COUNTIFS(Work_data!G:G,"WFH",Work_data!H:H,"&lt;="&amp;DATE(2026,5,1),Work_data!I:I,"")</f>
        <v>286</v>
      </c>
      <c r="D4" s="20">
        <f>COUNTIFS(Work_data!G:G,'WFH Analysis'!C1,Work_data!H:H,"&lt;="&amp;DATE(2026,6,1),Work_data!I:I,"&gt;="&amp;DATE(2026,6,1))+COUNTIFS(Work_data!G:G,"WFH",Work_data!H:H,"&lt;="&amp;DATE(2026,6,1),Work_data!I:I,"")</f>
        <v>274</v>
      </c>
    </row>
    <row r="5" spans="1:4" x14ac:dyDescent="0.25">
      <c r="A5" s="19" t="s">
        <v>953</v>
      </c>
      <c r="B5" s="20">
        <f>COUNTIFS(Work_data!G:G,'WFH Analysis'!C1,Work_data!H:H,"&lt;="&amp;DATE(2026,4,30),Work_data!I:I,"&gt;="&amp;DATE(2026,4,30))+COUNTIFS(Work_data!G:G,'WFH Analysis'!C1,Work_data!H:H,"&lt;="&amp;DATE(2026,4,30),Work_data!I:I,"")</f>
        <v>295</v>
      </c>
      <c r="C5" s="20">
        <f>COUNTIFS(Work_data!G:G,'WFH Analysis'!C1,Work_data!H:H,"&lt;="&amp;DATE(2026,5,31),Work_data!I:I,"&gt;="&amp;DATE(2026,5,31))+COUNTIFS(Work_data!G:G,'WFH Analysis'!C1,Work_data!H:H,"&lt;="&amp;DATE(2026,5,31),Work_data!I:I,"")</f>
        <v>275</v>
      </c>
      <c r="D5" s="20">
        <f>COUNTIFS(Work_data!G:G,'WFH Analysis'!C1,Work_data!H:H,"&lt;="&amp;DATE(2026,6,30),Work_data!I:I,"&gt;="&amp;DATE(2026,6,30))+COUNTIFS(Work_data!G:G,'WFH Analysis'!C1,Work_data!H:H,"&lt;="&amp;DATE(2026,6,30),Work_data!I:I,"")</f>
        <v>237</v>
      </c>
    </row>
    <row r="6" spans="1:4" x14ac:dyDescent="0.25">
      <c r="A6" s="19" t="s">
        <v>954</v>
      </c>
      <c r="B6" s="20">
        <f>(B4+B5)/2</f>
        <v>258</v>
      </c>
      <c r="C6" s="20">
        <f>(C4+C5)/2</f>
        <v>280.5</v>
      </c>
      <c r="D6" s="20">
        <f>(D4+D5)/2</f>
        <v>255.5</v>
      </c>
    </row>
    <row r="7" spans="1:4" x14ac:dyDescent="0.25">
      <c r="A7" s="19" t="s">
        <v>955</v>
      </c>
      <c r="B7" s="20">
        <f>COUNTIFS(Work_data!G:G,'WFH Analysis'!C1,Work_data!H:H,"&gt;="&amp;DATE(2026,4,1),Work_data!H:H,"&lt;="&amp;DATE(2026,4,30))</f>
        <v>211</v>
      </c>
      <c r="C7" s="20">
        <f>COUNTIFS(Work_data!G:G,'WFH Analysis'!C1,Work_data!H:H,"&gt;="&amp;DATE(2026,5,1),Work_data!H:H,"&lt;="&amp;DATE(2026,5,31))</f>
        <v>134</v>
      </c>
      <c r="D7" s="20">
        <f>COUNTIFS(Work_data!G:G,'WFH Analysis'!C1,Work_data!H:H,"&gt;="&amp;DATE(2026,6,1),Work_data!H:H,"&lt;="&amp;DATE(2026,6,30))</f>
        <v>121</v>
      </c>
    </row>
    <row r="8" spans="1:4" x14ac:dyDescent="0.25">
      <c r="A8" s="19" t="s">
        <v>956</v>
      </c>
      <c r="B8" s="20">
        <f>COUNTIFS(Work_data!G:G,'WFH Analysis'!C1,Work_data!I:I,"&gt;="&amp;DATE(2026,4,1),Work_data!I:I,"&lt;="&amp;DATE(2026,4,30))</f>
        <v>140</v>
      </c>
      <c r="C8" s="20">
        <f>COUNTIFS(Work_data!G:G,'WFH Analysis'!C1,Work_data!I:I,"&gt;="&amp;DATE(2026,5,1),Work_data!I:I,"&lt;="&amp;DATE(2026,5,31))</f>
        <v>149</v>
      </c>
      <c r="D8" s="20">
        <f>COUNTIFS(Work_data!G:G,'WFH Analysis'!C1,Work_data!I:I,"&gt;="&amp;DATE(2026,6,1),Work_data!I:I,"&lt;="&amp;DATE(2026,6,31))</f>
        <v>160</v>
      </c>
    </row>
    <row r="9" spans="1:4" x14ac:dyDescent="0.25">
      <c r="A9" s="19" t="s">
        <v>957</v>
      </c>
      <c r="B9" s="23">
        <f>B8/B6</f>
        <v>0.54263565891472865</v>
      </c>
      <c r="C9" s="23">
        <f>C8/C6</f>
        <v>0.5311942959001783</v>
      </c>
      <c r="D9" s="23">
        <f>D8/D6</f>
        <v>0.6262230919765166</v>
      </c>
    </row>
    <row r="10" spans="1:4" x14ac:dyDescent="0.25">
      <c r="A10" s="19" t="s">
        <v>958</v>
      </c>
      <c r="B10" s="20">
        <f>COUNTIFS(Work_data!G:G,'WFH Analysis'!C1,Work_data!I:I,"&gt;="&amp;DATE(2026,4,1),Work_data!I:I,"&lt;="&amp;DATE(2026,4,30),Work_data!K:K,"Voluntary")</f>
        <v>76</v>
      </c>
      <c r="C10" s="20">
        <f>COUNTIFS(Work_data!G:G,'WFH Analysis'!C1,Work_data!I:I,"&gt;="&amp;DATE(2026,5,1),Work_data!I:I,"&lt;="&amp;DATE(2026,5,31),Work_data!K:K,"Voluntary")</f>
        <v>73</v>
      </c>
      <c r="D10" s="20">
        <f>COUNTIFS(Work_data!G:G,'WFH Analysis'!C1,Work_data!I:I,"&gt;="&amp;DATE(2026,6,1),Work_data!I:I,"&lt;="&amp;DATE(2026,6,30),Work_data!K:K,"Voluntary")</f>
        <v>77</v>
      </c>
    </row>
    <row r="11" spans="1:4" x14ac:dyDescent="0.25">
      <c r="A11" s="19" t="s">
        <v>959</v>
      </c>
      <c r="B11" s="20">
        <f>COUNTIFS(Work_data!G:G,'WFH Analysis'!C1,Work_data!I:I,"&gt;="&amp;DATE(2026,4,1),Work_data!I:I,"&lt;="&amp;DATE(2026,4,30),Work_data!K:K,"Involuntary")</f>
        <v>64</v>
      </c>
      <c r="C11" s="20">
        <f>COUNTIFS(Work_data!G:G,'WFH Analysis'!C1,Work_data!I:I,"&gt;="&amp;DATE(2026,5,1),Work_data!I:I,"&lt;="&amp;DATE(2026,5,31),Work_data!K:K,"Involuntary")</f>
        <v>76</v>
      </c>
      <c r="D11" s="20">
        <f>COUNTIFS(Work_data!G:G,'WFH Analysis'!C1,Work_data!I:I,"&gt;="&amp;DATE(2026,6,1),Work_data!I:I,"&lt;="&amp;DATE(2026,6,30),Work_data!K:K,"Involuntary")</f>
        <v>83</v>
      </c>
    </row>
    <row r="12" spans="1:4" x14ac:dyDescent="0.25">
      <c r="A12" s="19" t="s">
        <v>960</v>
      </c>
      <c r="B12" s="23">
        <f>B10/B6</f>
        <v>0.29457364341085274</v>
      </c>
      <c r="C12" s="23">
        <f>C10/C6</f>
        <v>0.26024955436720143</v>
      </c>
      <c r="D12" s="23">
        <f>D10/D6</f>
        <v>0.30136986301369861</v>
      </c>
    </row>
    <row r="13" spans="1:4" x14ac:dyDescent="0.25">
      <c r="A13" s="19" t="s">
        <v>961</v>
      </c>
      <c r="B13" s="23">
        <f>B11/B6</f>
        <v>0.24806201550387597</v>
      </c>
      <c r="C13" s="23">
        <f>C11/C6</f>
        <v>0.27094474153297682</v>
      </c>
      <c r="D13" s="23">
        <f>D11/D6</f>
        <v>0.32485322896281799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9" sqref="B9:D9"/>
    </sheetView>
  </sheetViews>
  <sheetFormatPr defaultRowHeight="13.2" x14ac:dyDescent="0.25"/>
  <cols>
    <col min="1" max="1" width="29.88671875" customWidth="1"/>
  </cols>
  <sheetData>
    <row r="1" spans="1:4" ht="29.4" customHeight="1" x14ac:dyDescent="0.4">
      <c r="A1" s="29" t="s">
        <v>965</v>
      </c>
      <c r="C1" s="31" t="s">
        <v>142</v>
      </c>
    </row>
    <row r="2" spans="1:4" ht="17.399999999999999" x14ac:dyDescent="0.3">
      <c r="A2" s="29"/>
    </row>
    <row r="3" spans="1:4" x14ac:dyDescent="0.25">
      <c r="A3" s="17" t="s">
        <v>950</v>
      </c>
      <c r="B3" s="18">
        <v>46113</v>
      </c>
      <c r="C3" s="18">
        <v>46143</v>
      </c>
      <c r="D3" s="18">
        <v>46174</v>
      </c>
    </row>
    <row r="4" spans="1:4" x14ac:dyDescent="0.25">
      <c r="A4" s="19" t="s">
        <v>952</v>
      </c>
      <c r="B4" s="20">
        <f>COUNTIFS(Work_data!G:G,'WFO Analysis'!C1,Work_data!H:H,"&lt;="&amp;DATE(2026,4,1),Work_data!I:I,"&gt;="&amp;DATE(2026,4,1))+COUNTIFS(Work_data!G:G,"WFO",Work_data!H:H,"&lt;="&amp;DATE(2026,4,1),Work_data!I:I,"")</f>
        <v>114</v>
      </c>
      <c r="C4" s="20">
        <f>COUNTIFS(Work_data!G:G,'WFO Analysis'!C1,Work_data!H:H,"&lt;="&amp;DATE(2026,5,1),Work_data!I:I,"&gt;="&amp;DATE(2026,5,1))+COUNTIFS(Work_data!G:G,"WFO",Work_data!H:H,"&lt;="&amp;DATE(2026,5,1),Work_data!I:I,"")</f>
        <v>123</v>
      </c>
      <c r="D4" s="20">
        <f>COUNTIFS(Work_data!G:G,'WFO Analysis'!C1,Work_data!H:H,"&lt;="&amp;DATE(2026,6,1),Work_data!I:I,"&gt;="&amp;DATE(2026,6,1))+COUNTIFS(Work_data!G:G,"WFO",Work_data!H:H,"&lt;="&amp;DATE(2026,6,1),Work_data!I:I,"")</f>
        <v>96</v>
      </c>
    </row>
    <row r="5" spans="1:4" x14ac:dyDescent="0.25">
      <c r="A5" s="19" t="s">
        <v>953</v>
      </c>
      <c r="B5" s="20">
        <f>COUNTIFS(Work_data!G:G,'WFO Analysis'!C1,Work_data!H:H,"&lt;="&amp;DATE(2026,4,30),Work_data!I:I,"&gt;="&amp;DATE(2026,4,30))+COUNTIFS(Work_data!G:G,"WFO",Work_data!H:H,"&lt;="&amp;DATE(2026,4,30),Work_data!I:I,"")</f>
        <v>125</v>
      </c>
      <c r="C5" s="20">
        <f>COUNTIFS(Work_data!G:G,'WFO Analysis'!C1,Work_data!H:H,"&lt;="&amp;DATE(2026,5,31),Work_data!I:I,"&gt;="&amp;DATE(2026,5,31))+COUNTIFS(Work_data!G:G,"WFO",Work_data!H:H,"&lt;="&amp;DATE(2026,5,31),Work_data!I:I,"")</f>
        <v>98</v>
      </c>
      <c r="D5" s="20">
        <f>COUNTIFS(Work_data!G:G,'WFO Analysis'!C1,Work_data!H:H,"&lt;="&amp;DATE(2026,6,30),Work_data!I:I,"&gt;="&amp;DATE(2026,6,30))+COUNTIFS(Work_data!G:G,"WFO",Work_data!H:H,"&lt;="&amp;DATE(2026,6,30),Work_data!I:I,"")</f>
        <v>95</v>
      </c>
    </row>
    <row r="6" spans="1:4" x14ac:dyDescent="0.25">
      <c r="A6" s="19" t="s">
        <v>954</v>
      </c>
      <c r="B6" s="20">
        <f>(B4+B5)/2</f>
        <v>119.5</v>
      </c>
      <c r="C6" s="20">
        <f>(C4+C5)/2</f>
        <v>110.5</v>
      </c>
      <c r="D6" s="20">
        <f>(D4+D5)/2</f>
        <v>95.5</v>
      </c>
    </row>
    <row r="7" spans="1:4" x14ac:dyDescent="0.25">
      <c r="A7" s="19" t="s">
        <v>955</v>
      </c>
      <c r="B7" s="20">
        <f>COUNTIFS(Work_data!G:G,'WFO Analysis'!C1,Work_data!H:H,"&gt;="&amp;DATE(2026,4,1),Work_data!H:H,"&lt;="&amp;DATE(2026,4,30))</f>
        <v>46</v>
      </c>
      <c r="C7" s="20">
        <f>COUNTIFS(Work_data!G:G,'WFO Analysis'!C1,Work_data!H:H,"&gt;="&amp;DATE(2026,5,1),Work_data!H:H,"&lt;="&amp;DATE(2026,5,31))</f>
        <v>32</v>
      </c>
      <c r="D7" s="20">
        <f>COUNTIFS(Work_data!G:G,'WFO Analysis'!C1,Work_data!H:H,"&gt;="&amp;DATE(2026,6,1),Work_data!H:H,"&lt;="&amp;DATE(2026,6,30))</f>
        <v>27</v>
      </c>
    </row>
    <row r="8" spans="1:4" x14ac:dyDescent="0.25">
      <c r="A8" s="19" t="s">
        <v>956</v>
      </c>
      <c r="B8" s="20">
        <f>COUNTIFS(Work_data!G:G,'WFO Analysis'!C1,Work_data!I:I,"&gt;="&amp;DATE(2026,4,1),Work_data!I:I,"&lt;="&amp;DATE(2026,4,30))</f>
        <v>37</v>
      </c>
      <c r="C8" s="20">
        <f>COUNTIFS(Work_data!G:G,'WFO Analysis'!C1,Work_data!I:I,"&gt;="&amp;DATE(2026,5,1),Work_data!I:I,"&lt;="&amp;DATE(2026,5,31))</f>
        <v>60</v>
      </c>
      <c r="D8" s="20">
        <f>COUNTIFS(Work_data!G:G,'WFO Analysis'!C1,Work_data!I:I,"&gt;="&amp;DATE(2026,6,1),Work_data!I:I,"&lt;="&amp;DATE(2026,6,30))</f>
        <v>27</v>
      </c>
    </row>
    <row r="9" spans="1:4" x14ac:dyDescent="0.25">
      <c r="A9" s="19" t="s">
        <v>957</v>
      </c>
      <c r="B9" s="23">
        <f>B8/B6</f>
        <v>0.30962343096234307</v>
      </c>
      <c r="C9" s="23">
        <f>C8/C6</f>
        <v>0.54298642533936647</v>
      </c>
      <c r="D9" s="23">
        <f>D8/D6</f>
        <v>0.28272251308900526</v>
      </c>
    </row>
    <row r="10" spans="1:4" x14ac:dyDescent="0.25">
      <c r="A10" s="19" t="s">
        <v>958</v>
      </c>
      <c r="B10" s="20">
        <f>COUNTIFS(Work_data!G:G,'WFO Analysis'!C1,Work_data!I:I,"&gt;="&amp;DATE(2026,4,1),Work_data!I:I,"&lt;="&amp;DATE(2026,4,30),Work_data!K:K,"Voluntary")</f>
        <v>25</v>
      </c>
      <c r="C10" s="20">
        <f>COUNTIFS(Work_data!G:G,'WFO Analysis'!C1,Work_data!I:I,"&gt;="&amp;DATE(2026,5,1),Work_data!I:I,"&lt;="&amp;DATE(2026,5,31),Work_data!K:K,"Voluntary")</f>
        <v>21</v>
      </c>
      <c r="D10" s="20">
        <f>COUNTIFS(Work_data!G:G,'WFO Analysis'!C1,Work_data!I:I,"&gt;="&amp;DATE(2026,6,1),Work_data!I:I,"&lt;="&amp;DATE(2026,6,30),Work_data!K:K,"Voluntary")</f>
        <v>18</v>
      </c>
    </row>
    <row r="11" spans="1:4" x14ac:dyDescent="0.25">
      <c r="A11" s="19" t="s">
        <v>959</v>
      </c>
      <c r="B11" s="20">
        <f>COUNTIFS(Work_data!G:G,'WFO Analysis'!C1,Work_data!I:I,"&gt;="&amp;DATE(2026,4,1),Work_data!I:I,"&lt;="&amp;DATE(2026,4,30),Work_data!K:K,"Involuntary")</f>
        <v>12</v>
      </c>
      <c r="C11" s="20">
        <f>COUNTIFS(Work_data!G:G,'WFO Analysis'!C1,Work_data!I:I,"&gt;="&amp;DATE(2026,5,1),Work_data!I:I,"&lt;="&amp;DATE(2026,5,31),Work_data!K:K,"Involuntary")</f>
        <v>39</v>
      </c>
      <c r="D11" s="20">
        <f>COUNTIFS(Work_data!G:G,'WFO Analysis'!C1,Work_data!I:I,"&gt;="&amp;DATE(2026,6,1),Work_data!I:I,"&lt;="&amp;DATE(2026,6,30),Work_data!K:K,"Involuntary")</f>
        <v>9</v>
      </c>
    </row>
    <row r="12" spans="1:4" x14ac:dyDescent="0.25">
      <c r="A12" s="19" t="s">
        <v>960</v>
      </c>
      <c r="B12" s="23">
        <f>B10/B6</f>
        <v>0.20920502092050208</v>
      </c>
      <c r="C12" s="23">
        <f>C10/C6</f>
        <v>0.19004524886877827</v>
      </c>
      <c r="D12" s="23">
        <f>D10/D6</f>
        <v>0.18848167539267016</v>
      </c>
    </row>
    <row r="13" spans="1:4" x14ac:dyDescent="0.25">
      <c r="A13" s="19" t="s">
        <v>961</v>
      </c>
      <c r="B13" s="23">
        <f>B11/B6</f>
        <v>0.100418410041841</v>
      </c>
      <c r="C13" s="23">
        <f>C11/C6</f>
        <v>0.35294117647058826</v>
      </c>
      <c r="D13" s="23">
        <f>D11/D6</f>
        <v>9.4240837696335081E-2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F6" sqref="F6"/>
    </sheetView>
  </sheetViews>
  <sheetFormatPr defaultRowHeight="13.2" x14ac:dyDescent="0.25"/>
  <cols>
    <col min="1" max="1" width="19.88671875" bestFit="1" customWidth="1"/>
    <col min="2" max="2" width="20.109375" bestFit="1" customWidth="1"/>
    <col min="3" max="3" width="21.109375" bestFit="1" customWidth="1"/>
  </cols>
  <sheetData>
    <row r="3" spans="1:3" x14ac:dyDescent="0.25">
      <c r="A3" s="13" t="s">
        <v>943</v>
      </c>
      <c r="B3" t="s">
        <v>945</v>
      </c>
      <c r="C3" t="s">
        <v>975</v>
      </c>
    </row>
    <row r="4" spans="1:3" x14ac:dyDescent="0.25">
      <c r="A4" s="14" t="s">
        <v>50</v>
      </c>
      <c r="B4" s="15">
        <v>43</v>
      </c>
      <c r="C4" s="47">
        <v>7.5043630017452012E-2</v>
      </c>
    </row>
    <row r="5" spans="1:3" x14ac:dyDescent="0.25">
      <c r="A5" s="14" t="s">
        <v>33</v>
      </c>
      <c r="B5" s="15">
        <v>44</v>
      </c>
      <c r="C5" s="47">
        <v>7.6788830715532289E-2</v>
      </c>
    </row>
    <row r="6" spans="1:3" x14ac:dyDescent="0.25">
      <c r="A6" s="14" t="s">
        <v>61</v>
      </c>
      <c r="B6" s="15">
        <v>47</v>
      </c>
      <c r="C6" s="47">
        <v>8.2024432809773118E-2</v>
      </c>
    </row>
    <row r="7" spans="1:3" x14ac:dyDescent="0.25">
      <c r="A7" s="14" t="s">
        <v>22</v>
      </c>
      <c r="B7" s="15">
        <v>49</v>
      </c>
      <c r="C7" s="47">
        <v>8.5514834205933685E-2</v>
      </c>
    </row>
    <row r="8" spans="1:3" x14ac:dyDescent="0.25">
      <c r="A8" s="14" t="s">
        <v>30</v>
      </c>
      <c r="B8" s="15">
        <v>50</v>
      </c>
      <c r="C8" s="47">
        <v>8.7260034904013961E-2</v>
      </c>
    </row>
    <row r="9" spans="1:3" x14ac:dyDescent="0.25">
      <c r="A9" s="14" t="s">
        <v>37</v>
      </c>
      <c r="B9" s="15">
        <v>57</v>
      </c>
      <c r="C9" s="47">
        <v>9.947643979057591E-2</v>
      </c>
    </row>
    <row r="10" spans="1:3" x14ac:dyDescent="0.25">
      <c r="A10" s="14" t="s">
        <v>44</v>
      </c>
      <c r="B10" s="15">
        <v>58</v>
      </c>
      <c r="C10" s="47">
        <v>0.1012216404886562</v>
      </c>
    </row>
    <row r="11" spans="1:3" x14ac:dyDescent="0.25">
      <c r="A11" s="14" t="s">
        <v>25</v>
      </c>
      <c r="B11" s="15">
        <v>70</v>
      </c>
      <c r="C11" s="47">
        <v>0.12216404886561955</v>
      </c>
    </row>
    <row r="12" spans="1:3" x14ac:dyDescent="0.25">
      <c r="A12" s="14" t="s">
        <v>41</v>
      </c>
      <c r="B12" s="15">
        <v>72</v>
      </c>
      <c r="C12" s="47">
        <v>0.1256544502617801</v>
      </c>
    </row>
    <row r="13" spans="1:3" x14ac:dyDescent="0.25">
      <c r="A13" s="14" t="s">
        <v>55</v>
      </c>
      <c r="B13" s="15">
        <v>83</v>
      </c>
      <c r="C13" s="47">
        <v>0.14485165794066318</v>
      </c>
    </row>
    <row r="14" spans="1:3" x14ac:dyDescent="0.25">
      <c r="A14" s="14" t="s">
        <v>944</v>
      </c>
      <c r="B14" s="15">
        <v>573</v>
      </c>
      <c r="C14" s="47">
        <v>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"/>
  <sheetViews>
    <sheetView workbookViewId="0">
      <selection activeCell="L29" sqref="L29"/>
    </sheetView>
  </sheetViews>
  <sheetFormatPr defaultRowHeight="13.2" x14ac:dyDescent="0.25"/>
  <cols>
    <col min="1" max="1" width="20.109375" customWidth="1"/>
    <col min="2" max="2" width="16.21875" customWidth="1"/>
    <col min="3" max="3" width="7.6640625" customWidth="1"/>
    <col min="4" max="4" width="6.6640625" customWidth="1"/>
    <col min="5" max="5" width="12.109375" customWidth="1"/>
    <col min="6" max="7" width="11.33203125" customWidth="1"/>
    <col min="8" max="8" width="16.88671875" bestFit="1" customWidth="1"/>
    <col min="9" max="9" width="14.44140625" bestFit="1" customWidth="1"/>
    <col min="10" max="10" width="10.21875" bestFit="1" customWidth="1"/>
    <col min="11" max="11" width="16.44140625" bestFit="1" customWidth="1"/>
    <col min="12" max="12" width="7" customWidth="1"/>
    <col min="13" max="13" width="11.33203125" bestFit="1" customWidth="1"/>
  </cols>
  <sheetData>
    <row r="3" spans="1:6" x14ac:dyDescent="0.25">
      <c r="A3" s="13" t="s">
        <v>945</v>
      </c>
      <c r="B3" s="13" t="s">
        <v>951</v>
      </c>
    </row>
    <row r="4" spans="1:6" x14ac:dyDescent="0.25">
      <c r="A4" s="13" t="s">
        <v>943</v>
      </c>
      <c r="B4" t="s">
        <v>971</v>
      </c>
      <c r="C4" t="s">
        <v>972</v>
      </c>
      <c r="D4" t="s">
        <v>973</v>
      </c>
      <c r="E4" t="s">
        <v>974</v>
      </c>
      <c r="F4" t="s">
        <v>944</v>
      </c>
    </row>
    <row r="5" spans="1:6" x14ac:dyDescent="0.25">
      <c r="A5" s="14" t="s">
        <v>25</v>
      </c>
      <c r="B5" s="15">
        <v>22</v>
      </c>
      <c r="C5" s="15">
        <v>27</v>
      </c>
      <c r="D5" s="15">
        <v>5</v>
      </c>
      <c r="E5" s="15">
        <v>16</v>
      </c>
      <c r="F5" s="15">
        <v>70</v>
      </c>
    </row>
    <row r="6" spans="1:6" x14ac:dyDescent="0.25">
      <c r="A6" s="14" t="s">
        <v>22</v>
      </c>
      <c r="B6" s="15">
        <v>42</v>
      </c>
      <c r="C6" s="15">
        <v>4</v>
      </c>
      <c r="D6" s="15">
        <v>1</v>
      </c>
      <c r="E6" s="15">
        <v>2</v>
      </c>
      <c r="F6" s="15">
        <v>49</v>
      </c>
    </row>
    <row r="7" spans="1:6" x14ac:dyDescent="0.25">
      <c r="A7" s="14" t="s">
        <v>30</v>
      </c>
      <c r="B7" s="15">
        <v>45</v>
      </c>
      <c r="C7" s="15">
        <v>1</v>
      </c>
      <c r="D7" s="15">
        <v>1</v>
      </c>
      <c r="E7" s="15">
        <v>3</v>
      </c>
      <c r="F7" s="15">
        <v>50</v>
      </c>
    </row>
    <row r="8" spans="1:6" x14ac:dyDescent="0.25">
      <c r="A8" s="14" t="s">
        <v>61</v>
      </c>
      <c r="B8" s="15">
        <v>44</v>
      </c>
      <c r="C8" s="15">
        <v>2</v>
      </c>
      <c r="D8" s="15"/>
      <c r="E8" s="15">
        <v>1</v>
      </c>
      <c r="F8" s="15">
        <v>47</v>
      </c>
    </row>
    <row r="9" spans="1:6" x14ac:dyDescent="0.25">
      <c r="A9" s="14" t="s">
        <v>37</v>
      </c>
      <c r="B9" s="15">
        <v>55</v>
      </c>
      <c r="C9" s="15">
        <v>2</v>
      </c>
      <c r="D9" s="15"/>
      <c r="E9" s="15"/>
      <c r="F9" s="15">
        <v>57</v>
      </c>
    </row>
    <row r="10" spans="1:6" x14ac:dyDescent="0.25">
      <c r="A10" s="14" t="s">
        <v>55</v>
      </c>
      <c r="B10" s="15">
        <v>33</v>
      </c>
      <c r="C10" s="15">
        <v>25</v>
      </c>
      <c r="D10" s="15">
        <v>11</v>
      </c>
      <c r="E10" s="15">
        <v>14</v>
      </c>
      <c r="F10" s="15">
        <v>83</v>
      </c>
    </row>
    <row r="11" spans="1:6" x14ac:dyDescent="0.25">
      <c r="A11" s="14" t="s">
        <v>50</v>
      </c>
      <c r="B11" s="15">
        <v>39</v>
      </c>
      <c r="C11" s="15">
        <v>1</v>
      </c>
      <c r="D11" s="15">
        <v>2</v>
      </c>
      <c r="E11" s="15">
        <v>1</v>
      </c>
      <c r="F11" s="15">
        <v>43</v>
      </c>
    </row>
    <row r="12" spans="1:6" x14ac:dyDescent="0.25">
      <c r="A12" s="14" t="s">
        <v>44</v>
      </c>
      <c r="B12" s="15">
        <v>26</v>
      </c>
      <c r="C12" s="15">
        <v>14</v>
      </c>
      <c r="D12" s="15">
        <v>8</v>
      </c>
      <c r="E12" s="15">
        <v>10</v>
      </c>
      <c r="F12" s="15">
        <v>58</v>
      </c>
    </row>
    <row r="13" spans="1:6" x14ac:dyDescent="0.25">
      <c r="A13" s="14" t="s">
        <v>33</v>
      </c>
      <c r="B13" s="15">
        <v>41</v>
      </c>
      <c r="C13" s="15">
        <v>3</v>
      </c>
      <c r="D13" s="15"/>
      <c r="E13" s="15"/>
      <c r="F13" s="15">
        <v>44</v>
      </c>
    </row>
    <row r="14" spans="1:6" x14ac:dyDescent="0.25">
      <c r="A14" s="14" t="s">
        <v>41</v>
      </c>
      <c r="B14" s="15">
        <v>36</v>
      </c>
      <c r="C14" s="15">
        <v>23</v>
      </c>
      <c r="D14" s="15">
        <v>5</v>
      </c>
      <c r="E14" s="15">
        <v>8</v>
      </c>
      <c r="F14" s="15">
        <v>72</v>
      </c>
    </row>
    <row r="15" spans="1:6" x14ac:dyDescent="0.25">
      <c r="A15" s="14" t="s">
        <v>944</v>
      </c>
      <c r="B15" s="15">
        <v>383</v>
      </c>
      <c r="C15" s="15">
        <v>102</v>
      </c>
      <c r="D15" s="15">
        <v>33</v>
      </c>
      <c r="E15" s="15">
        <v>55</v>
      </c>
      <c r="F15" s="15">
        <v>573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T28" sqref="T28"/>
    </sheetView>
  </sheetViews>
  <sheetFormatPr defaultRowHeight="13.2" x14ac:dyDescent="0.25"/>
  <sheetData>
    <row r="2" spans="1:4" x14ac:dyDescent="0.25">
      <c r="B2" s="18">
        <v>46113</v>
      </c>
      <c r="C2" s="18">
        <v>46143</v>
      </c>
      <c r="D2" s="18">
        <v>46174</v>
      </c>
    </row>
    <row r="3" spans="1:4" x14ac:dyDescent="0.25">
      <c r="A3" s="37" t="s">
        <v>19</v>
      </c>
      <c r="B3" s="23">
        <v>0.54263565891472865</v>
      </c>
      <c r="C3" s="23">
        <v>0.5311942959001783</v>
      </c>
      <c r="D3" s="23">
        <v>0.6262230919765166</v>
      </c>
    </row>
    <row r="4" spans="1:4" x14ac:dyDescent="0.25">
      <c r="A4" s="38" t="s">
        <v>142</v>
      </c>
      <c r="B4" s="36">
        <v>0.30962343096234307</v>
      </c>
      <c r="C4" s="36">
        <v>0.54298642533936647</v>
      </c>
      <c r="D4" s="36">
        <v>0.28272251308900526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Base_Data_Attrition_Assignment.</vt:lpstr>
      <vt:lpstr>Work_data</vt:lpstr>
      <vt:lpstr>Sheet3</vt:lpstr>
      <vt:lpstr>Dashboard</vt:lpstr>
      <vt:lpstr>Monthly Summary table</vt:lpstr>
      <vt:lpstr>Sub-departments</vt:lpstr>
      <vt:lpstr>Sales - English - India</vt:lpstr>
      <vt:lpstr>Sales - India</vt:lpstr>
      <vt:lpstr>Sales - ROW - GCC</vt:lpstr>
      <vt:lpstr>Sales - ROW - ANZ</vt:lpstr>
      <vt:lpstr>WFH Analysis</vt:lpstr>
      <vt:lpstr>WFO Analysis</vt:lpstr>
      <vt:lpstr>Top exit reason</vt:lpstr>
      <vt:lpstr>Tenure Bucket</vt:lpstr>
      <vt:lpstr>WFH vs WHO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Biswadeep</dc:creator>
  <cp:lastModifiedBy>Biswadeep</cp:lastModifiedBy>
  <dcterms:created xsi:type="dcterms:W3CDTF">2026-08-10T10:17:00Z</dcterms:created>
  <dcterms:modified xsi:type="dcterms:W3CDTF">2026-08-20T18:22:36Z</dcterms:modified>
</cp:coreProperties>
</file>